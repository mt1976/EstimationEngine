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namedSheetViews/namedSheetView1.xml" ContentType="application/vnd.ms-excel.namedsheetview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namedSheetViews/namedSheetView2.xml" ContentType="application/vnd.ms-excel.namedsheetviews+xml"/>
  <Override PartName="/xl/namedSheetViews/namedSheetView3.xml" ContentType="application/vnd.ms-excel.namedsheetview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mtownsend\Downloads\"/>
    </mc:Choice>
  </mc:AlternateContent>
  <xr:revisionPtr revIDLastSave="0" documentId="13_ncr:1_{B78483AD-6AFC-4DF9-9784-5B44671C71BD}" xr6:coauthVersionLast="47" xr6:coauthVersionMax="47" xr10:uidLastSave="{00000000-0000-0000-0000-000000000000}"/>
  <bookViews>
    <workbookView xWindow="0" yWindow="390" windowWidth="25005" windowHeight="10995" firstSheet="4" activeTab="4" xr2:uid="{00000000-000D-0000-FFFF-FFFF00000000}"/>
  </bookViews>
  <sheets>
    <sheet name="APPROVERS" sheetId="4" state="hidden" r:id="rId1"/>
    <sheet name="PRD" sheetId="3" state="hidden" r:id="rId2"/>
    <sheet name="Sheet3" sheetId="12" state="hidden" r:id="rId3"/>
    <sheet name="Sheet2" sheetId="11" state="hidden" r:id="rId4"/>
    <sheet name="TRACKER" sheetId="14" r:id="rId5"/>
    <sheet name="NEW RSC" sheetId="15" r:id="rId6"/>
    <sheet name="CUSTOMERS" sheetId="2" state="hidden" r:id="rId7"/>
    <sheet name="WORKFLOW" sheetId="5" state="hidden" r:id="rId8"/>
    <sheet name="RAWEXPORTDATA" sheetId="7" state="hidden" r:id="rId9"/>
    <sheet name="Backwards Estimate Calculator" sheetId="8" state="hidden" r:id="rId10"/>
    <sheet name="SLIDEWARE" sheetId="9" state="hidden" r:id="rId11"/>
    <sheet name="CALCULATOR" sheetId="6" state="hidden" r:id="rId12"/>
    <sheet name="TRACKER - ARCHIVED" sheetId="13" state="hidden" r:id="rId13"/>
    <sheet name="TRACKER - 20220622" sheetId="1" state="hidden" r:id="rId14"/>
  </sheets>
  <definedNames>
    <definedName name="_xlnm._FilterDatabase" localSheetId="6" hidden="1">CUSTOMERS!$A$1:$B$1</definedName>
    <definedName name="_xlnm._FilterDatabase" localSheetId="8" hidden="1">RAWEXPORTDATA!$A$1:$BI$1</definedName>
    <definedName name="_xlnm._FilterDatabase" localSheetId="4" hidden="1">TRACKER!$A$2:$H$177</definedName>
    <definedName name="_xlnm._FilterDatabase" localSheetId="13" hidden="1">'TRACKER - 20220622'!$A$2:$AX$319</definedName>
    <definedName name="_xlnm._FilterDatabase" localSheetId="12" hidden="1">'TRACKER - ARCHIVED'!$A$2:$AX$319</definedName>
    <definedName name="_xlnm._FilterDatabase" localSheetId="7" hidden="1">WORKFLOW!$A$1:$D$43</definedName>
  </definedNames>
  <calcPr calcId="191028"/>
  <pivotCaches>
    <pivotCache cacheId="0" r:id="rId1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X318" i="13" l="1"/>
  <c r="AU318" i="13"/>
  <c r="AT318" i="13"/>
  <c r="AS318" i="13"/>
  <c r="AR318" i="13"/>
  <c r="AP318" i="13"/>
  <c r="AJ318" i="13"/>
  <c r="AH318" i="13"/>
  <c r="AV318" i="13" s="1"/>
  <c r="AI318" i="13" s="1"/>
  <c r="AC318" i="13"/>
  <c r="AB318" i="13"/>
  <c r="AA318" i="13"/>
  <c r="Z318" i="13"/>
  <c r="K318" i="13"/>
  <c r="F318" i="13"/>
  <c r="B318" i="13"/>
  <c r="AX317" i="13"/>
  <c r="AU317" i="13"/>
  <c r="AT317" i="13"/>
  <c r="AS317" i="13"/>
  <c r="AR317" i="13"/>
  <c r="AP317" i="13"/>
  <c r="AJ317" i="13"/>
  <c r="AH317" i="13"/>
  <c r="Z317" i="13"/>
  <c r="K317" i="13"/>
  <c r="F317" i="13"/>
  <c r="B317" i="13"/>
  <c r="AX316" i="13"/>
  <c r="AU316" i="13"/>
  <c r="AT316" i="13"/>
  <c r="AS316" i="13"/>
  <c r="AR316" i="13"/>
  <c r="AP316" i="13"/>
  <c r="AJ316" i="13"/>
  <c r="AH316" i="13"/>
  <c r="AC316" i="13" s="1"/>
  <c r="K316" i="13"/>
  <c r="F316" i="13"/>
  <c r="B316" i="13"/>
  <c r="AX315" i="13"/>
  <c r="AU315" i="13"/>
  <c r="AT315" i="13"/>
  <c r="AS315" i="13"/>
  <c r="AR315" i="13"/>
  <c r="AP315" i="13"/>
  <c r="AJ315" i="13"/>
  <c r="AH315" i="13"/>
  <c r="AB315" i="13" s="1"/>
  <c r="AC315" i="13"/>
  <c r="K315" i="13"/>
  <c r="F315" i="13"/>
  <c r="B315" i="13"/>
  <c r="AX314" i="13"/>
  <c r="AU314" i="13"/>
  <c r="AT314" i="13"/>
  <c r="AS314" i="13"/>
  <c r="AR314" i="13"/>
  <c r="AP314" i="13"/>
  <c r="AJ314" i="13"/>
  <c r="AH314" i="13"/>
  <c r="AA314" i="13" s="1"/>
  <c r="AC314" i="13"/>
  <c r="AB314" i="13"/>
  <c r="K314" i="13"/>
  <c r="F314" i="13"/>
  <c r="B314" i="13"/>
  <c r="AX313" i="13"/>
  <c r="AU313" i="13"/>
  <c r="AT313" i="13"/>
  <c r="B313" i="13" s="1"/>
  <c r="AS313" i="13"/>
  <c r="F313" i="13" s="1"/>
  <c r="AR313" i="13"/>
  <c r="AP313" i="13"/>
  <c r="AJ313" i="13"/>
  <c r="AH313" i="13"/>
  <c r="AC313" i="13" s="1"/>
  <c r="AB313" i="13"/>
  <c r="K313" i="13"/>
  <c r="AX312" i="13"/>
  <c r="AU312" i="13"/>
  <c r="AT312" i="13"/>
  <c r="B312" i="13" s="1"/>
  <c r="AS312" i="13"/>
  <c r="F312" i="13" s="1"/>
  <c r="AR312" i="13"/>
  <c r="AP312" i="13"/>
  <c r="AJ312" i="13"/>
  <c r="AH312" i="13"/>
  <c r="AC312" i="13"/>
  <c r="AB312" i="13"/>
  <c r="AA312" i="13"/>
  <c r="Z312" i="13"/>
  <c r="K312" i="13"/>
  <c r="AX311" i="13"/>
  <c r="AU311" i="13"/>
  <c r="AT311" i="13"/>
  <c r="B311" i="13" s="1"/>
  <c r="AS311" i="13"/>
  <c r="F311" i="13" s="1"/>
  <c r="AR311" i="13"/>
  <c r="AP311" i="13"/>
  <c r="AJ311" i="13"/>
  <c r="AH311" i="13"/>
  <c r="AC311" i="13"/>
  <c r="AB311" i="13"/>
  <c r="AA311" i="13"/>
  <c r="Z311" i="13"/>
  <c r="K311" i="13"/>
  <c r="AX310" i="13"/>
  <c r="AU310" i="13"/>
  <c r="AT310" i="13"/>
  <c r="B310" i="13" s="1"/>
  <c r="AS310" i="13"/>
  <c r="AR310" i="13"/>
  <c r="AP310" i="13"/>
  <c r="AJ310" i="13"/>
  <c r="AH310" i="13"/>
  <c r="AC310" i="13" s="1"/>
  <c r="AB310" i="13"/>
  <c r="AA310" i="13"/>
  <c r="Z310" i="13"/>
  <c r="K310" i="13"/>
  <c r="F310" i="13"/>
  <c r="AX309" i="13"/>
  <c r="AU309" i="13"/>
  <c r="AT309" i="13"/>
  <c r="AS309" i="13"/>
  <c r="AR309" i="13"/>
  <c r="AP309" i="13"/>
  <c r="AJ309" i="13"/>
  <c r="AH309" i="13"/>
  <c r="Z309" i="13"/>
  <c r="K309" i="13"/>
  <c r="F309" i="13"/>
  <c r="B309" i="13"/>
  <c r="AX308" i="13"/>
  <c r="AU308" i="13"/>
  <c r="AT308" i="13"/>
  <c r="AS308" i="13"/>
  <c r="AR308" i="13"/>
  <c r="AP308" i="13"/>
  <c r="AJ308" i="13"/>
  <c r="AH308" i="13"/>
  <c r="AC308" i="13" s="1"/>
  <c r="K308" i="13"/>
  <c r="F308" i="13"/>
  <c r="B308" i="13"/>
  <c r="AX307" i="13"/>
  <c r="AU307" i="13"/>
  <c r="AT307" i="13"/>
  <c r="AS307" i="13"/>
  <c r="AR307" i="13"/>
  <c r="AP307" i="13"/>
  <c r="AJ307" i="13"/>
  <c r="AH307" i="13"/>
  <c r="AC307" i="13" s="1"/>
  <c r="K307" i="13"/>
  <c r="F307" i="13"/>
  <c r="B307" i="13"/>
  <c r="AX306" i="13"/>
  <c r="AU306" i="13"/>
  <c r="AT306" i="13"/>
  <c r="AS306" i="13"/>
  <c r="AR306" i="13"/>
  <c r="AP306" i="13"/>
  <c r="AJ306" i="13"/>
  <c r="AH306" i="13"/>
  <c r="AA306" i="13" s="1"/>
  <c r="AC306" i="13"/>
  <c r="AB306" i="13"/>
  <c r="K306" i="13"/>
  <c r="F306" i="13"/>
  <c r="B306" i="13"/>
  <c r="AX305" i="13"/>
  <c r="AU305" i="13"/>
  <c r="AT305" i="13"/>
  <c r="B305" i="13" s="1"/>
  <c r="AS305" i="13"/>
  <c r="F305" i="13" s="1"/>
  <c r="AR305" i="13"/>
  <c r="AP305" i="13"/>
  <c r="AJ305" i="13"/>
  <c r="AH305" i="13"/>
  <c r="AC305" i="13" s="1"/>
  <c r="AB305" i="13"/>
  <c r="K305" i="13"/>
  <c r="AX304" i="13"/>
  <c r="AU304" i="13"/>
  <c r="AT304" i="13"/>
  <c r="B304" i="13" s="1"/>
  <c r="AS304" i="13"/>
  <c r="F304" i="13" s="1"/>
  <c r="AR304" i="13"/>
  <c r="AP304" i="13"/>
  <c r="AJ304" i="13"/>
  <c r="AH304" i="13"/>
  <c r="AC304" i="13"/>
  <c r="AB304" i="13"/>
  <c r="AA304" i="13"/>
  <c r="Z304" i="13"/>
  <c r="K304" i="13"/>
  <c r="AX303" i="13"/>
  <c r="AU303" i="13"/>
  <c r="AT303" i="13"/>
  <c r="B303" i="13" s="1"/>
  <c r="AS303" i="13"/>
  <c r="F303" i="13" s="1"/>
  <c r="AR303" i="13"/>
  <c r="AP303" i="13"/>
  <c r="AJ303" i="13"/>
  <c r="AH303" i="13"/>
  <c r="AC303" i="13"/>
  <c r="AB303" i="13"/>
  <c r="AA303" i="13"/>
  <c r="Z303" i="13"/>
  <c r="K303" i="13"/>
  <c r="AX302" i="13"/>
  <c r="AU302" i="13"/>
  <c r="AT302" i="13"/>
  <c r="B302" i="13" s="1"/>
  <c r="AS302" i="13"/>
  <c r="AR302" i="13"/>
  <c r="AP302" i="13"/>
  <c r="AJ302" i="13"/>
  <c r="AH302" i="13"/>
  <c r="AC302" i="13" s="1"/>
  <c r="AB302" i="13"/>
  <c r="AA302" i="13"/>
  <c r="Z302" i="13"/>
  <c r="K302" i="13"/>
  <c r="F302" i="13"/>
  <c r="AX301" i="13"/>
  <c r="AU301" i="13"/>
  <c r="AT301" i="13"/>
  <c r="AS301" i="13"/>
  <c r="AR301" i="13"/>
  <c r="AP301" i="13"/>
  <c r="AJ301" i="13"/>
  <c r="AH301" i="13"/>
  <c r="Z301" i="13"/>
  <c r="K301" i="13"/>
  <c r="F301" i="13"/>
  <c r="B301" i="13"/>
  <c r="AX300" i="13"/>
  <c r="AU300" i="13"/>
  <c r="AT300" i="13"/>
  <c r="AS300" i="13"/>
  <c r="AR300" i="13"/>
  <c r="AP300" i="13"/>
  <c r="AJ300" i="13"/>
  <c r="AH300" i="13"/>
  <c r="AC300" i="13" s="1"/>
  <c r="K300" i="13"/>
  <c r="F300" i="13"/>
  <c r="B300" i="13"/>
  <c r="AX299" i="13"/>
  <c r="AU299" i="13"/>
  <c r="AT299" i="13"/>
  <c r="AS299" i="13"/>
  <c r="AR299" i="13"/>
  <c r="AP299" i="13"/>
  <c r="AJ299" i="13"/>
  <c r="AH299" i="13"/>
  <c r="AC299" i="13" s="1"/>
  <c r="K299" i="13"/>
  <c r="F299" i="13"/>
  <c r="B299" i="13"/>
  <c r="AX298" i="13"/>
  <c r="AU298" i="13"/>
  <c r="AT298" i="13"/>
  <c r="AS298" i="13"/>
  <c r="AR298" i="13"/>
  <c r="AP298" i="13"/>
  <c r="AJ298" i="13"/>
  <c r="AH298" i="13"/>
  <c r="AA298" i="13" s="1"/>
  <c r="AC298" i="13"/>
  <c r="AB298" i="13"/>
  <c r="K298" i="13"/>
  <c r="F298" i="13"/>
  <c r="B298" i="13"/>
  <c r="AX297" i="13"/>
  <c r="AU297" i="13"/>
  <c r="AT297" i="13"/>
  <c r="B297" i="13" s="1"/>
  <c r="AS297" i="13"/>
  <c r="F297" i="13" s="1"/>
  <c r="AR297" i="13"/>
  <c r="AP297" i="13"/>
  <c r="AJ297" i="13"/>
  <c r="AH297" i="13"/>
  <c r="AC297" i="13" s="1"/>
  <c r="AB297" i="13"/>
  <c r="K297" i="13"/>
  <c r="AX296" i="13"/>
  <c r="AU296" i="13"/>
  <c r="AT296" i="13"/>
  <c r="B296" i="13" s="1"/>
  <c r="AS296" i="13"/>
  <c r="F296" i="13" s="1"/>
  <c r="AR296" i="13"/>
  <c r="AP296" i="13"/>
  <c r="AJ296" i="13"/>
  <c r="AH296" i="13"/>
  <c r="AC296" i="13"/>
  <c r="AB296" i="13"/>
  <c r="AA296" i="13"/>
  <c r="Z296" i="13"/>
  <c r="K296" i="13"/>
  <c r="AX295" i="13"/>
  <c r="AU295" i="13"/>
  <c r="AT295" i="13"/>
  <c r="B295" i="13" s="1"/>
  <c r="AS295" i="13"/>
  <c r="F295" i="13" s="1"/>
  <c r="AR295" i="13"/>
  <c r="AP295" i="13"/>
  <c r="AJ295" i="13"/>
  <c r="AH295" i="13"/>
  <c r="AC295" i="13"/>
  <c r="AB295" i="13"/>
  <c r="AA295" i="13"/>
  <c r="Z295" i="13"/>
  <c r="K295" i="13"/>
  <c r="AX294" i="13"/>
  <c r="AU294" i="13"/>
  <c r="AT294" i="13"/>
  <c r="B294" i="13" s="1"/>
  <c r="AS294" i="13"/>
  <c r="AR294" i="13"/>
  <c r="AP294" i="13"/>
  <c r="AJ294" i="13"/>
  <c r="AH294" i="13"/>
  <c r="AC294" i="13"/>
  <c r="AB294" i="13"/>
  <c r="AA294" i="13"/>
  <c r="Z294" i="13"/>
  <c r="K294" i="13"/>
  <c r="F294" i="13"/>
  <c r="AX293" i="13"/>
  <c r="AU293" i="13"/>
  <c r="AT293" i="13"/>
  <c r="AS293" i="13"/>
  <c r="AR293" i="13"/>
  <c r="AP293" i="13"/>
  <c r="AJ293" i="13"/>
  <c r="AH293" i="13"/>
  <c r="Z293" i="13"/>
  <c r="K293" i="13"/>
  <c r="F293" i="13"/>
  <c r="B293" i="13"/>
  <c r="AX292" i="13"/>
  <c r="AU292" i="13"/>
  <c r="AT292" i="13"/>
  <c r="AS292" i="13"/>
  <c r="AR292" i="13"/>
  <c r="AP292" i="13"/>
  <c r="AJ292" i="13"/>
  <c r="AH292" i="13"/>
  <c r="AC292" i="13" s="1"/>
  <c r="K292" i="13"/>
  <c r="F292" i="13"/>
  <c r="B292" i="13"/>
  <c r="AX291" i="13"/>
  <c r="AU291" i="13"/>
  <c r="AT291" i="13"/>
  <c r="AS291" i="13"/>
  <c r="AR291" i="13"/>
  <c r="AP291" i="13"/>
  <c r="AJ291" i="13"/>
  <c r="AH291" i="13"/>
  <c r="AC291" i="13" s="1"/>
  <c r="K291" i="13"/>
  <c r="F291" i="13"/>
  <c r="B291" i="13"/>
  <c r="AX290" i="13"/>
  <c r="AU290" i="13"/>
  <c r="AT290" i="13"/>
  <c r="AS290" i="13"/>
  <c r="AR290" i="13"/>
  <c r="AP290" i="13"/>
  <c r="AJ290" i="13"/>
  <c r="AH290" i="13"/>
  <c r="AA290" i="13" s="1"/>
  <c r="AC290" i="13"/>
  <c r="AB290" i="13"/>
  <c r="K290" i="13"/>
  <c r="F290" i="13"/>
  <c r="B290" i="13"/>
  <c r="AX289" i="13"/>
  <c r="AU289" i="13"/>
  <c r="AT289" i="13"/>
  <c r="B289" i="13" s="1"/>
  <c r="AS289" i="13"/>
  <c r="F289" i="13" s="1"/>
  <c r="AR289" i="13"/>
  <c r="AP289" i="13"/>
  <c r="AJ289" i="13"/>
  <c r="AH289" i="13"/>
  <c r="AC289" i="13" s="1"/>
  <c r="AB289" i="13"/>
  <c r="K289" i="13"/>
  <c r="AX288" i="13"/>
  <c r="AU288" i="13"/>
  <c r="AT288" i="13"/>
  <c r="B288" i="13" s="1"/>
  <c r="AS288" i="13"/>
  <c r="F288" i="13" s="1"/>
  <c r="AR288" i="13"/>
  <c r="AP288" i="13"/>
  <c r="AJ288" i="13"/>
  <c r="AH288" i="13"/>
  <c r="AC288" i="13"/>
  <c r="AB288" i="13"/>
  <c r="AA288" i="13"/>
  <c r="Z288" i="13"/>
  <c r="K288" i="13"/>
  <c r="AX287" i="13"/>
  <c r="AU287" i="13"/>
  <c r="AT287" i="13"/>
  <c r="B287" i="13" s="1"/>
  <c r="AS287" i="13"/>
  <c r="F287" i="13" s="1"/>
  <c r="AR287" i="13"/>
  <c r="AP287" i="13"/>
  <c r="AJ287" i="13"/>
  <c r="AH287" i="13"/>
  <c r="AC287" i="13"/>
  <c r="AB287" i="13"/>
  <c r="AA287" i="13"/>
  <c r="Z287" i="13"/>
  <c r="K287" i="13"/>
  <c r="AX286" i="13"/>
  <c r="AU286" i="13"/>
  <c r="AT286" i="13"/>
  <c r="B286" i="13" s="1"/>
  <c r="AS286" i="13"/>
  <c r="AR286" i="13"/>
  <c r="AP286" i="13"/>
  <c r="AJ286" i="13"/>
  <c r="AH286" i="13"/>
  <c r="AC286" i="13"/>
  <c r="AB286" i="13"/>
  <c r="AA286" i="13"/>
  <c r="Z286" i="13"/>
  <c r="K286" i="13"/>
  <c r="F286" i="13"/>
  <c r="AX285" i="13"/>
  <c r="AU285" i="13"/>
  <c r="AT285" i="13"/>
  <c r="AS285" i="13"/>
  <c r="AR285" i="13"/>
  <c r="AP285" i="13"/>
  <c r="AJ285" i="13"/>
  <c r="AH285" i="13"/>
  <c r="Z285" i="13"/>
  <c r="K285" i="13"/>
  <c r="F285" i="13"/>
  <c r="B285" i="13"/>
  <c r="AX284" i="13"/>
  <c r="AU284" i="13"/>
  <c r="AT284" i="13"/>
  <c r="AS284" i="13"/>
  <c r="AR284" i="13"/>
  <c r="AP284" i="13"/>
  <c r="AJ284" i="13"/>
  <c r="AH284" i="13"/>
  <c r="AC284" i="13" s="1"/>
  <c r="K284" i="13"/>
  <c r="F284" i="13"/>
  <c r="B284" i="13"/>
  <c r="AX283" i="13"/>
  <c r="AU283" i="13"/>
  <c r="AT283" i="13"/>
  <c r="AS283" i="13"/>
  <c r="AR283" i="13"/>
  <c r="AP283" i="13"/>
  <c r="AJ283" i="13"/>
  <c r="AH283" i="13"/>
  <c r="AC283" i="13" s="1"/>
  <c r="K283" i="13"/>
  <c r="F283" i="13"/>
  <c r="B283" i="13"/>
  <c r="AX282" i="13"/>
  <c r="AU282" i="13"/>
  <c r="AT282" i="13"/>
  <c r="AS282" i="13"/>
  <c r="AR282" i="13"/>
  <c r="AP282" i="13"/>
  <c r="AJ282" i="13"/>
  <c r="AH282" i="13"/>
  <c r="AA282" i="13" s="1"/>
  <c r="AC282" i="13"/>
  <c r="AB282" i="13"/>
  <c r="K282" i="13"/>
  <c r="F282" i="13"/>
  <c r="B282" i="13"/>
  <c r="AX281" i="13"/>
  <c r="AU281" i="13"/>
  <c r="AT281" i="13"/>
  <c r="B281" i="13" s="1"/>
  <c r="AS281" i="13"/>
  <c r="F281" i="13" s="1"/>
  <c r="AR281" i="13"/>
  <c r="AP281" i="13"/>
  <c r="AJ281" i="13"/>
  <c r="AH281" i="13"/>
  <c r="AC281" i="13" s="1"/>
  <c r="AB281" i="13"/>
  <c r="K281" i="13"/>
  <c r="AX280" i="13"/>
  <c r="AU280" i="13"/>
  <c r="AT280" i="13"/>
  <c r="B280" i="13" s="1"/>
  <c r="AS280" i="13"/>
  <c r="F280" i="13" s="1"/>
  <c r="AR280" i="13"/>
  <c r="AP280" i="13"/>
  <c r="AJ280" i="13"/>
  <c r="AH280" i="13"/>
  <c r="AC280" i="13"/>
  <c r="AB280" i="13"/>
  <c r="AA280" i="13"/>
  <c r="Z280" i="13"/>
  <c r="K280" i="13"/>
  <c r="AX279" i="13"/>
  <c r="AU279" i="13"/>
  <c r="AT279" i="13"/>
  <c r="B279" i="13" s="1"/>
  <c r="AS279" i="13"/>
  <c r="F279" i="13" s="1"/>
  <c r="AR279" i="13"/>
  <c r="AP279" i="13"/>
  <c r="AJ279" i="13"/>
  <c r="AH279" i="13"/>
  <c r="AC279" i="13"/>
  <c r="AB279" i="13"/>
  <c r="AA279" i="13"/>
  <c r="Z279" i="13"/>
  <c r="K279" i="13"/>
  <c r="AX278" i="13"/>
  <c r="AU278" i="13"/>
  <c r="AT278" i="13"/>
  <c r="B278" i="13" s="1"/>
  <c r="AS278" i="13"/>
  <c r="AR278" i="13"/>
  <c r="AP278" i="13"/>
  <c r="AJ278" i="13"/>
  <c r="AH278" i="13"/>
  <c r="AC278" i="13"/>
  <c r="AB278" i="13"/>
  <c r="AA278" i="13"/>
  <c r="Z278" i="13"/>
  <c r="K278" i="13"/>
  <c r="F278" i="13"/>
  <c r="AX277" i="13"/>
  <c r="AU277" i="13"/>
  <c r="AT277" i="13"/>
  <c r="AS277" i="13"/>
  <c r="AR277" i="13"/>
  <c r="AP277" i="13"/>
  <c r="AJ277" i="13"/>
  <c r="AH277" i="13"/>
  <c r="Z277" i="13"/>
  <c r="K277" i="13"/>
  <c r="F277" i="13"/>
  <c r="B277" i="13"/>
  <c r="AX276" i="13"/>
  <c r="AU276" i="13"/>
  <c r="AT276" i="13"/>
  <c r="AS276" i="13"/>
  <c r="AR276" i="13"/>
  <c r="AP276" i="13"/>
  <c r="AJ276" i="13"/>
  <c r="AH276" i="13"/>
  <c r="AC276" i="13" s="1"/>
  <c r="K276" i="13"/>
  <c r="F276" i="13"/>
  <c r="B276" i="13"/>
  <c r="AX275" i="13"/>
  <c r="AU275" i="13"/>
  <c r="AT275" i="13"/>
  <c r="AS275" i="13"/>
  <c r="AR275" i="13"/>
  <c r="AP275" i="13"/>
  <c r="AJ275" i="13"/>
  <c r="AH275" i="13"/>
  <c r="AC275" i="13" s="1"/>
  <c r="K275" i="13"/>
  <c r="F275" i="13"/>
  <c r="B275" i="13"/>
  <c r="AX274" i="13"/>
  <c r="AU274" i="13"/>
  <c r="AT274" i="13"/>
  <c r="AS274" i="13"/>
  <c r="AR274" i="13"/>
  <c r="AP274" i="13"/>
  <c r="AJ274" i="13"/>
  <c r="AH274" i="13"/>
  <c r="AA274" i="13" s="1"/>
  <c r="AC274" i="13"/>
  <c r="AB274" i="13"/>
  <c r="K274" i="13"/>
  <c r="F274" i="13"/>
  <c r="B274" i="13"/>
  <c r="AX273" i="13"/>
  <c r="AU273" i="13"/>
  <c r="AT273" i="13"/>
  <c r="B273" i="13" s="1"/>
  <c r="AS273" i="13"/>
  <c r="F273" i="13" s="1"/>
  <c r="AR273" i="13"/>
  <c r="AP273" i="13"/>
  <c r="AJ273" i="13"/>
  <c r="AH273" i="13"/>
  <c r="AC273" i="13" s="1"/>
  <c r="AB273" i="13"/>
  <c r="K273" i="13"/>
  <c r="AX272" i="13"/>
  <c r="AU272" i="13"/>
  <c r="AT272" i="13"/>
  <c r="B272" i="13" s="1"/>
  <c r="AS272" i="13"/>
  <c r="F272" i="13" s="1"/>
  <c r="AR272" i="13"/>
  <c r="AP272" i="13"/>
  <c r="AJ272" i="13"/>
  <c r="AH272" i="13"/>
  <c r="AC272" i="13"/>
  <c r="AB272" i="13"/>
  <c r="AA272" i="13"/>
  <c r="Z272" i="13"/>
  <c r="K272" i="13"/>
  <c r="AX271" i="13"/>
  <c r="AU271" i="13"/>
  <c r="AT271" i="13"/>
  <c r="B271" i="13" s="1"/>
  <c r="AS271" i="13"/>
  <c r="F271" i="13" s="1"/>
  <c r="AR271" i="13"/>
  <c r="AP271" i="13"/>
  <c r="AJ271" i="13"/>
  <c r="AH271" i="13"/>
  <c r="AC271" i="13"/>
  <c r="AB271" i="13"/>
  <c r="AA271" i="13"/>
  <c r="Z271" i="13"/>
  <c r="K271" i="13"/>
  <c r="AX270" i="13"/>
  <c r="AU270" i="13"/>
  <c r="AT270" i="13"/>
  <c r="B270" i="13" s="1"/>
  <c r="AS270" i="13"/>
  <c r="AR270" i="13"/>
  <c r="AP270" i="13"/>
  <c r="AJ270" i="13"/>
  <c r="AH270" i="13"/>
  <c r="AC270" i="13"/>
  <c r="AB270" i="13"/>
  <c r="AA270" i="13"/>
  <c r="Z270" i="13"/>
  <c r="K270" i="13"/>
  <c r="F270" i="13"/>
  <c r="AX269" i="13"/>
  <c r="AU269" i="13"/>
  <c r="AT269" i="13"/>
  <c r="AS269" i="13"/>
  <c r="AR269" i="13"/>
  <c r="AP269" i="13"/>
  <c r="AJ269" i="13"/>
  <c r="AH269" i="13"/>
  <c r="Z269" i="13"/>
  <c r="K269" i="13"/>
  <c r="F269" i="13"/>
  <c r="B269" i="13"/>
  <c r="AX268" i="13"/>
  <c r="AU268" i="13"/>
  <c r="AT268" i="13"/>
  <c r="AS268" i="13"/>
  <c r="AR268" i="13"/>
  <c r="AP268" i="13"/>
  <c r="AJ268" i="13"/>
  <c r="AH268" i="13"/>
  <c r="AC268" i="13" s="1"/>
  <c r="K268" i="13"/>
  <c r="F268" i="13"/>
  <c r="B268" i="13"/>
  <c r="AX267" i="13"/>
  <c r="AU267" i="13"/>
  <c r="AT267" i="13"/>
  <c r="AS267" i="13"/>
  <c r="AR267" i="13"/>
  <c r="AP267" i="13"/>
  <c r="AJ267" i="13"/>
  <c r="AH267" i="13"/>
  <c r="AC267" i="13" s="1"/>
  <c r="K267" i="13"/>
  <c r="F267" i="13"/>
  <c r="B267" i="13"/>
  <c r="AX266" i="13"/>
  <c r="AU266" i="13"/>
  <c r="AT266" i="13"/>
  <c r="AS266" i="13"/>
  <c r="AR266" i="13"/>
  <c r="AP266" i="13"/>
  <c r="AJ266" i="13"/>
  <c r="AH266" i="13"/>
  <c r="AA266" i="13" s="1"/>
  <c r="AC266" i="13"/>
  <c r="AB266" i="13"/>
  <c r="K266" i="13"/>
  <c r="F266" i="13"/>
  <c r="B266" i="13"/>
  <c r="AX265" i="13"/>
  <c r="AU265" i="13"/>
  <c r="AT265" i="13"/>
  <c r="B265" i="13" s="1"/>
  <c r="AS265" i="13"/>
  <c r="F265" i="13" s="1"/>
  <c r="AR265" i="13"/>
  <c r="AP265" i="13"/>
  <c r="AJ265" i="13"/>
  <c r="AH265" i="13"/>
  <c r="AC265" i="13" s="1"/>
  <c r="AB265" i="13"/>
  <c r="K265" i="13"/>
  <c r="AX264" i="13"/>
  <c r="AU264" i="13"/>
  <c r="AT264" i="13"/>
  <c r="B264" i="13" s="1"/>
  <c r="AS264" i="13"/>
  <c r="F264" i="13" s="1"/>
  <c r="AR264" i="13"/>
  <c r="AP264" i="13"/>
  <c r="AJ264" i="13"/>
  <c r="AH264" i="13"/>
  <c r="AC264" i="13"/>
  <c r="AB264" i="13"/>
  <c r="AA264" i="13"/>
  <c r="Z264" i="13"/>
  <c r="K264" i="13"/>
  <c r="AX263" i="13"/>
  <c r="AU263" i="13"/>
  <c r="AT263" i="13"/>
  <c r="B263" i="13" s="1"/>
  <c r="AS263" i="13"/>
  <c r="F263" i="13" s="1"/>
  <c r="AR263" i="13"/>
  <c r="AP263" i="13"/>
  <c r="AJ263" i="13"/>
  <c r="AH263" i="13"/>
  <c r="AC263" i="13"/>
  <c r="AB263" i="13"/>
  <c r="AA263" i="13"/>
  <c r="Z263" i="13"/>
  <c r="K263" i="13"/>
  <c r="AX262" i="13"/>
  <c r="AU262" i="13"/>
  <c r="AT262" i="13"/>
  <c r="B262" i="13" s="1"/>
  <c r="AS262" i="13"/>
  <c r="AR262" i="13"/>
  <c r="AP262" i="13"/>
  <c r="AJ262" i="13"/>
  <c r="AH262" i="13"/>
  <c r="AC262" i="13"/>
  <c r="AB262" i="13"/>
  <c r="AA262" i="13"/>
  <c r="Z262" i="13"/>
  <c r="K262" i="13"/>
  <c r="F262" i="13"/>
  <c r="AX261" i="13"/>
  <c r="AU261" i="13"/>
  <c r="AT261" i="13"/>
  <c r="AS261" i="13"/>
  <c r="AR261" i="13"/>
  <c r="AP261" i="13"/>
  <c r="AJ261" i="13"/>
  <c r="AH261" i="13"/>
  <c r="AA261" i="13"/>
  <c r="Z261" i="13"/>
  <c r="K261" i="13"/>
  <c r="F261" i="13"/>
  <c r="B261" i="13"/>
  <c r="AX260" i="13"/>
  <c r="AU260" i="13"/>
  <c r="AT260" i="13"/>
  <c r="AS260" i="13"/>
  <c r="AR260" i="13"/>
  <c r="AP260" i="13"/>
  <c r="AJ260" i="13"/>
  <c r="AH260" i="13"/>
  <c r="AC260" i="13" s="1"/>
  <c r="K260" i="13"/>
  <c r="F260" i="13"/>
  <c r="B260" i="13"/>
  <c r="AX259" i="13"/>
  <c r="AU259" i="13"/>
  <c r="AT259" i="13"/>
  <c r="AS259" i="13"/>
  <c r="AR259" i="13"/>
  <c r="AP259" i="13"/>
  <c r="AJ259" i="13"/>
  <c r="AH259" i="13"/>
  <c r="AC259" i="13" s="1"/>
  <c r="K259" i="13"/>
  <c r="F259" i="13"/>
  <c r="B259" i="13"/>
  <c r="AX258" i="13"/>
  <c r="AU258" i="13"/>
  <c r="AT258" i="13"/>
  <c r="AS258" i="13"/>
  <c r="AR258" i="13"/>
  <c r="AP258" i="13"/>
  <c r="AJ258" i="13"/>
  <c r="AH258" i="13"/>
  <c r="AA258" i="13" s="1"/>
  <c r="AC258" i="13"/>
  <c r="AB258" i="13"/>
  <c r="K258" i="13"/>
  <c r="F258" i="13"/>
  <c r="B258" i="13"/>
  <c r="AX257" i="13"/>
  <c r="AU257" i="13"/>
  <c r="AT257" i="13"/>
  <c r="B257" i="13" s="1"/>
  <c r="AS257" i="13"/>
  <c r="F257" i="13" s="1"/>
  <c r="AR257" i="13"/>
  <c r="AP257" i="13"/>
  <c r="AJ257" i="13"/>
  <c r="AH257" i="13"/>
  <c r="AC257" i="13" s="1"/>
  <c r="AB257" i="13"/>
  <c r="K257" i="13"/>
  <c r="AX256" i="13"/>
  <c r="AU256" i="13"/>
  <c r="AT256" i="13"/>
  <c r="B256" i="13" s="1"/>
  <c r="AS256" i="13"/>
  <c r="F256" i="13" s="1"/>
  <c r="AR256" i="13"/>
  <c r="AP256" i="13"/>
  <c r="AJ256" i="13"/>
  <c r="AH256" i="13"/>
  <c r="AC256" i="13"/>
  <c r="AB256" i="13"/>
  <c r="AA256" i="13"/>
  <c r="Z256" i="13"/>
  <c r="K256" i="13"/>
  <c r="AX255" i="13"/>
  <c r="AU255" i="13"/>
  <c r="AT255" i="13"/>
  <c r="B255" i="13" s="1"/>
  <c r="AS255" i="13"/>
  <c r="F255" i="13" s="1"/>
  <c r="AR255" i="13"/>
  <c r="AP255" i="13"/>
  <c r="AJ255" i="13"/>
  <c r="AH255" i="13"/>
  <c r="AC255" i="13"/>
  <c r="AB255" i="13"/>
  <c r="AA255" i="13"/>
  <c r="Z255" i="13"/>
  <c r="K255" i="13"/>
  <c r="AX254" i="13"/>
  <c r="AU254" i="13"/>
  <c r="AT254" i="13"/>
  <c r="B254" i="13" s="1"/>
  <c r="AS254" i="13"/>
  <c r="AR254" i="13"/>
  <c r="AP254" i="13"/>
  <c r="AJ254" i="13"/>
  <c r="AH254" i="13"/>
  <c r="AC254" i="13"/>
  <c r="AB254" i="13"/>
  <c r="AA254" i="13"/>
  <c r="Z254" i="13"/>
  <c r="K254" i="13"/>
  <c r="F254" i="13"/>
  <c r="AX253" i="13"/>
  <c r="AU253" i="13"/>
  <c r="AT253" i="13"/>
  <c r="AS253" i="13"/>
  <c r="AR253" i="13"/>
  <c r="AP253" i="13"/>
  <c r="AJ253" i="13"/>
  <c r="AH253" i="13"/>
  <c r="AA253" i="13"/>
  <c r="Z253" i="13"/>
  <c r="K253" i="13"/>
  <c r="F253" i="13"/>
  <c r="B253" i="13"/>
  <c r="AX252" i="13"/>
  <c r="AU252" i="13"/>
  <c r="AT252" i="13"/>
  <c r="AS252" i="13"/>
  <c r="AR252" i="13"/>
  <c r="AP252" i="13"/>
  <c r="AJ252" i="13"/>
  <c r="AH252" i="13"/>
  <c r="AC252" i="13" s="1"/>
  <c r="K252" i="13"/>
  <c r="F252" i="13"/>
  <c r="B252" i="13"/>
  <c r="AX251" i="13"/>
  <c r="AU251" i="13"/>
  <c r="AT251" i="13"/>
  <c r="AS251" i="13"/>
  <c r="AR251" i="13"/>
  <c r="AP251" i="13"/>
  <c r="AJ251" i="13"/>
  <c r="AH251" i="13"/>
  <c r="AC251" i="13" s="1"/>
  <c r="K251" i="13"/>
  <c r="F251" i="13"/>
  <c r="B251" i="13"/>
  <c r="AX250" i="13"/>
  <c r="AU250" i="13"/>
  <c r="AT250" i="13"/>
  <c r="AS250" i="13"/>
  <c r="AR250" i="13"/>
  <c r="AP250" i="13"/>
  <c r="AJ250" i="13"/>
  <c r="AH250" i="13"/>
  <c r="AA250" i="13" s="1"/>
  <c r="AC250" i="13"/>
  <c r="AB250" i="13"/>
  <c r="K250" i="13"/>
  <c r="F250" i="13"/>
  <c r="B250" i="13"/>
  <c r="AX249" i="13"/>
  <c r="AU249" i="13"/>
  <c r="AT249" i="13"/>
  <c r="B249" i="13" s="1"/>
  <c r="AS249" i="13"/>
  <c r="F249" i="13" s="1"/>
  <c r="AR249" i="13"/>
  <c r="AP249" i="13"/>
  <c r="AJ249" i="13"/>
  <c r="AH249" i="13"/>
  <c r="AC249" i="13" s="1"/>
  <c r="AB249" i="13"/>
  <c r="K249" i="13"/>
  <c r="AX248" i="13"/>
  <c r="AU248" i="13"/>
  <c r="AT248" i="13"/>
  <c r="B248" i="13" s="1"/>
  <c r="AS248" i="13"/>
  <c r="F248" i="13" s="1"/>
  <c r="AR248" i="13"/>
  <c r="AP248" i="13"/>
  <c r="AJ248" i="13"/>
  <c r="AH248" i="13"/>
  <c r="AC248" i="13"/>
  <c r="AB248" i="13"/>
  <c r="AA248" i="13"/>
  <c r="Z248" i="13"/>
  <c r="K248" i="13"/>
  <c r="AX247" i="13"/>
  <c r="AU247" i="13"/>
  <c r="AT247" i="13"/>
  <c r="B247" i="13" s="1"/>
  <c r="AS247" i="13"/>
  <c r="F247" i="13" s="1"/>
  <c r="AR247" i="13"/>
  <c r="AP247" i="13"/>
  <c r="AJ247" i="13"/>
  <c r="AH247" i="13"/>
  <c r="AC247" i="13"/>
  <c r="AB247" i="13"/>
  <c r="AA247" i="13"/>
  <c r="Z247" i="13"/>
  <c r="K247" i="13"/>
  <c r="AX246" i="13"/>
  <c r="AU246" i="13"/>
  <c r="AT246" i="13"/>
  <c r="B246" i="13" s="1"/>
  <c r="AS246" i="13"/>
  <c r="AR246" i="13"/>
  <c r="AP246" i="13"/>
  <c r="AJ246" i="13"/>
  <c r="AH246" i="13"/>
  <c r="AC246" i="13"/>
  <c r="AB246" i="13"/>
  <c r="AA246" i="13"/>
  <c r="Z246" i="13"/>
  <c r="K246" i="13"/>
  <c r="F246" i="13"/>
  <c r="AX245" i="13"/>
  <c r="AU245" i="13"/>
  <c r="AT245" i="13"/>
  <c r="AS245" i="13"/>
  <c r="AR245" i="13"/>
  <c r="AP245" i="13"/>
  <c r="AJ245" i="13"/>
  <c r="AH245" i="13"/>
  <c r="AA245" i="13"/>
  <c r="Z245" i="13"/>
  <c r="K245" i="13"/>
  <c r="F245" i="13"/>
  <c r="B245" i="13"/>
  <c r="AX244" i="13"/>
  <c r="AU244" i="13"/>
  <c r="AT244" i="13"/>
  <c r="AS244" i="13"/>
  <c r="AR244" i="13"/>
  <c r="AP244" i="13"/>
  <c r="AJ244" i="13"/>
  <c r="AH244" i="13"/>
  <c r="AC244" i="13" s="1"/>
  <c r="K244" i="13"/>
  <c r="F244" i="13"/>
  <c r="B244" i="13"/>
  <c r="AX243" i="13"/>
  <c r="AU243" i="13"/>
  <c r="AT243" i="13"/>
  <c r="AS243" i="13"/>
  <c r="AR243" i="13"/>
  <c r="AP243" i="13"/>
  <c r="AJ243" i="13"/>
  <c r="AH243" i="13"/>
  <c r="AC243" i="13" s="1"/>
  <c r="K243" i="13"/>
  <c r="F243" i="13"/>
  <c r="B243" i="13"/>
  <c r="AX242" i="13"/>
  <c r="AU242" i="13"/>
  <c r="AT242" i="13"/>
  <c r="AS242" i="13"/>
  <c r="AR242" i="13"/>
  <c r="AP242" i="13"/>
  <c r="AJ242" i="13"/>
  <c r="AH242" i="13"/>
  <c r="AA242" i="13" s="1"/>
  <c r="AC242" i="13"/>
  <c r="AB242" i="13"/>
  <c r="K242" i="13"/>
  <c r="F242" i="13"/>
  <c r="B242" i="13"/>
  <c r="AX241" i="13"/>
  <c r="AU241" i="13"/>
  <c r="AT241" i="13"/>
  <c r="B241" i="13" s="1"/>
  <c r="AS241" i="13"/>
  <c r="F241" i="13" s="1"/>
  <c r="AR241" i="13"/>
  <c r="AP241" i="13"/>
  <c r="AJ241" i="13"/>
  <c r="AH241" i="13"/>
  <c r="AC241" i="13" s="1"/>
  <c r="AB241" i="13"/>
  <c r="AA241" i="13"/>
  <c r="K241" i="13"/>
  <c r="AX240" i="13"/>
  <c r="AU240" i="13"/>
  <c r="AT240" i="13"/>
  <c r="B240" i="13" s="1"/>
  <c r="AS240" i="13"/>
  <c r="F240" i="13" s="1"/>
  <c r="AR240" i="13"/>
  <c r="AP240" i="13"/>
  <c r="AJ240" i="13"/>
  <c r="AH240" i="13"/>
  <c r="AC240" i="13"/>
  <c r="AB240" i="13"/>
  <c r="AA240" i="13"/>
  <c r="Z240" i="13"/>
  <c r="K240" i="13"/>
  <c r="AX239" i="13"/>
  <c r="AU239" i="13"/>
  <c r="AT239" i="13"/>
  <c r="B239" i="13" s="1"/>
  <c r="AS239" i="13"/>
  <c r="F239" i="13" s="1"/>
  <c r="AR239" i="13"/>
  <c r="AP239" i="13"/>
  <c r="AJ239" i="13"/>
  <c r="AH239" i="13"/>
  <c r="AC239" i="13"/>
  <c r="AB239" i="13"/>
  <c r="AA239" i="13"/>
  <c r="Z239" i="13"/>
  <c r="K239" i="13"/>
  <c r="AX238" i="13"/>
  <c r="AU238" i="13"/>
  <c r="AT238" i="13"/>
  <c r="B238" i="13" s="1"/>
  <c r="AS238" i="13"/>
  <c r="AR238" i="13"/>
  <c r="AP238" i="13"/>
  <c r="AJ238" i="13"/>
  <c r="AH238" i="13"/>
  <c r="AC238" i="13"/>
  <c r="AB238" i="13"/>
  <c r="AA238" i="13"/>
  <c r="Z238" i="13"/>
  <c r="K238" i="13"/>
  <c r="F238" i="13"/>
  <c r="AX237" i="13"/>
  <c r="AU237" i="13"/>
  <c r="AT237" i="13"/>
  <c r="AS237" i="13"/>
  <c r="AR237" i="13"/>
  <c r="AP237" i="13"/>
  <c r="AJ237" i="13"/>
  <c r="AH237" i="13"/>
  <c r="AA237" i="13"/>
  <c r="Z237" i="13"/>
  <c r="K237" i="13"/>
  <c r="F237" i="13"/>
  <c r="B237" i="13"/>
  <c r="AX236" i="13"/>
  <c r="AU236" i="13"/>
  <c r="AT236" i="13"/>
  <c r="AS236" i="13"/>
  <c r="AR236" i="13"/>
  <c r="AP236" i="13"/>
  <c r="AJ236" i="13"/>
  <c r="AH236" i="13"/>
  <c r="AC236" i="13" s="1"/>
  <c r="K236" i="13"/>
  <c r="F236" i="13"/>
  <c r="B236" i="13"/>
  <c r="AX235" i="13"/>
  <c r="AU235" i="13"/>
  <c r="AT235" i="13"/>
  <c r="AS235" i="13"/>
  <c r="AR235" i="13"/>
  <c r="AP235" i="13"/>
  <c r="AJ235" i="13"/>
  <c r="AH235" i="13"/>
  <c r="AC235" i="13" s="1"/>
  <c r="K235" i="13"/>
  <c r="F235" i="13"/>
  <c r="B235" i="13"/>
  <c r="AX234" i="13"/>
  <c r="AU234" i="13"/>
  <c r="AT234" i="13"/>
  <c r="AS234" i="13"/>
  <c r="AR234" i="13"/>
  <c r="AP234" i="13"/>
  <c r="AJ234" i="13"/>
  <c r="AH234" i="13"/>
  <c r="AA234" i="13" s="1"/>
  <c r="AC234" i="13"/>
  <c r="AB234" i="13"/>
  <c r="K234" i="13"/>
  <c r="F234" i="13"/>
  <c r="B234" i="13"/>
  <c r="AX233" i="13"/>
  <c r="AU233" i="13"/>
  <c r="AT233" i="13"/>
  <c r="B233" i="13" s="1"/>
  <c r="AS233" i="13"/>
  <c r="AR233" i="13"/>
  <c r="AP233" i="13"/>
  <c r="AJ233" i="13"/>
  <c r="AH233" i="13"/>
  <c r="AE233" i="13" s="1"/>
  <c r="AC233" i="13"/>
  <c r="AB233" i="13"/>
  <c r="K233" i="13"/>
  <c r="F233" i="13"/>
  <c r="AX232" i="13"/>
  <c r="AU232" i="13"/>
  <c r="AT232" i="13"/>
  <c r="B232" i="13" s="1"/>
  <c r="AS232" i="13"/>
  <c r="AR232" i="13"/>
  <c r="AP232" i="13"/>
  <c r="AJ232" i="13"/>
  <c r="AH232" i="13"/>
  <c r="AE232" i="13" s="1"/>
  <c r="AC232" i="13"/>
  <c r="AB232" i="13"/>
  <c r="K232" i="13"/>
  <c r="F232" i="13"/>
  <c r="AX231" i="13"/>
  <c r="AU231" i="13"/>
  <c r="AT231" i="13"/>
  <c r="B231" i="13" s="1"/>
  <c r="AS231" i="13"/>
  <c r="AR231" i="13"/>
  <c r="AP231" i="13"/>
  <c r="AJ231" i="13"/>
  <c r="AH231" i="13"/>
  <c r="AE231" i="13" s="1"/>
  <c r="AC231" i="13"/>
  <c r="AB231" i="13"/>
  <c r="K231" i="13"/>
  <c r="F231" i="13"/>
  <c r="AX230" i="13"/>
  <c r="AU230" i="13"/>
  <c r="AT230" i="13"/>
  <c r="B230" i="13" s="1"/>
  <c r="AS230" i="13"/>
  <c r="AR230" i="13"/>
  <c r="AP230" i="13"/>
  <c r="AJ230" i="13"/>
  <c r="AH230" i="13"/>
  <c r="AE230" i="13" s="1"/>
  <c r="AC230" i="13"/>
  <c r="AB230" i="13"/>
  <c r="K230" i="13"/>
  <c r="F230" i="13"/>
  <c r="AX229" i="13"/>
  <c r="AU229" i="13"/>
  <c r="AT229" i="13"/>
  <c r="B229" i="13" s="1"/>
  <c r="AS229" i="13"/>
  <c r="AR229" i="13"/>
  <c r="AP229" i="13"/>
  <c r="AJ229" i="13"/>
  <c r="AH229" i="13"/>
  <c r="AE229" i="13" s="1"/>
  <c r="AC229" i="13"/>
  <c r="AB229" i="13"/>
  <c r="K229" i="13"/>
  <c r="F229" i="13"/>
  <c r="AX228" i="13"/>
  <c r="AU228" i="13"/>
  <c r="AT228" i="13"/>
  <c r="B228" i="13" s="1"/>
  <c r="AS228" i="13"/>
  <c r="AR228" i="13"/>
  <c r="AP228" i="13"/>
  <c r="AJ228" i="13"/>
  <c r="AH228" i="13"/>
  <c r="AE228" i="13" s="1"/>
  <c r="AC228" i="13"/>
  <c r="AB228" i="13"/>
  <c r="K228" i="13"/>
  <c r="F228" i="13"/>
  <c r="AX227" i="13"/>
  <c r="AU227" i="13"/>
  <c r="AT227" i="13"/>
  <c r="B227" i="13" s="1"/>
  <c r="AS227" i="13"/>
  <c r="AR227" i="13"/>
  <c r="AP227" i="13"/>
  <c r="AJ227" i="13"/>
  <c r="AH227" i="13"/>
  <c r="AE227" i="13" s="1"/>
  <c r="AC227" i="13"/>
  <c r="AB227" i="13"/>
  <c r="K227" i="13"/>
  <c r="F227" i="13"/>
  <c r="AX226" i="13"/>
  <c r="AU226" i="13"/>
  <c r="AT226" i="13"/>
  <c r="B226" i="13" s="1"/>
  <c r="AS226" i="13"/>
  <c r="AR226" i="13"/>
  <c r="AP226" i="13"/>
  <c r="AJ226" i="13"/>
  <c r="AH226" i="13"/>
  <c r="AE226" i="13" s="1"/>
  <c r="AC226" i="13"/>
  <c r="AB226" i="13"/>
  <c r="K226" i="13"/>
  <c r="F226" i="13"/>
  <c r="AX225" i="13"/>
  <c r="AU225" i="13"/>
  <c r="AT225" i="13"/>
  <c r="B225" i="13" s="1"/>
  <c r="AS225" i="13"/>
  <c r="AR225" i="13"/>
  <c r="AP225" i="13"/>
  <c r="AJ225" i="13"/>
  <c r="AH225" i="13"/>
  <c r="AE225" i="13" s="1"/>
  <c r="AC225" i="13"/>
  <c r="AB225" i="13"/>
  <c r="K225" i="13"/>
  <c r="F225" i="13"/>
  <c r="AX224" i="13"/>
  <c r="AU224" i="13"/>
  <c r="AT224" i="13"/>
  <c r="B224" i="13" s="1"/>
  <c r="AS224" i="13"/>
  <c r="AR224" i="13"/>
  <c r="AP224" i="13"/>
  <c r="AJ224" i="13"/>
  <c r="AH224" i="13"/>
  <c r="AE224" i="13" s="1"/>
  <c r="AC224" i="13"/>
  <c r="AB224" i="13"/>
  <c r="K224" i="13"/>
  <c r="F224" i="13"/>
  <c r="AX223" i="13"/>
  <c r="AU223" i="13"/>
  <c r="AT223" i="13"/>
  <c r="AS223" i="13"/>
  <c r="AR223" i="13"/>
  <c r="AP223" i="13"/>
  <c r="AJ223" i="13"/>
  <c r="AH223" i="13"/>
  <c r="AV223" i="13" s="1"/>
  <c r="AI223" i="13" s="1"/>
  <c r="AC223" i="13"/>
  <c r="AB223" i="13"/>
  <c r="K223" i="13"/>
  <c r="F223" i="13"/>
  <c r="B223" i="13"/>
  <c r="AX222" i="13"/>
  <c r="AU222" i="13"/>
  <c r="AT222" i="13"/>
  <c r="B222" i="13" s="1"/>
  <c r="AS222" i="13"/>
  <c r="AR222" i="13"/>
  <c r="AP222" i="13"/>
  <c r="AJ222" i="13"/>
  <c r="AH222" i="13"/>
  <c r="AC222" i="13"/>
  <c r="AB222" i="13"/>
  <c r="K222" i="13"/>
  <c r="F222" i="13"/>
  <c r="AX221" i="13"/>
  <c r="AU221" i="13"/>
  <c r="AT221" i="13"/>
  <c r="AS221" i="13"/>
  <c r="AR221" i="13"/>
  <c r="AP221" i="13"/>
  <c r="AJ221" i="13"/>
  <c r="AH221" i="13"/>
  <c r="K221" i="13"/>
  <c r="F221" i="13"/>
  <c r="B221" i="13"/>
  <c r="AX220" i="13"/>
  <c r="AU220" i="13"/>
  <c r="AT220" i="13"/>
  <c r="B220" i="13" s="1"/>
  <c r="AS220" i="13"/>
  <c r="AR220" i="13"/>
  <c r="AP220" i="13"/>
  <c r="AJ220" i="13"/>
  <c r="AH220" i="13"/>
  <c r="AC220" i="13" s="1"/>
  <c r="AB220" i="13"/>
  <c r="K220" i="13"/>
  <c r="F220" i="13"/>
  <c r="AX219" i="13"/>
  <c r="AU219" i="13"/>
  <c r="AT219" i="13"/>
  <c r="AS219" i="13"/>
  <c r="AR219" i="13"/>
  <c r="AP219" i="13"/>
  <c r="AJ219" i="13"/>
  <c r="AH219" i="13"/>
  <c r="AC219" i="13" s="1"/>
  <c r="AB219" i="13"/>
  <c r="K219" i="13"/>
  <c r="F219" i="13"/>
  <c r="B219" i="13"/>
  <c r="AX218" i="13"/>
  <c r="AU218" i="13"/>
  <c r="AT218" i="13"/>
  <c r="AS218" i="13"/>
  <c r="AR218" i="13"/>
  <c r="AP218" i="13"/>
  <c r="AJ218" i="13"/>
  <c r="AH218" i="13"/>
  <c r="AC218" i="13" s="1"/>
  <c r="K218" i="13"/>
  <c r="F218" i="13"/>
  <c r="B218" i="13"/>
  <c r="AX217" i="13"/>
  <c r="AU217" i="13"/>
  <c r="AT217" i="13"/>
  <c r="AS217" i="13"/>
  <c r="AR217" i="13"/>
  <c r="AP217" i="13"/>
  <c r="AJ217" i="13"/>
  <c r="AH217" i="13"/>
  <c r="AC217" i="13"/>
  <c r="AB217" i="13"/>
  <c r="K217" i="13"/>
  <c r="F217" i="13"/>
  <c r="AX216" i="13"/>
  <c r="AU216" i="13"/>
  <c r="AT216" i="13"/>
  <c r="AS216" i="13"/>
  <c r="F216" i="13" s="1"/>
  <c r="AR216" i="13"/>
  <c r="AP216" i="13"/>
  <c r="AJ216" i="13"/>
  <c r="AH216" i="13"/>
  <c r="K216" i="13"/>
  <c r="B216" i="13"/>
  <c r="AX215" i="13"/>
  <c r="AU215" i="13"/>
  <c r="AT215" i="13"/>
  <c r="AS215" i="13"/>
  <c r="F215" i="13" s="1"/>
  <c r="AR215" i="13"/>
  <c r="AP215" i="13"/>
  <c r="AJ215" i="13"/>
  <c r="AH215" i="13"/>
  <c r="AE215" i="13"/>
  <c r="AC215" i="13"/>
  <c r="K215" i="13"/>
  <c r="B215" i="13"/>
  <c r="AX214" i="13"/>
  <c r="AU214" i="13"/>
  <c r="AT214" i="13"/>
  <c r="B214" i="13" s="1"/>
  <c r="AS214" i="13"/>
  <c r="F214" i="13" s="1"/>
  <c r="AR214" i="13"/>
  <c r="AP214" i="13"/>
  <c r="AJ214" i="13"/>
  <c r="AH214" i="13"/>
  <c r="K214" i="13"/>
  <c r="AX213" i="13"/>
  <c r="AU213" i="13"/>
  <c r="AT213" i="13"/>
  <c r="B213" i="13" s="1"/>
  <c r="AS213" i="13"/>
  <c r="F213" i="13" s="1"/>
  <c r="AR213" i="13"/>
  <c r="AP213" i="13"/>
  <c r="AJ213" i="13"/>
  <c r="AH213" i="13"/>
  <c r="Z213" i="13" s="1"/>
  <c r="AE213" i="13"/>
  <c r="AC213" i="13"/>
  <c r="AB213" i="13"/>
  <c r="AA213" i="13"/>
  <c r="K213" i="13"/>
  <c r="AX212" i="13"/>
  <c r="AU212" i="13"/>
  <c r="AT212" i="13"/>
  <c r="B212" i="13" s="1"/>
  <c r="AS212" i="13"/>
  <c r="F212" i="13" s="1"/>
  <c r="AR212" i="13"/>
  <c r="AP212" i="13"/>
  <c r="AJ212" i="13"/>
  <c r="AH212" i="13"/>
  <c r="AE212" i="13"/>
  <c r="AC212" i="13"/>
  <c r="AB212" i="13"/>
  <c r="AA212" i="13"/>
  <c r="Z212" i="13"/>
  <c r="K212" i="13"/>
  <c r="AX211" i="13"/>
  <c r="AU211" i="13"/>
  <c r="AT211" i="13"/>
  <c r="B211" i="13" s="1"/>
  <c r="AS211" i="13"/>
  <c r="AR211" i="13"/>
  <c r="AP211" i="13"/>
  <c r="AJ211" i="13"/>
  <c r="AH211" i="13"/>
  <c r="AE211" i="13" s="1"/>
  <c r="AC211" i="13"/>
  <c r="AB211" i="13"/>
  <c r="AA211" i="13"/>
  <c r="Z211" i="13"/>
  <c r="K211" i="13"/>
  <c r="AX210" i="13"/>
  <c r="AU210" i="13"/>
  <c r="AT210" i="13"/>
  <c r="AS210" i="13"/>
  <c r="F210" i="13" s="1"/>
  <c r="AR210" i="13"/>
  <c r="AP210" i="13"/>
  <c r="AJ210" i="13"/>
  <c r="AH210" i="13"/>
  <c r="AV210" i="13" s="1"/>
  <c r="AI210" i="13" s="1"/>
  <c r="AB210" i="13"/>
  <c r="AA210" i="13"/>
  <c r="Z210" i="13"/>
  <c r="K210" i="13"/>
  <c r="B210" i="13"/>
  <c r="AX209" i="13"/>
  <c r="AU209" i="13"/>
  <c r="AT209" i="13"/>
  <c r="AS209" i="13"/>
  <c r="AR209" i="13"/>
  <c r="AP209" i="13"/>
  <c r="AJ209" i="13"/>
  <c r="AH209" i="13"/>
  <c r="Z209" i="13"/>
  <c r="K209" i="13"/>
  <c r="B209" i="13"/>
  <c r="AX208" i="13"/>
  <c r="AU208" i="13"/>
  <c r="AT208" i="13"/>
  <c r="AS208" i="13"/>
  <c r="AR208" i="13"/>
  <c r="AP208" i="13"/>
  <c r="AJ208" i="13"/>
  <c r="AH208" i="13"/>
  <c r="AE208" i="13"/>
  <c r="K208" i="13"/>
  <c r="F208" i="13"/>
  <c r="B208" i="13"/>
  <c r="AX207" i="13"/>
  <c r="AU207" i="13"/>
  <c r="AT207" i="13"/>
  <c r="AS207" i="13"/>
  <c r="AR207" i="13"/>
  <c r="AP207" i="13"/>
  <c r="AJ207" i="13"/>
  <c r="AH207" i="13"/>
  <c r="K207" i="13"/>
  <c r="F207" i="13"/>
  <c r="AX206" i="13"/>
  <c r="AU206" i="13"/>
  <c r="AT206" i="13"/>
  <c r="AS206" i="13"/>
  <c r="AR206" i="13"/>
  <c r="AP206" i="13"/>
  <c r="AJ206" i="13"/>
  <c r="AH206" i="13"/>
  <c r="AE206" i="13"/>
  <c r="AC206" i="13"/>
  <c r="K206" i="13"/>
  <c r="F206" i="13"/>
  <c r="B206" i="13"/>
  <c r="AX205" i="13"/>
  <c r="AU205" i="13"/>
  <c r="AT205" i="13"/>
  <c r="AS205" i="13"/>
  <c r="AR205" i="13"/>
  <c r="AP205" i="13"/>
  <c r="AJ205" i="13"/>
  <c r="AH205" i="13"/>
  <c r="K205" i="13"/>
  <c r="F205" i="13"/>
  <c r="B205" i="13"/>
  <c r="AX204" i="13"/>
  <c r="AU204" i="13"/>
  <c r="AT204" i="13"/>
  <c r="AS204" i="13"/>
  <c r="AR204" i="13"/>
  <c r="AP204" i="13"/>
  <c r="AJ204" i="13"/>
  <c r="AH204" i="13"/>
  <c r="AE204" i="13"/>
  <c r="K204" i="13"/>
  <c r="F204" i="13"/>
  <c r="B204" i="13"/>
  <c r="AX203" i="13"/>
  <c r="AU203" i="13"/>
  <c r="AT203" i="13"/>
  <c r="AS203" i="13"/>
  <c r="F203" i="13" s="1"/>
  <c r="AR203" i="13"/>
  <c r="AP203" i="13"/>
  <c r="AJ203" i="13"/>
  <c r="AH203" i="13"/>
  <c r="AV203" i="13" s="1"/>
  <c r="AI203" i="13" s="1"/>
  <c r="AB203" i="13"/>
  <c r="AA203" i="13"/>
  <c r="Z203" i="13"/>
  <c r="K203" i="13"/>
  <c r="AX202" i="13"/>
  <c r="AU202" i="13"/>
  <c r="AT202" i="13"/>
  <c r="AS202" i="13"/>
  <c r="AR202" i="13"/>
  <c r="AP202" i="13"/>
  <c r="AJ202" i="13"/>
  <c r="AH202" i="13"/>
  <c r="Z202" i="13"/>
  <c r="K202" i="13"/>
  <c r="F202" i="13"/>
  <c r="B202" i="13"/>
  <c r="AX201" i="13"/>
  <c r="AU201" i="13"/>
  <c r="AT201" i="13"/>
  <c r="AS201" i="13"/>
  <c r="F201" i="13" s="1"/>
  <c r="AR201" i="13"/>
  <c r="AL201" i="13"/>
  <c r="AP201" i="13" s="1"/>
  <c r="AJ201" i="13"/>
  <c r="AH201" i="13"/>
  <c r="K201" i="13"/>
  <c r="B201" i="13"/>
  <c r="AX200" i="13"/>
  <c r="AU200" i="13"/>
  <c r="AT200" i="13"/>
  <c r="B200" i="13" s="1"/>
  <c r="AS200" i="13"/>
  <c r="AR200" i="13"/>
  <c r="AP200" i="13"/>
  <c r="AJ200" i="13"/>
  <c r="AH200" i="13"/>
  <c r="AE200" i="13" s="1"/>
  <c r="AC200" i="13"/>
  <c r="AB200" i="13"/>
  <c r="AA200" i="13"/>
  <c r="Z200" i="13"/>
  <c r="K200" i="13"/>
  <c r="AX199" i="13"/>
  <c r="AU199" i="13"/>
  <c r="AT199" i="13"/>
  <c r="B199" i="13" s="1"/>
  <c r="AS199" i="13"/>
  <c r="AR199" i="13"/>
  <c r="AP199" i="13"/>
  <c r="AJ199" i="13"/>
  <c r="AH199" i="13"/>
  <c r="AE199" i="13" s="1"/>
  <c r="AC199" i="13"/>
  <c r="AB199" i="13"/>
  <c r="AA199" i="13"/>
  <c r="Z199" i="13"/>
  <c r="F199" i="13"/>
  <c r="AX198" i="13"/>
  <c r="AU198" i="13"/>
  <c r="AT198" i="13"/>
  <c r="B198" i="13" s="1"/>
  <c r="AS198" i="13"/>
  <c r="F198" i="13" s="1"/>
  <c r="AR198" i="13"/>
  <c r="AP198" i="13"/>
  <c r="AJ198" i="13"/>
  <c r="AH198" i="13"/>
  <c r="AV198" i="13" s="1"/>
  <c r="AI198" i="13" s="1"/>
  <c r="AB198" i="13"/>
  <c r="AA198" i="13"/>
  <c r="Z198" i="13"/>
  <c r="K198" i="13"/>
  <c r="AX197" i="13"/>
  <c r="AU197" i="13"/>
  <c r="AT197" i="13"/>
  <c r="B197" i="13" s="1"/>
  <c r="AS197" i="13"/>
  <c r="F197" i="13" s="1"/>
  <c r="AR197" i="13"/>
  <c r="AP197" i="13"/>
  <c r="AJ197" i="13"/>
  <c r="AH197" i="13"/>
  <c r="AV197" i="13" s="1"/>
  <c r="AI197" i="13" s="1"/>
  <c r="AB197" i="13"/>
  <c r="AA197" i="13"/>
  <c r="Z197" i="13"/>
  <c r="K197" i="13"/>
  <c r="AX196" i="13"/>
  <c r="AU196" i="13"/>
  <c r="AT196" i="13"/>
  <c r="B196" i="13" s="1"/>
  <c r="AS196" i="13"/>
  <c r="F196" i="13" s="1"/>
  <c r="AR196" i="13"/>
  <c r="AP196" i="13"/>
  <c r="AJ196" i="13"/>
  <c r="AH196" i="13"/>
  <c r="AV196" i="13" s="1"/>
  <c r="AI196" i="13" s="1"/>
  <c r="AB196" i="13"/>
  <c r="AA196" i="13"/>
  <c r="Z196" i="13"/>
  <c r="K196" i="13"/>
  <c r="AX195" i="13"/>
  <c r="AU195" i="13"/>
  <c r="AT195" i="13"/>
  <c r="B195" i="13" s="1"/>
  <c r="AS195" i="13"/>
  <c r="F195" i="13" s="1"/>
  <c r="AR195" i="13"/>
  <c r="AP195" i="13"/>
  <c r="AJ195" i="13"/>
  <c r="AH195" i="13"/>
  <c r="AE195" i="13"/>
  <c r="AC195" i="13"/>
  <c r="AB195" i="13"/>
  <c r="AA195" i="13"/>
  <c r="Z195" i="13"/>
  <c r="AX194" i="13"/>
  <c r="AU194" i="13"/>
  <c r="AT194" i="13"/>
  <c r="B194" i="13" s="1"/>
  <c r="AS194" i="13"/>
  <c r="AR194" i="13"/>
  <c r="AP194" i="13"/>
  <c r="AJ194" i="13"/>
  <c r="AH194" i="13"/>
  <c r="AE194" i="13" s="1"/>
  <c r="AC194" i="13"/>
  <c r="AB194" i="13"/>
  <c r="AA194" i="13"/>
  <c r="Z194" i="13"/>
  <c r="AF194" i="13" s="1"/>
  <c r="F194" i="13"/>
  <c r="AX193" i="13"/>
  <c r="AU193" i="13"/>
  <c r="AT193" i="13"/>
  <c r="B193" i="13" s="1"/>
  <c r="AS193" i="13"/>
  <c r="AR193" i="13"/>
  <c r="AP193" i="13"/>
  <c r="AJ193" i="13"/>
  <c r="AH193" i="13"/>
  <c r="AV193" i="13" s="1"/>
  <c r="AI193" i="13" s="1"/>
  <c r="AB193" i="13"/>
  <c r="AA193" i="13"/>
  <c r="Z193" i="13"/>
  <c r="K193" i="13"/>
  <c r="F193" i="13"/>
  <c r="AX192" i="13"/>
  <c r="AU192" i="13"/>
  <c r="AT192" i="13"/>
  <c r="B192" i="13" s="1"/>
  <c r="AS192" i="13"/>
  <c r="AR192" i="13"/>
  <c r="AP192" i="13"/>
  <c r="AJ192" i="13"/>
  <c r="AH192" i="13"/>
  <c r="AV192" i="13" s="1"/>
  <c r="AI192" i="13" s="1"/>
  <c r="AB192" i="13"/>
  <c r="AA192" i="13"/>
  <c r="Z192" i="13"/>
  <c r="K192" i="13"/>
  <c r="F192" i="13"/>
  <c r="AX191" i="13"/>
  <c r="AU191" i="13"/>
  <c r="AT191" i="13"/>
  <c r="B191" i="13" s="1"/>
  <c r="AS191" i="13"/>
  <c r="AR191" i="13"/>
  <c r="AP191" i="13"/>
  <c r="AQ191" i="13" s="1"/>
  <c r="AH191" i="13"/>
  <c r="AA191" i="13"/>
  <c r="K191" i="13"/>
  <c r="AX190" i="13"/>
  <c r="AU190" i="13"/>
  <c r="AT190" i="13"/>
  <c r="B190" i="13" s="1"/>
  <c r="AS190" i="13"/>
  <c r="AR190" i="13"/>
  <c r="AP190" i="13"/>
  <c r="AQ190" i="13" s="1"/>
  <c r="AH190" i="13"/>
  <c r="AG190" i="13" s="1"/>
  <c r="AE190" i="13"/>
  <c r="AC190" i="13"/>
  <c r="AB190" i="13"/>
  <c r="AA190" i="13"/>
  <c r="Z190" i="13"/>
  <c r="K190" i="13"/>
  <c r="AX189" i="13"/>
  <c r="AU189" i="13"/>
  <c r="AT189" i="13"/>
  <c r="AS189" i="13"/>
  <c r="AR189" i="13"/>
  <c r="AP189" i="13"/>
  <c r="AJ189" i="13"/>
  <c r="AH189" i="13"/>
  <c r="K189" i="13"/>
  <c r="F189" i="13"/>
  <c r="B189" i="13"/>
  <c r="AX188" i="13"/>
  <c r="AU188" i="13"/>
  <c r="AT188" i="13"/>
  <c r="AS188" i="13"/>
  <c r="AR188" i="13"/>
  <c r="AP188" i="13"/>
  <c r="AJ188" i="13"/>
  <c r="AH188" i="13"/>
  <c r="AE188" i="13"/>
  <c r="K188" i="13"/>
  <c r="F188" i="13"/>
  <c r="B188" i="13"/>
  <c r="AX187" i="13"/>
  <c r="AU187" i="13"/>
  <c r="AT187" i="13"/>
  <c r="B187" i="13" s="1"/>
  <c r="AS187" i="13"/>
  <c r="AR187" i="13"/>
  <c r="AP187" i="13"/>
  <c r="AJ187" i="13"/>
  <c r="AH187" i="13"/>
  <c r="AE187" i="13"/>
  <c r="AC187" i="13"/>
  <c r="AB187" i="13"/>
  <c r="K187" i="13"/>
  <c r="F187" i="13"/>
  <c r="AX186" i="13"/>
  <c r="AU186" i="13"/>
  <c r="AT186" i="13"/>
  <c r="B186" i="13" s="1"/>
  <c r="AS186" i="13"/>
  <c r="AR186" i="13"/>
  <c r="AP186" i="13"/>
  <c r="AJ186" i="13"/>
  <c r="AH186" i="13"/>
  <c r="AE186" i="13" s="1"/>
  <c r="AC186" i="13"/>
  <c r="AB186" i="13"/>
  <c r="K186" i="13"/>
  <c r="F186" i="13"/>
  <c r="AX185" i="13"/>
  <c r="AU185" i="13"/>
  <c r="AT185" i="13"/>
  <c r="AS185" i="13"/>
  <c r="AR185" i="13"/>
  <c r="AP185" i="13"/>
  <c r="AJ185" i="13"/>
  <c r="AH185" i="13"/>
  <c r="K185" i="13"/>
  <c r="F185" i="13"/>
  <c r="B185" i="13"/>
  <c r="AX184" i="13"/>
  <c r="AU184" i="13"/>
  <c r="AT184" i="13"/>
  <c r="AS184" i="13"/>
  <c r="AR184" i="13"/>
  <c r="AP184" i="13"/>
  <c r="AJ184" i="13"/>
  <c r="AH184" i="13"/>
  <c r="AE184" i="13"/>
  <c r="K184" i="13"/>
  <c r="F184" i="13"/>
  <c r="B184" i="13"/>
  <c r="AX183" i="13"/>
  <c r="AU183" i="13"/>
  <c r="AT183" i="13"/>
  <c r="B183" i="13" s="1"/>
  <c r="AS183" i="13"/>
  <c r="AR183" i="13"/>
  <c r="AP183" i="13"/>
  <c r="AJ183" i="13"/>
  <c r="AH183" i="13"/>
  <c r="AE183" i="13"/>
  <c r="AC183" i="13"/>
  <c r="AB183" i="13"/>
  <c r="K183" i="13"/>
  <c r="F183" i="13"/>
  <c r="AX182" i="13"/>
  <c r="AU182" i="13"/>
  <c r="AT182" i="13"/>
  <c r="B182" i="13" s="1"/>
  <c r="AS182" i="13"/>
  <c r="AR182" i="13"/>
  <c r="AP182" i="13"/>
  <c r="AJ182" i="13"/>
  <c r="AH182" i="13"/>
  <c r="AE182" i="13" s="1"/>
  <c r="AC182" i="13"/>
  <c r="AB182" i="13"/>
  <c r="K182" i="13"/>
  <c r="F182" i="13"/>
  <c r="AX181" i="13"/>
  <c r="AU181" i="13"/>
  <c r="AT181" i="13"/>
  <c r="AS181" i="13"/>
  <c r="AR181" i="13"/>
  <c r="AP181" i="13"/>
  <c r="AJ181" i="13"/>
  <c r="AH181" i="13"/>
  <c r="K181" i="13"/>
  <c r="F181" i="13"/>
  <c r="B181" i="13"/>
  <c r="AX180" i="13"/>
  <c r="AU180" i="13"/>
  <c r="AT180" i="13"/>
  <c r="AS180" i="13"/>
  <c r="AR180" i="13"/>
  <c r="AP180" i="13"/>
  <c r="AJ180" i="13"/>
  <c r="AH180" i="13"/>
  <c r="AE180" i="13"/>
  <c r="K180" i="13"/>
  <c r="F180" i="13"/>
  <c r="B180" i="13"/>
  <c r="AX179" i="13"/>
  <c r="AU179" i="13"/>
  <c r="AT179" i="13"/>
  <c r="B179" i="13" s="1"/>
  <c r="AS179" i="13"/>
  <c r="AR179" i="13"/>
  <c r="AP179" i="13"/>
  <c r="AJ179" i="13"/>
  <c r="AH179" i="13"/>
  <c r="AE179" i="13"/>
  <c r="AC179" i="13"/>
  <c r="AB179" i="13"/>
  <c r="K179" i="13"/>
  <c r="F179" i="13"/>
  <c r="AX178" i="13"/>
  <c r="AU178" i="13"/>
  <c r="AT178" i="13"/>
  <c r="B178" i="13" s="1"/>
  <c r="AS178" i="13"/>
  <c r="AR178" i="13"/>
  <c r="AP178" i="13"/>
  <c r="AJ178" i="13"/>
  <c r="AH178" i="13"/>
  <c r="AE178" i="13" s="1"/>
  <c r="AC178" i="13"/>
  <c r="AB178" i="13"/>
  <c r="K178" i="13"/>
  <c r="F178" i="13"/>
  <c r="AX177" i="13"/>
  <c r="AU177" i="13"/>
  <c r="AT177" i="13"/>
  <c r="AS177" i="13"/>
  <c r="AR177" i="13"/>
  <c r="AP177" i="13"/>
  <c r="AJ177" i="13"/>
  <c r="AH177" i="13"/>
  <c r="K177" i="13"/>
  <c r="F177" i="13"/>
  <c r="B177" i="13"/>
  <c r="AX176" i="13"/>
  <c r="AU176" i="13"/>
  <c r="AT176" i="13"/>
  <c r="AS176" i="13"/>
  <c r="AR176" i="13"/>
  <c r="AP176" i="13"/>
  <c r="AJ176" i="13"/>
  <c r="AH176" i="13"/>
  <c r="AE176" i="13"/>
  <c r="K176" i="13"/>
  <c r="F176" i="13"/>
  <c r="B176" i="13"/>
  <c r="AX175" i="13"/>
  <c r="AU175" i="13"/>
  <c r="AT175" i="13"/>
  <c r="B175" i="13" s="1"/>
  <c r="AS175" i="13"/>
  <c r="AR175" i="13"/>
  <c r="AP175" i="13"/>
  <c r="AJ175" i="13"/>
  <c r="AH175" i="13"/>
  <c r="AE175" i="13"/>
  <c r="AC175" i="13"/>
  <c r="AB175" i="13"/>
  <c r="K175" i="13"/>
  <c r="F175" i="13"/>
  <c r="AX174" i="13"/>
  <c r="AU174" i="13"/>
  <c r="AT174" i="13"/>
  <c r="B174" i="13" s="1"/>
  <c r="AS174" i="13"/>
  <c r="AR174" i="13"/>
  <c r="AP174" i="13"/>
  <c r="AJ174" i="13"/>
  <c r="AH174" i="13"/>
  <c r="AE174" i="13" s="1"/>
  <c r="AC174" i="13"/>
  <c r="AB174" i="13"/>
  <c r="K174" i="13"/>
  <c r="F174" i="13"/>
  <c r="AX173" i="13"/>
  <c r="AU173" i="13"/>
  <c r="AT173" i="13"/>
  <c r="AS173" i="13"/>
  <c r="AR173" i="13"/>
  <c r="AP173" i="13"/>
  <c r="AJ173" i="13"/>
  <c r="AH173" i="13"/>
  <c r="K173" i="13"/>
  <c r="F173" i="13"/>
  <c r="B173" i="13"/>
  <c r="AX172" i="13"/>
  <c r="AU172" i="13"/>
  <c r="AT172" i="13"/>
  <c r="AS172" i="13"/>
  <c r="AR172" i="13"/>
  <c r="AP172" i="13"/>
  <c r="AJ172" i="13"/>
  <c r="AH172" i="13"/>
  <c r="AE172" i="13"/>
  <c r="K172" i="13"/>
  <c r="F172" i="13"/>
  <c r="B172" i="13"/>
  <c r="AX171" i="13"/>
  <c r="AU171" i="13"/>
  <c r="AT171" i="13"/>
  <c r="B171" i="13" s="1"/>
  <c r="AS171" i="13"/>
  <c r="AR171" i="13"/>
  <c r="AP171" i="13"/>
  <c r="AJ171" i="13"/>
  <c r="AH171" i="13"/>
  <c r="AE171" i="13"/>
  <c r="AC171" i="13"/>
  <c r="AB171" i="13"/>
  <c r="K171" i="13"/>
  <c r="F171" i="13"/>
  <c r="AX170" i="13"/>
  <c r="AU170" i="13"/>
  <c r="AT170" i="13"/>
  <c r="B170" i="13" s="1"/>
  <c r="AS170" i="13"/>
  <c r="AR170" i="13"/>
  <c r="AP170" i="13"/>
  <c r="AJ170" i="13"/>
  <c r="AH170" i="13"/>
  <c r="AE170" i="13"/>
  <c r="AC170" i="13"/>
  <c r="AB170" i="13"/>
  <c r="K170" i="13"/>
  <c r="F170" i="13"/>
  <c r="AX169" i="13"/>
  <c r="AU169" i="13"/>
  <c r="AT169" i="13"/>
  <c r="AS169" i="13"/>
  <c r="AR169" i="13"/>
  <c r="AP169" i="13"/>
  <c r="AJ169" i="13"/>
  <c r="AH169" i="13"/>
  <c r="AE169" i="13"/>
  <c r="K169" i="13"/>
  <c r="F169" i="13"/>
  <c r="B169" i="13"/>
  <c r="AX168" i="13"/>
  <c r="AU168" i="13"/>
  <c r="AT168" i="13"/>
  <c r="AS168" i="13"/>
  <c r="AR168" i="13"/>
  <c r="AP168" i="13"/>
  <c r="AJ168" i="13"/>
  <c r="AH168" i="13"/>
  <c r="K168" i="13"/>
  <c r="F168" i="13"/>
  <c r="B168" i="13"/>
  <c r="AX167" i="13"/>
  <c r="AU167" i="13"/>
  <c r="AT167" i="13"/>
  <c r="B167" i="13" s="1"/>
  <c r="AS167" i="13"/>
  <c r="AR167" i="13"/>
  <c r="AP167" i="13"/>
  <c r="AJ167" i="13"/>
  <c r="AH167" i="13"/>
  <c r="AE167" i="13"/>
  <c r="AC167" i="13"/>
  <c r="AB167" i="13"/>
  <c r="K167" i="13"/>
  <c r="F167" i="13"/>
  <c r="AX166" i="13"/>
  <c r="AU166" i="13"/>
  <c r="AT166" i="13"/>
  <c r="B166" i="13" s="1"/>
  <c r="AS166" i="13"/>
  <c r="AR166" i="13"/>
  <c r="AP166" i="13"/>
  <c r="AJ166" i="13"/>
  <c r="AH166" i="13"/>
  <c r="AE166" i="13"/>
  <c r="AC166" i="13"/>
  <c r="AB166" i="13"/>
  <c r="K166" i="13"/>
  <c r="F166" i="13"/>
  <c r="AX165" i="13"/>
  <c r="AU165" i="13"/>
  <c r="AT165" i="13"/>
  <c r="AS165" i="13"/>
  <c r="AR165" i="13"/>
  <c r="AP165" i="13"/>
  <c r="AJ165" i="13"/>
  <c r="AH165" i="13"/>
  <c r="AE165" i="13"/>
  <c r="K165" i="13"/>
  <c r="F165" i="13"/>
  <c r="B165" i="13"/>
  <c r="AX164" i="13"/>
  <c r="AU164" i="13"/>
  <c r="AT164" i="13"/>
  <c r="AS164" i="13"/>
  <c r="AR164" i="13"/>
  <c r="AP164" i="13"/>
  <c r="AJ164" i="13"/>
  <c r="AH164" i="13"/>
  <c r="AE164" i="13"/>
  <c r="K164" i="13"/>
  <c r="F164" i="13"/>
  <c r="B164" i="13"/>
  <c r="AX163" i="13"/>
  <c r="AU163" i="13"/>
  <c r="AT163" i="13"/>
  <c r="B163" i="13" s="1"/>
  <c r="AS163" i="13"/>
  <c r="AR163" i="13"/>
  <c r="AP163" i="13"/>
  <c r="AJ163" i="13"/>
  <c r="AH163" i="13"/>
  <c r="AE163" i="13" s="1"/>
  <c r="K163" i="13"/>
  <c r="F163" i="13"/>
  <c r="AX162" i="13"/>
  <c r="AU162" i="13"/>
  <c r="AT162" i="13"/>
  <c r="B162" i="13" s="1"/>
  <c r="AS162" i="13"/>
  <c r="AR162" i="13"/>
  <c r="AP162" i="13"/>
  <c r="AJ162" i="13"/>
  <c r="AH162" i="13"/>
  <c r="AE162" i="13"/>
  <c r="AC162" i="13"/>
  <c r="AB162" i="13"/>
  <c r="K162" i="13"/>
  <c r="F162" i="13"/>
  <c r="AX161" i="13"/>
  <c r="AU161" i="13"/>
  <c r="AT161" i="13"/>
  <c r="AS161" i="13"/>
  <c r="AR161" i="13"/>
  <c r="AP161" i="13"/>
  <c r="AJ161" i="13"/>
  <c r="AH161" i="13"/>
  <c r="AE161" i="13"/>
  <c r="AB161" i="13"/>
  <c r="K161" i="13"/>
  <c r="F161" i="13"/>
  <c r="B161" i="13"/>
  <c r="AX160" i="13"/>
  <c r="AU160" i="13"/>
  <c r="AT160" i="13"/>
  <c r="AS160" i="13"/>
  <c r="AR160" i="13"/>
  <c r="AP160" i="13"/>
  <c r="AJ160" i="13"/>
  <c r="AH160" i="13"/>
  <c r="AE160" i="13"/>
  <c r="K160" i="13"/>
  <c r="F160" i="13"/>
  <c r="B160" i="13"/>
  <c r="AX159" i="13"/>
  <c r="AU159" i="13"/>
  <c r="AT159" i="13"/>
  <c r="B159" i="13" s="1"/>
  <c r="AS159" i="13"/>
  <c r="AR159" i="13"/>
  <c r="AP159" i="13"/>
  <c r="AJ159" i="13"/>
  <c r="AH159" i="13"/>
  <c r="AE159" i="13"/>
  <c r="AC159" i="13"/>
  <c r="AB159" i="13"/>
  <c r="K159" i="13"/>
  <c r="F159" i="13"/>
  <c r="AX158" i="13"/>
  <c r="AU158" i="13"/>
  <c r="AT158" i="13"/>
  <c r="B158" i="13" s="1"/>
  <c r="AS158" i="13"/>
  <c r="AR158" i="13"/>
  <c r="AP158" i="13"/>
  <c r="AJ158" i="13"/>
  <c r="AH158" i="13"/>
  <c r="AE158" i="13"/>
  <c r="AC158" i="13"/>
  <c r="AB158" i="13"/>
  <c r="K158" i="13"/>
  <c r="F158" i="13"/>
  <c r="AX157" i="13"/>
  <c r="AU157" i="13"/>
  <c r="AT157" i="13"/>
  <c r="AS157" i="13"/>
  <c r="AR157" i="13"/>
  <c r="AP157" i="13"/>
  <c r="AJ157" i="13"/>
  <c r="AH157" i="13"/>
  <c r="AE157" i="13"/>
  <c r="AB157" i="13"/>
  <c r="K157" i="13"/>
  <c r="F157" i="13"/>
  <c r="B157" i="13"/>
  <c r="AX156" i="13"/>
  <c r="AU156" i="13"/>
  <c r="AT156" i="13"/>
  <c r="AS156" i="13"/>
  <c r="AR156" i="13"/>
  <c r="AP156" i="13"/>
  <c r="AJ156" i="13"/>
  <c r="AH156" i="13"/>
  <c r="K156" i="13"/>
  <c r="F156" i="13"/>
  <c r="B156" i="13"/>
  <c r="AX155" i="13"/>
  <c r="AU155" i="13"/>
  <c r="AT155" i="13"/>
  <c r="B155" i="13" s="1"/>
  <c r="AS155" i="13"/>
  <c r="AR155" i="13"/>
  <c r="AP155" i="13"/>
  <c r="AJ155" i="13"/>
  <c r="AH155" i="13"/>
  <c r="AE155" i="13"/>
  <c r="AC155" i="13"/>
  <c r="AB155" i="13"/>
  <c r="K155" i="13"/>
  <c r="F155" i="13"/>
  <c r="AX154" i="13"/>
  <c r="AU154" i="13"/>
  <c r="AT154" i="13"/>
  <c r="B154" i="13" s="1"/>
  <c r="AS154" i="13"/>
  <c r="AR154" i="13"/>
  <c r="AP154" i="13"/>
  <c r="AJ154" i="13"/>
  <c r="AH154" i="13"/>
  <c r="AE154" i="13"/>
  <c r="AC154" i="13"/>
  <c r="AB154" i="13"/>
  <c r="K154" i="13"/>
  <c r="F154" i="13"/>
  <c r="AX153" i="13"/>
  <c r="AU153" i="13"/>
  <c r="AT153" i="13"/>
  <c r="AS153" i="13"/>
  <c r="AR153" i="13"/>
  <c r="AP153" i="13"/>
  <c r="AJ153" i="13"/>
  <c r="AH153" i="13"/>
  <c r="AE153" i="13"/>
  <c r="AB153" i="13"/>
  <c r="K153" i="13"/>
  <c r="F153" i="13"/>
  <c r="B153" i="13"/>
  <c r="AX152" i="13"/>
  <c r="AW152" i="13"/>
  <c r="AU152" i="13"/>
  <c r="AT152" i="13"/>
  <c r="AS152" i="13"/>
  <c r="AR152" i="13"/>
  <c r="AP152" i="13"/>
  <c r="AJ152" i="13"/>
  <c r="AH152" i="13"/>
  <c r="K152" i="13"/>
  <c r="F152" i="13"/>
  <c r="B152" i="13"/>
  <c r="AX151" i="13"/>
  <c r="AW151" i="13"/>
  <c r="AU151" i="13"/>
  <c r="AT151" i="13"/>
  <c r="AS151" i="13"/>
  <c r="AR151" i="13"/>
  <c r="AP151" i="13"/>
  <c r="AJ151" i="13"/>
  <c r="AH151" i="13"/>
  <c r="K151" i="13"/>
  <c r="F151" i="13"/>
  <c r="B151" i="13"/>
  <c r="AX150" i="13"/>
  <c r="AW150" i="13"/>
  <c r="AU150" i="13"/>
  <c r="AT150" i="13"/>
  <c r="AS150" i="13"/>
  <c r="AR150" i="13"/>
  <c r="AP150" i="13"/>
  <c r="AJ150" i="13"/>
  <c r="AH150" i="13"/>
  <c r="AA150" i="13"/>
  <c r="Z150" i="13"/>
  <c r="K150" i="13"/>
  <c r="F150" i="13"/>
  <c r="B150" i="13"/>
  <c r="AX149" i="13"/>
  <c r="AU149" i="13"/>
  <c r="AT149" i="13"/>
  <c r="AS149" i="13"/>
  <c r="AR149" i="13"/>
  <c r="AP149" i="13"/>
  <c r="AJ149" i="13"/>
  <c r="AH149" i="13"/>
  <c r="AA149" i="13"/>
  <c r="K149" i="13"/>
  <c r="F149" i="13"/>
  <c r="B149" i="13"/>
  <c r="AX148" i="13"/>
  <c r="AU148" i="13"/>
  <c r="AT148" i="13"/>
  <c r="AS148" i="13"/>
  <c r="AR148" i="13"/>
  <c r="AP148" i="13"/>
  <c r="AJ148" i="13"/>
  <c r="AH148" i="13"/>
  <c r="AA148" i="13" s="1"/>
  <c r="K148" i="13"/>
  <c r="F148" i="13"/>
  <c r="B148" i="13"/>
  <c r="AX147" i="13"/>
  <c r="AU147" i="13"/>
  <c r="AT147" i="13"/>
  <c r="AS147" i="13"/>
  <c r="AR147" i="13"/>
  <c r="AP147" i="13"/>
  <c r="AJ147" i="13"/>
  <c r="AH147" i="13"/>
  <c r="AA147" i="13"/>
  <c r="Z147" i="13"/>
  <c r="K147" i="13"/>
  <c r="F147" i="13"/>
  <c r="B147" i="13"/>
  <c r="AX146" i="13"/>
  <c r="AU146" i="13"/>
  <c r="AT146" i="13"/>
  <c r="AS146" i="13"/>
  <c r="AR146" i="13"/>
  <c r="F146" i="13" s="1"/>
  <c r="AP146" i="13"/>
  <c r="AJ146" i="13"/>
  <c r="AH146" i="13"/>
  <c r="K146" i="13"/>
  <c r="B146" i="13"/>
  <c r="AX145" i="13"/>
  <c r="AU145" i="13"/>
  <c r="AT145" i="13"/>
  <c r="AS145" i="13"/>
  <c r="AR145" i="13"/>
  <c r="F145" i="13" s="1"/>
  <c r="AP145" i="13"/>
  <c r="AJ145" i="13"/>
  <c r="AH145" i="13"/>
  <c r="AA145" i="13"/>
  <c r="Z145" i="13"/>
  <c r="K145" i="13"/>
  <c r="B145" i="13"/>
  <c r="AX144" i="13"/>
  <c r="AU144" i="13"/>
  <c r="AT144" i="13"/>
  <c r="AS144" i="13"/>
  <c r="F144" i="13" s="1"/>
  <c r="AR144" i="13"/>
  <c r="AP144" i="13"/>
  <c r="AJ144" i="13"/>
  <c r="AH144" i="13"/>
  <c r="AA144" i="13" s="1"/>
  <c r="K144" i="13"/>
  <c r="B144" i="13"/>
  <c r="AX143" i="13"/>
  <c r="AU143" i="13"/>
  <c r="AT143" i="13"/>
  <c r="AS143" i="13"/>
  <c r="AR143" i="13"/>
  <c r="F143" i="13" s="1"/>
  <c r="AP143" i="13"/>
  <c r="AJ143" i="13"/>
  <c r="AH143" i="13"/>
  <c r="AA143" i="13"/>
  <c r="K143" i="13"/>
  <c r="B143" i="13"/>
  <c r="AX142" i="13"/>
  <c r="AU142" i="13"/>
  <c r="AT142" i="13"/>
  <c r="AS142" i="13"/>
  <c r="AR142" i="13"/>
  <c r="AP142" i="13"/>
  <c r="AJ142" i="13"/>
  <c r="AH142" i="13"/>
  <c r="AA142" i="13"/>
  <c r="Z142" i="13"/>
  <c r="K142" i="13"/>
  <c r="F142" i="13"/>
  <c r="B142" i="13"/>
  <c r="AX141" i="13"/>
  <c r="AU141" i="13"/>
  <c r="AT141" i="13"/>
  <c r="AS141" i="13"/>
  <c r="F141" i="13" s="1"/>
  <c r="AR141" i="13"/>
  <c r="AP141" i="13"/>
  <c r="AJ141" i="13"/>
  <c r="AH141" i="13"/>
  <c r="AA141" i="13"/>
  <c r="K141" i="13"/>
  <c r="AX140" i="13"/>
  <c r="AU140" i="13"/>
  <c r="AT140" i="13"/>
  <c r="AS140" i="13"/>
  <c r="AR140" i="13"/>
  <c r="F140" i="13" s="1"/>
  <c r="AP140" i="13"/>
  <c r="AJ140" i="13"/>
  <c r="AH140" i="13"/>
  <c r="AE140" i="13"/>
  <c r="Z140" i="13"/>
  <c r="K140" i="13"/>
  <c r="AX139" i="13"/>
  <c r="AU139" i="13"/>
  <c r="AT139" i="13"/>
  <c r="AS139" i="13"/>
  <c r="AR139" i="13"/>
  <c r="AP139" i="13"/>
  <c r="AJ139" i="13"/>
  <c r="AH139" i="13"/>
  <c r="AE139" i="13"/>
  <c r="K139" i="13"/>
  <c r="F139" i="13"/>
  <c r="AX138" i="13"/>
  <c r="AU138" i="13"/>
  <c r="AT138" i="13"/>
  <c r="AS138" i="13"/>
  <c r="AR138" i="13"/>
  <c r="AP138" i="13"/>
  <c r="AJ138" i="13"/>
  <c r="AH138" i="13"/>
  <c r="AE138" i="13" s="1"/>
  <c r="AC138" i="13"/>
  <c r="AB138" i="13"/>
  <c r="K138" i="13"/>
  <c r="F138" i="13"/>
  <c r="AX137" i="13"/>
  <c r="AU137" i="13"/>
  <c r="AT137" i="13"/>
  <c r="B137" i="13" s="1"/>
  <c r="AS137" i="13"/>
  <c r="F137" i="13" s="1"/>
  <c r="AR137" i="13"/>
  <c r="AP137" i="13"/>
  <c r="AJ137" i="13"/>
  <c r="AH137" i="13"/>
  <c r="AE137" i="13" s="1"/>
  <c r="AB137" i="13"/>
  <c r="AA137" i="13"/>
  <c r="K137" i="13"/>
  <c r="AX136" i="13"/>
  <c r="AU136" i="13"/>
  <c r="AT136" i="13"/>
  <c r="AS136" i="13"/>
  <c r="F136" i="13" s="1"/>
  <c r="AR136" i="13"/>
  <c r="AP136" i="13"/>
  <c r="AJ136" i="13"/>
  <c r="AH136" i="13"/>
  <c r="K136" i="13"/>
  <c r="B136" i="13"/>
  <c r="AX135" i="13"/>
  <c r="AU135" i="13"/>
  <c r="AT135" i="13"/>
  <c r="AS135" i="13"/>
  <c r="F135" i="13" s="1"/>
  <c r="AR135" i="13"/>
  <c r="AP135" i="13"/>
  <c r="AJ135" i="13"/>
  <c r="AH135" i="13"/>
  <c r="AE135" i="13" s="1"/>
  <c r="K135" i="13"/>
  <c r="B135" i="13"/>
  <c r="AX134" i="13"/>
  <c r="AU134" i="13"/>
  <c r="AT134" i="13"/>
  <c r="B134" i="13" s="1"/>
  <c r="AS134" i="13"/>
  <c r="F134" i="13" s="1"/>
  <c r="AR134" i="13"/>
  <c r="AP134" i="13"/>
  <c r="AJ134" i="13"/>
  <c r="AH134" i="13"/>
  <c r="AE134" i="13"/>
  <c r="AC134" i="13"/>
  <c r="AB134" i="13"/>
  <c r="AA134" i="13"/>
  <c r="K134" i="13"/>
  <c r="AX133" i="13"/>
  <c r="AU133" i="13"/>
  <c r="AT133" i="13"/>
  <c r="AS133" i="13"/>
  <c r="F133" i="13" s="1"/>
  <c r="AR133" i="13"/>
  <c r="AP133" i="13"/>
  <c r="AJ133" i="13"/>
  <c r="AH133" i="13"/>
  <c r="AE133" i="13" s="1"/>
  <c r="AB133" i="13"/>
  <c r="AA133" i="13"/>
  <c r="K133" i="13"/>
  <c r="B133" i="13"/>
  <c r="AX132" i="13"/>
  <c r="AU132" i="13"/>
  <c r="AT132" i="13"/>
  <c r="AS132" i="13"/>
  <c r="F132" i="13" s="1"/>
  <c r="AR132" i="13"/>
  <c r="AP132" i="13"/>
  <c r="AJ132" i="13"/>
  <c r="AH132" i="13"/>
  <c r="Z132" i="13" s="1"/>
  <c r="K132" i="13"/>
  <c r="B132" i="13"/>
  <c r="AX131" i="13"/>
  <c r="AU131" i="13"/>
  <c r="AT131" i="13"/>
  <c r="AS131" i="13"/>
  <c r="AR131" i="13"/>
  <c r="AP131" i="13"/>
  <c r="AJ131" i="13"/>
  <c r="AH131" i="13"/>
  <c r="AE131" i="13" s="1"/>
  <c r="K131" i="13"/>
  <c r="B131" i="13"/>
  <c r="AX130" i="13"/>
  <c r="AU130" i="13"/>
  <c r="AT130" i="13"/>
  <c r="AS130" i="13"/>
  <c r="F130" i="13" s="1"/>
  <c r="AR130" i="13"/>
  <c r="AP130" i="13"/>
  <c r="AJ130" i="13"/>
  <c r="AH130" i="13"/>
  <c r="AE130" i="13"/>
  <c r="AC130" i="13"/>
  <c r="K130" i="13"/>
  <c r="B130" i="13"/>
  <c r="AX129" i="13"/>
  <c r="AU129" i="13"/>
  <c r="AT129" i="13"/>
  <c r="B129" i="13" s="1"/>
  <c r="AS129" i="13"/>
  <c r="AR129" i="13"/>
  <c r="AP129" i="13"/>
  <c r="AJ129" i="13"/>
  <c r="AH129" i="13"/>
  <c r="AE129" i="13"/>
  <c r="AC129" i="13"/>
  <c r="AB129" i="13"/>
  <c r="K129" i="13"/>
  <c r="AX128" i="13"/>
  <c r="AU128" i="13"/>
  <c r="AT128" i="13"/>
  <c r="B128" i="13" s="1"/>
  <c r="AS128" i="13"/>
  <c r="F128" i="13" s="1"/>
  <c r="AR128" i="13"/>
  <c r="AP128" i="13"/>
  <c r="AJ128" i="13"/>
  <c r="AH128" i="13"/>
  <c r="Z128" i="13" s="1"/>
  <c r="AE128" i="13"/>
  <c r="AC128" i="13"/>
  <c r="AB128" i="13"/>
  <c r="AA128" i="13"/>
  <c r="K128" i="13"/>
  <c r="AX127" i="13"/>
  <c r="AU127" i="13"/>
  <c r="AT127" i="13"/>
  <c r="B127" i="13" s="1"/>
  <c r="AS127" i="13"/>
  <c r="AR127" i="13"/>
  <c r="AP127" i="13"/>
  <c r="AJ127" i="13"/>
  <c r="AH127" i="13"/>
  <c r="AE127" i="13"/>
  <c r="AC127" i="13"/>
  <c r="AB127" i="13"/>
  <c r="AA127" i="13"/>
  <c r="Z127" i="13"/>
  <c r="K127" i="13"/>
  <c r="AX126" i="13"/>
  <c r="AU126" i="13"/>
  <c r="AT126" i="13"/>
  <c r="B126" i="13" s="1"/>
  <c r="AS126" i="13"/>
  <c r="F126" i="13" s="1"/>
  <c r="AR126" i="13"/>
  <c r="AP126" i="13"/>
  <c r="AJ126" i="13"/>
  <c r="AH126" i="13"/>
  <c r="AV126" i="13" s="1"/>
  <c r="AI126" i="13" s="1"/>
  <c r="AB126" i="13"/>
  <c r="AA126" i="13"/>
  <c r="Z126" i="13"/>
  <c r="K126" i="13"/>
  <c r="AX125" i="13"/>
  <c r="AU125" i="13"/>
  <c r="AT125" i="13"/>
  <c r="AS125" i="13"/>
  <c r="AR125" i="13"/>
  <c r="AP125" i="13"/>
  <c r="AJ125" i="13"/>
  <c r="AH125" i="13"/>
  <c r="AV125" i="13" s="1"/>
  <c r="AI125" i="13" s="1"/>
  <c r="AE125" i="13"/>
  <c r="AB125" i="13"/>
  <c r="AA125" i="13"/>
  <c r="Z125" i="13"/>
  <c r="K125" i="13"/>
  <c r="B125" i="13"/>
  <c r="AX124" i="13"/>
  <c r="AU124" i="13"/>
  <c r="AT124" i="13"/>
  <c r="AS124" i="13"/>
  <c r="AR124" i="13"/>
  <c r="AP124" i="13"/>
  <c r="AJ124" i="13"/>
  <c r="AH124" i="13"/>
  <c r="Z124" i="13" s="1"/>
  <c r="K124" i="13"/>
  <c r="B124" i="13"/>
  <c r="AX123" i="13"/>
  <c r="AU123" i="13"/>
  <c r="AT123" i="13"/>
  <c r="AS123" i="13"/>
  <c r="AR123" i="13"/>
  <c r="AP123" i="13"/>
  <c r="AJ123" i="13"/>
  <c r="AH123" i="13"/>
  <c r="AE123" i="13"/>
  <c r="K123" i="13"/>
  <c r="B123" i="13"/>
  <c r="AX122" i="13"/>
  <c r="AU122" i="13"/>
  <c r="AT122" i="13"/>
  <c r="AS122" i="13"/>
  <c r="F122" i="13" s="1"/>
  <c r="AR122" i="13"/>
  <c r="AP122" i="13"/>
  <c r="AJ122" i="13"/>
  <c r="AH122" i="13"/>
  <c r="AE122" i="13"/>
  <c r="AC122" i="13"/>
  <c r="K122" i="13"/>
  <c r="B122" i="13"/>
  <c r="AX121" i="13"/>
  <c r="AU121" i="13"/>
  <c r="AT121" i="13"/>
  <c r="B121" i="13" s="1"/>
  <c r="AS121" i="13"/>
  <c r="AR121" i="13"/>
  <c r="AP121" i="13"/>
  <c r="AJ121" i="13"/>
  <c r="AH121" i="13"/>
  <c r="K121" i="13"/>
  <c r="AX120" i="13"/>
  <c r="AU120" i="13"/>
  <c r="AT120" i="13"/>
  <c r="B120" i="13" s="1"/>
  <c r="AS120" i="13"/>
  <c r="F120" i="13" s="1"/>
  <c r="AR120" i="13"/>
  <c r="AP120" i="13"/>
  <c r="AJ120" i="13"/>
  <c r="AH120" i="13"/>
  <c r="Z120" i="13" s="1"/>
  <c r="AE120" i="13"/>
  <c r="AC120" i="13"/>
  <c r="AB120" i="13"/>
  <c r="AA120" i="13"/>
  <c r="K120" i="13"/>
  <c r="AX119" i="13"/>
  <c r="AU119" i="13"/>
  <c r="AT119" i="13"/>
  <c r="B119" i="13" s="1"/>
  <c r="AS119" i="13"/>
  <c r="AR119" i="13"/>
  <c r="AP119" i="13"/>
  <c r="AJ119" i="13"/>
  <c r="AH119" i="13"/>
  <c r="AE119" i="13"/>
  <c r="AC119" i="13"/>
  <c r="AB119" i="13"/>
  <c r="AA119" i="13"/>
  <c r="Z119" i="13"/>
  <c r="AF119" i="13" s="1"/>
  <c r="K119" i="13"/>
  <c r="AX118" i="13"/>
  <c r="AU118" i="13"/>
  <c r="AT118" i="13"/>
  <c r="B118" i="13" s="1"/>
  <c r="AS118" i="13"/>
  <c r="F118" i="13" s="1"/>
  <c r="AR118" i="13"/>
  <c r="AP118" i="13"/>
  <c r="AJ118" i="13"/>
  <c r="AH118" i="13"/>
  <c r="AV118" i="13" s="1"/>
  <c r="AI118" i="13" s="1"/>
  <c r="AB118" i="13"/>
  <c r="AA118" i="13"/>
  <c r="Z118" i="13"/>
  <c r="AX117" i="13"/>
  <c r="AU117" i="13"/>
  <c r="AT117" i="13"/>
  <c r="B117" i="13" s="1"/>
  <c r="AS117" i="13"/>
  <c r="AR117" i="13"/>
  <c r="AP117" i="13"/>
  <c r="AJ117" i="13"/>
  <c r="AH117" i="13"/>
  <c r="AE117" i="13"/>
  <c r="AC117" i="13"/>
  <c r="AB117" i="13"/>
  <c r="AA117" i="13"/>
  <c r="Z117" i="13"/>
  <c r="F117" i="13"/>
  <c r="AX116" i="13"/>
  <c r="AU116" i="13"/>
  <c r="AT116" i="13"/>
  <c r="B116" i="13" s="1"/>
  <c r="AS116" i="13"/>
  <c r="AR116" i="13"/>
  <c r="AP116" i="13"/>
  <c r="AJ116" i="13"/>
  <c r="AH116" i="13"/>
  <c r="F116" i="13"/>
  <c r="AX115" i="13"/>
  <c r="AU115" i="13"/>
  <c r="AT115" i="13"/>
  <c r="B115" i="13" s="1"/>
  <c r="AS115" i="13"/>
  <c r="F115" i="13" s="1"/>
  <c r="AR115" i="13"/>
  <c r="AP115" i="13"/>
  <c r="AJ115" i="13"/>
  <c r="AH115" i="13"/>
  <c r="AE115" i="13"/>
  <c r="AB115" i="13"/>
  <c r="AA115" i="13"/>
  <c r="Z115" i="13"/>
  <c r="K115" i="13"/>
  <c r="AX114" i="13"/>
  <c r="AU114" i="13"/>
  <c r="AT114" i="13"/>
  <c r="B114" i="13" s="1"/>
  <c r="AS114" i="13"/>
  <c r="F114" i="13" s="1"/>
  <c r="AR114" i="13"/>
  <c r="AP114" i="13"/>
  <c r="AJ114" i="13"/>
  <c r="AH114" i="13"/>
  <c r="AE114" i="13" s="1"/>
  <c r="AA114" i="13"/>
  <c r="Z114" i="13"/>
  <c r="K114" i="13"/>
  <c r="AX113" i="13"/>
  <c r="AU113" i="13"/>
  <c r="AT113" i="13"/>
  <c r="AS113" i="13"/>
  <c r="AR113" i="13"/>
  <c r="AP113" i="13"/>
  <c r="AJ113" i="13"/>
  <c r="AH113" i="13"/>
  <c r="AE113" i="13"/>
  <c r="AA113" i="13"/>
  <c r="Z113" i="13"/>
  <c r="K113" i="13"/>
  <c r="F113" i="13"/>
  <c r="B113" i="13"/>
  <c r="AX112" i="13"/>
  <c r="AU112" i="13"/>
  <c r="AT112" i="13"/>
  <c r="AS112" i="13"/>
  <c r="AR112" i="13"/>
  <c r="F112" i="13" s="1"/>
  <c r="AP112" i="13"/>
  <c r="AJ112" i="13"/>
  <c r="AH112" i="13"/>
  <c r="K112" i="13"/>
  <c r="B112" i="13"/>
  <c r="AX111" i="13"/>
  <c r="AU111" i="13"/>
  <c r="AT111" i="13"/>
  <c r="AS111" i="13"/>
  <c r="AR111" i="13"/>
  <c r="AP111" i="13"/>
  <c r="AJ111" i="13"/>
  <c r="AH111" i="13"/>
  <c r="AE111" i="13" s="1"/>
  <c r="K111" i="13"/>
  <c r="F111" i="13"/>
  <c r="B111" i="13"/>
  <c r="AX110" i="13"/>
  <c r="AU110" i="13"/>
  <c r="AT110" i="13"/>
  <c r="AS110" i="13"/>
  <c r="F110" i="13" s="1"/>
  <c r="AR110" i="13"/>
  <c r="AP110" i="13"/>
  <c r="AJ110" i="13"/>
  <c r="AH110" i="13"/>
  <c r="AE110" i="13"/>
  <c r="AB110" i="13"/>
  <c r="K110" i="13"/>
  <c r="B110" i="13"/>
  <c r="AX109" i="13"/>
  <c r="AU109" i="13"/>
  <c r="AT109" i="13"/>
  <c r="AS109" i="13"/>
  <c r="F109" i="13" s="1"/>
  <c r="AR109" i="13"/>
  <c r="AP109" i="13"/>
  <c r="AJ109" i="13"/>
  <c r="AH109" i="13"/>
  <c r="AE109" i="13"/>
  <c r="AC109" i="13"/>
  <c r="Z109" i="13"/>
  <c r="K109" i="13"/>
  <c r="B109" i="13"/>
  <c r="AX108" i="13"/>
  <c r="AU108" i="13"/>
  <c r="AT108" i="13"/>
  <c r="B108" i="13" s="1"/>
  <c r="AS108" i="13"/>
  <c r="AR108" i="13"/>
  <c r="F108" i="13" s="1"/>
  <c r="AP108" i="13"/>
  <c r="AJ108" i="13"/>
  <c r="AH108" i="13"/>
  <c r="AE108" i="13" s="1"/>
  <c r="AB108" i="13"/>
  <c r="Z108" i="13"/>
  <c r="K108" i="13"/>
  <c r="AX107" i="13"/>
  <c r="AU107" i="13"/>
  <c r="AT107" i="13"/>
  <c r="AS107" i="13"/>
  <c r="AR107" i="13"/>
  <c r="AP107" i="13"/>
  <c r="AJ107" i="13"/>
  <c r="AH107" i="13"/>
  <c r="AE107" i="13"/>
  <c r="AB107" i="13"/>
  <c r="Z107" i="13"/>
  <c r="K107" i="13"/>
  <c r="F107" i="13"/>
  <c r="B107" i="13"/>
  <c r="AX106" i="13"/>
  <c r="AU106" i="13"/>
  <c r="AT106" i="13"/>
  <c r="AS106" i="13"/>
  <c r="AR106" i="13"/>
  <c r="AP106" i="13"/>
  <c r="AJ106" i="13"/>
  <c r="AH106" i="13"/>
  <c r="K106" i="13"/>
  <c r="F106" i="13"/>
  <c r="B106" i="13"/>
  <c r="AX105" i="13"/>
  <c r="AU105" i="13"/>
  <c r="AT105" i="13"/>
  <c r="AS105" i="13"/>
  <c r="AR105" i="13"/>
  <c r="AP105" i="13"/>
  <c r="AJ105" i="13"/>
  <c r="AH105" i="13"/>
  <c r="K105" i="13"/>
  <c r="F105" i="13"/>
  <c r="B105" i="13"/>
  <c r="AX104" i="13"/>
  <c r="AU104" i="13"/>
  <c r="AT104" i="13"/>
  <c r="AS104" i="13"/>
  <c r="AR104" i="13"/>
  <c r="AP104" i="13"/>
  <c r="AJ104" i="13"/>
  <c r="AH104" i="13"/>
  <c r="AE104" i="13"/>
  <c r="AC104" i="13"/>
  <c r="K104" i="13"/>
  <c r="F104" i="13"/>
  <c r="B104" i="13"/>
  <c r="AX103" i="13"/>
  <c r="AU103" i="13"/>
  <c r="AT103" i="13"/>
  <c r="B103" i="13" s="1"/>
  <c r="AS103" i="13"/>
  <c r="AR103" i="13"/>
  <c r="F103" i="13" s="1"/>
  <c r="AP103" i="13"/>
  <c r="AJ103" i="13"/>
  <c r="AH103" i="13"/>
  <c r="AE103" i="13"/>
  <c r="AC103" i="13"/>
  <c r="AB103" i="13"/>
  <c r="K103" i="13"/>
  <c r="AX102" i="13"/>
  <c r="AU102" i="13"/>
  <c r="AT102" i="13"/>
  <c r="B102" i="13" s="1"/>
  <c r="AS102" i="13"/>
  <c r="AR102" i="13"/>
  <c r="AP102" i="13"/>
  <c r="AJ102" i="13"/>
  <c r="AH102" i="13"/>
  <c r="AE102" i="13"/>
  <c r="AC102" i="13"/>
  <c r="AB102" i="13"/>
  <c r="Z102" i="13"/>
  <c r="K102" i="13"/>
  <c r="F102" i="13"/>
  <c r="AX101" i="13"/>
  <c r="AU101" i="13"/>
  <c r="AT101" i="13"/>
  <c r="B101" i="13" s="1"/>
  <c r="AS101" i="13"/>
  <c r="AR101" i="13"/>
  <c r="F101" i="13" s="1"/>
  <c r="AP101" i="13"/>
  <c r="AJ101" i="13"/>
  <c r="AH101" i="13"/>
  <c r="AE101" i="13"/>
  <c r="AC101" i="13"/>
  <c r="AB101" i="13"/>
  <c r="Z101" i="13"/>
  <c r="K101" i="13"/>
  <c r="AX99" i="13"/>
  <c r="AU99" i="13"/>
  <c r="AT99" i="13"/>
  <c r="B99" i="13" s="1"/>
  <c r="AS99" i="13"/>
  <c r="AR99" i="13"/>
  <c r="F99" i="13" s="1"/>
  <c r="AP99" i="13"/>
  <c r="AJ99" i="13"/>
  <c r="AH99" i="13"/>
  <c r="AV99" i="13" s="1"/>
  <c r="AI99" i="13" s="1"/>
  <c r="AB99" i="13"/>
  <c r="AA99" i="13"/>
  <c r="Z99" i="13"/>
  <c r="K99" i="13"/>
  <c r="AX98" i="13"/>
  <c r="AU98" i="13"/>
  <c r="AT98" i="13"/>
  <c r="B98" i="13" s="1"/>
  <c r="AS98" i="13"/>
  <c r="F98" i="13" s="1"/>
  <c r="AR98" i="13"/>
  <c r="AP98" i="13"/>
  <c r="AJ98" i="13"/>
  <c r="AH98" i="13"/>
  <c r="AV98" i="13" s="1"/>
  <c r="AI98" i="13" s="1"/>
  <c r="AB98" i="13"/>
  <c r="AA98" i="13"/>
  <c r="Z98" i="13"/>
  <c r="K98" i="13"/>
  <c r="AX97" i="13"/>
  <c r="AU97" i="13"/>
  <c r="AT97" i="13"/>
  <c r="B97" i="13" s="1"/>
  <c r="AS97" i="13"/>
  <c r="AR97" i="13"/>
  <c r="AP97" i="13"/>
  <c r="AJ97" i="13"/>
  <c r="AH97" i="13"/>
  <c r="AV97" i="13" s="1"/>
  <c r="AI97" i="13" s="1"/>
  <c r="AB97" i="13"/>
  <c r="AA97" i="13"/>
  <c r="Z97" i="13"/>
  <c r="K97" i="13"/>
  <c r="AX96" i="13"/>
  <c r="AU96" i="13"/>
  <c r="AT96" i="13"/>
  <c r="B96" i="13" s="1"/>
  <c r="AS96" i="13"/>
  <c r="F96" i="13" s="1"/>
  <c r="AR96" i="13"/>
  <c r="AP96" i="13"/>
  <c r="AJ96" i="13"/>
  <c r="AH96" i="13"/>
  <c r="AV96" i="13" s="1"/>
  <c r="AI96" i="13" s="1"/>
  <c r="AB96" i="13"/>
  <c r="AA96" i="13"/>
  <c r="Z96" i="13"/>
  <c r="K96" i="13"/>
  <c r="AX95" i="13"/>
  <c r="AU95" i="13"/>
  <c r="AT95" i="13"/>
  <c r="B95" i="13" s="1"/>
  <c r="AS95" i="13"/>
  <c r="AR95" i="13"/>
  <c r="AP95" i="13"/>
  <c r="AJ95" i="13"/>
  <c r="AH95" i="13"/>
  <c r="AV95" i="13" s="1"/>
  <c r="AI95" i="13" s="1"/>
  <c r="AB95" i="13"/>
  <c r="AA95" i="13"/>
  <c r="Z95" i="13"/>
  <c r="K95" i="13"/>
  <c r="AX94" i="13"/>
  <c r="AU94" i="13"/>
  <c r="AT94" i="13"/>
  <c r="B94" i="13" s="1"/>
  <c r="AS94" i="13"/>
  <c r="F94" i="13" s="1"/>
  <c r="AR94" i="13"/>
  <c r="AP94" i="13"/>
  <c r="AJ94" i="13"/>
  <c r="AH94" i="13"/>
  <c r="AV94" i="13" s="1"/>
  <c r="AI94" i="13" s="1"/>
  <c r="AB94" i="13"/>
  <c r="AA94" i="13"/>
  <c r="Z94" i="13"/>
  <c r="K94" i="13"/>
  <c r="AX93" i="13"/>
  <c r="AU93" i="13"/>
  <c r="AT93" i="13"/>
  <c r="B93" i="13" s="1"/>
  <c r="AS93" i="13"/>
  <c r="AR93" i="13"/>
  <c r="AP93" i="13"/>
  <c r="AJ93" i="13"/>
  <c r="AH93" i="13"/>
  <c r="AV93" i="13" s="1"/>
  <c r="AI93" i="13" s="1"/>
  <c r="AB93" i="13"/>
  <c r="AA93" i="13"/>
  <c r="Z93" i="13"/>
  <c r="K93" i="13"/>
  <c r="AX92" i="13"/>
  <c r="AU92" i="13"/>
  <c r="AT92" i="13"/>
  <c r="B92" i="13" s="1"/>
  <c r="AS92" i="13"/>
  <c r="F92" i="13" s="1"/>
  <c r="AR92" i="13"/>
  <c r="AP92" i="13"/>
  <c r="AJ92" i="13"/>
  <c r="AH92" i="13"/>
  <c r="AV92" i="13" s="1"/>
  <c r="AI92" i="13" s="1"/>
  <c r="AB92" i="13"/>
  <c r="AA92" i="13"/>
  <c r="Z92" i="13"/>
  <c r="K92" i="13"/>
  <c r="AX91" i="13"/>
  <c r="AW91" i="13"/>
  <c r="AU91" i="13"/>
  <c r="AT91" i="13"/>
  <c r="B91" i="13" s="1"/>
  <c r="AS91" i="13"/>
  <c r="AR91" i="13"/>
  <c r="AP91" i="13"/>
  <c r="AJ91" i="13"/>
  <c r="AH91" i="13"/>
  <c r="AE91" i="13"/>
  <c r="AC91" i="13"/>
  <c r="AB91" i="13"/>
  <c r="AA91" i="13"/>
  <c r="Z91" i="13"/>
  <c r="AF91" i="13" s="1"/>
  <c r="K91" i="13"/>
  <c r="AX90" i="13"/>
  <c r="AW90" i="13"/>
  <c r="AU90" i="13"/>
  <c r="AT90" i="13"/>
  <c r="B90" i="13" s="1"/>
  <c r="AS90" i="13"/>
  <c r="F90" i="13" s="1"/>
  <c r="AR90" i="13"/>
  <c r="AP90" i="13"/>
  <c r="AJ90" i="13"/>
  <c r="AH90" i="13"/>
  <c r="Z90" i="13" s="1"/>
  <c r="AF90" i="13" s="1"/>
  <c r="AE90" i="13"/>
  <c r="AC90" i="13"/>
  <c r="AB90" i="13"/>
  <c r="AA90" i="13"/>
  <c r="K90" i="13"/>
  <c r="AX89" i="13"/>
  <c r="AW89" i="13"/>
  <c r="AU89" i="13"/>
  <c r="AT89" i="13"/>
  <c r="AS89" i="13"/>
  <c r="AR89" i="13"/>
  <c r="F89" i="13" s="1"/>
  <c r="AP89" i="13"/>
  <c r="AJ89" i="13"/>
  <c r="AH89" i="13"/>
  <c r="AE89" i="13"/>
  <c r="AC89" i="13"/>
  <c r="K89" i="13"/>
  <c r="B89" i="13"/>
  <c r="AX88" i="13"/>
  <c r="AW88" i="13"/>
  <c r="AU88" i="13"/>
  <c r="AT88" i="13"/>
  <c r="AS88" i="13"/>
  <c r="AR88" i="13"/>
  <c r="AP88" i="13"/>
  <c r="AJ88" i="13"/>
  <c r="AH88" i="13"/>
  <c r="AE88" i="13"/>
  <c r="AC88" i="13"/>
  <c r="K88" i="13"/>
  <c r="F88" i="13"/>
  <c r="B88" i="13"/>
  <c r="AU87" i="13"/>
  <c r="AT87" i="13"/>
  <c r="AS87" i="13"/>
  <c r="AR87" i="13"/>
  <c r="F87" i="13" s="1"/>
  <c r="AP87" i="13"/>
  <c r="AJ87" i="13"/>
  <c r="AH87" i="13"/>
  <c r="K87" i="13"/>
  <c r="B87" i="13"/>
  <c r="AX86" i="13"/>
  <c r="AW86" i="13"/>
  <c r="AU86" i="13"/>
  <c r="AT86" i="13"/>
  <c r="AS86" i="13"/>
  <c r="AR86" i="13"/>
  <c r="AP86" i="13"/>
  <c r="AJ86" i="13"/>
  <c r="AH86" i="13"/>
  <c r="AE86" i="13"/>
  <c r="AC86" i="13"/>
  <c r="K86" i="13"/>
  <c r="F86" i="13"/>
  <c r="B86" i="13"/>
  <c r="AX85" i="13"/>
  <c r="AW85" i="13"/>
  <c r="AU85" i="13"/>
  <c r="AT85" i="13"/>
  <c r="AS85" i="13"/>
  <c r="AR85" i="13"/>
  <c r="AP85" i="13"/>
  <c r="AJ85" i="13"/>
  <c r="AH85" i="13"/>
  <c r="AE85" i="13"/>
  <c r="K85" i="13"/>
  <c r="F85" i="13"/>
  <c r="B85" i="13"/>
  <c r="AU84" i="13"/>
  <c r="AT84" i="13"/>
  <c r="AS84" i="13"/>
  <c r="AR84" i="13"/>
  <c r="AP84" i="13"/>
  <c r="AJ84" i="13"/>
  <c r="AH84" i="13"/>
  <c r="AE84" i="13"/>
  <c r="K84" i="13"/>
  <c r="F84" i="13"/>
  <c r="B84" i="13"/>
  <c r="AU83" i="13"/>
  <c r="AT83" i="13"/>
  <c r="AS83" i="13"/>
  <c r="AR83" i="13"/>
  <c r="F83" i="13" s="1"/>
  <c r="AP83" i="13"/>
  <c r="AJ83" i="13"/>
  <c r="AH83" i="13"/>
  <c r="AE83" i="13" s="1"/>
  <c r="AC83" i="13"/>
  <c r="AB83" i="13"/>
  <c r="K83" i="13"/>
  <c r="B83" i="13"/>
  <c r="AU82" i="13"/>
  <c r="AT82" i="13"/>
  <c r="B82" i="13" s="1"/>
  <c r="AS82" i="13"/>
  <c r="F82" i="13" s="1"/>
  <c r="AR82" i="13"/>
  <c r="AP82" i="13"/>
  <c r="AJ82" i="13"/>
  <c r="AH82" i="13"/>
  <c r="Z82" i="13" s="1"/>
  <c r="AE82" i="13"/>
  <c r="AC82" i="13"/>
  <c r="AB82" i="13"/>
  <c r="AA82" i="13"/>
  <c r="K82" i="13"/>
  <c r="AX81" i="13"/>
  <c r="AW81" i="13"/>
  <c r="AU81" i="13"/>
  <c r="AT81" i="13"/>
  <c r="B81" i="13" s="1"/>
  <c r="AS81" i="13"/>
  <c r="AR81" i="13"/>
  <c r="F81" i="13" s="1"/>
  <c r="AP81" i="13"/>
  <c r="AJ81" i="13"/>
  <c r="AH81" i="13"/>
  <c r="AE81" i="13"/>
  <c r="AC81" i="13"/>
  <c r="AB81" i="13"/>
  <c r="K81" i="13"/>
  <c r="AX80" i="13"/>
  <c r="AW80" i="13"/>
  <c r="AU80" i="13"/>
  <c r="AT80" i="13"/>
  <c r="AS80" i="13"/>
  <c r="AR80" i="13"/>
  <c r="AP80" i="13"/>
  <c r="AJ80" i="13"/>
  <c r="AH80" i="13"/>
  <c r="AE80" i="13" s="1"/>
  <c r="AC80" i="13"/>
  <c r="K80" i="13"/>
  <c r="F80" i="13"/>
  <c r="B80" i="13"/>
  <c r="AX79" i="13"/>
  <c r="AW79" i="13"/>
  <c r="AU79" i="13"/>
  <c r="AT79" i="13"/>
  <c r="AS79" i="13"/>
  <c r="AR79" i="13"/>
  <c r="AP79" i="13"/>
  <c r="AJ79" i="13"/>
  <c r="AH79" i="13"/>
  <c r="AE79" i="13"/>
  <c r="K79" i="13"/>
  <c r="F79" i="13"/>
  <c r="B79" i="13"/>
  <c r="AX78" i="13"/>
  <c r="AW78" i="13"/>
  <c r="AU78" i="13"/>
  <c r="AT78" i="13"/>
  <c r="AS78" i="13"/>
  <c r="AR78" i="13"/>
  <c r="F78" i="13" s="1"/>
  <c r="AP78" i="13"/>
  <c r="AJ78" i="13"/>
  <c r="AH78" i="13"/>
  <c r="Z78" i="13"/>
  <c r="K78" i="13"/>
  <c r="B78" i="13"/>
  <c r="AX77" i="13"/>
  <c r="AW77" i="13"/>
  <c r="AU77" i="13"/>
  <c r="AT77" i="13"/>
  <c r="B77" i="13" s="1"/>
  <c r="AS77" i="13"/>
  <c r="F77" i="13" s="1"/>
  <c r="AR77" i="13"/>
  <c r="AP77" i="13"/>
  <c r="AJ77" i="13"/>
  <c r="AH77" i="13"/>
  <c r="AV77" i="13" s="1"/>
  <c r="AI77" i="13" s="1"/>
  <c r="AE77" i="13"/>
  <c r="AB77" i="13"/>
  <c r="AA77" i="13"/>
  <c r="Z77" i="13"/>
  <c r="K77" i="13"/>
  <c r="AU76" i="13"/>
  <c r="AT76" i="13"/>
  <c r="AS76" i="13"/>
  <c r="AR76" i="13"/>
  <c r="F76" i="13" s="1"/>
  <c r="AP76" i="13"/>
  <c r="AJ76" i="13"/>
  <c r="AH76" i="13"/>
  <c r="K76" i="13"/>
  <c r="B76" i="13"/>
  <c r="AX75" i="13"/>
  <c r="AW75" i="13"/>
  <c r="AU75" i="13"/>
  <c r="AT75" i="13"/>
  <c r="AS75" i="13"/>
  <c r="AR75" i="13"/>
  <c r="AP75" i="13"/>
  <c r="AJ75" i="13"/>
  <c r="AH75" i="13"/>
  <c r="AV75" i="13" s="1"/>
  <c r="AI75" i="13" s="1"/>
  <c r="AE75" i="13"/>
  <c r="AB75" i="13"/>
  <c r="AA75" i="13"/>
  <c r="Z75" i="13"/>
  <c r="F75" i="13"/>
  <c r="B75" i="13"/>
  <c r="AX74" i="13"/>
  <c r="AW74" i="13"/>
  <c r="AU74" i="13"/>
  <c r="AT74" i="13"/>
  <c r="B74" i="13" s="1"/>
  <c r="AS74" i="13"/>
  <c r="F74" i="13" s="1"/>
  <c r="AR74" i="13"/>
  <c r="AP74" i="13"/>
  <c r="AJ74" i="13"/>
  <c r="AH74" i="13"/>
  <c r="AV74" i="13" s="1"/>
  <c r="AI74" i="13" s="1"/>
  <c r="AE74" i="13"/>
  <c r="AB74" i="13"/>
  <c r="AA74" i="13"/>
  <c r="Z74" i="13"/>
  <c r="K74" i="13"/>
  <c r="AX73" i="13"/>
  <c r="AW73" i="13"/>
  <c r="AU73" i="13"/>
  <c r="AT73" i="13"/>
  <c r="B73" i="13" s="1"/>
  <c r="AS73" i="13"/>
  <c r="F73" i="13" s="1"/>
  <c r="AR73" i="13"/>
  <c r="AP73" i="13"/>
  <c r="AJ73" i="13"/>
  <c r="AH73" i="13"/>
  <c r="AV73" i="13" s="1"/>
  <c r="AI73" i="13" s="1"/>
  <c r="AB73" i="13"/>
  <c r="AA73" i="13"/>
  <c r="Z73" i="13"/>
  <c r="AX72" i="13"/>
  <c r="AW72" i="13"/>
  <c r="AU72" i="13"/>
  <c r="AT72" i="13"/>
  <c r="B72" i="13" s="1"/>
  <c r="AS72" i="13"/>
  <c r="AR72" i="13"/>
  <c r="F72" i="13" s="1"/>
  <c r="AP72" i="13"/>
  <c r="AJ72" i="13"/>
  <c r="AH72" i="13"/>
  <c r="AV72" i="13" s="1"/>
  <c r="AI72" i="13" s="1"/>
  <c r="AB72" i="13"/>
  <c r="AA72" i="13"/>
  <c r="Z72" i="13"/>
  <c r="AX71" i="13"/>
  <c r="AW71" i="13"/>
  <c r="AU71" i="13"/>
  <c r="AT71" i="13"/>
  <c r="B71" i="13" s="1"/>
  <c r="AS71" i="13"/>
  <c r="AR71" i="13"/>
  <c r="AP71" i="13"/>
  <c r="AJ71" i="13"/>
  <c r="AH71" i="13"/>
  <c r="AV71" i="13" s="1"/>
  <c r="AI71" i="13" s="1"/>
  <c r="AB71" i="13"/>
  <c r="AA71" i="13"/>
  <c r="Z71" i="13"/>
  <c r="K71" i="13"/>
  <c r="AX70" i="13"/>
  <c r="AW70" i="13"/>
  <c r="AU70" i="13"/>
  <c r="AT70" i="13"/>
  <c r="B70" i="13" s="1"/>
  <c r="AS70" i="13"/>
  <c r="AR70" i="13"/>
  <c r="AP70" i="13"/>
  <c r="AJ70" i="13"/>
  <c r="AH70" i="13"/>
  <c r="AE70" i="13"/>
  <c r="AC70" i="13"/>
  <c r="AB70" i="13"/>
  <c r="AA70" i="13"/>
  <c r="Z70" i="13"/>
  <c r="AF70" i="13" s="1"/>
  <c r="K70" i="13"/>
  <c r="AX69" i="13"/>
  <c r="AW69" i="13"/>
  <c r="AU69" i="13"/>
  <c r="AT69" i="13"/>
  <c r="B69" i="13" s="1"/>
  <c r="AS69" i="13"/>
  <c r="F69" i="13" s="1"/>
  <c r="AR69" i="13"/>
  <c r="AP69" i="13"/>
  <c r="AJ69" i="13"/>
  <c r="AH69" i="13"/>
  <c r="Z69" i="13" s="1"/>
  <c r="AE69" i="13"/>
  <c r="AC69" i="13"/>
  <c r="AB69" i="13"/>
  <c r="AA69" i="13"/>
  <c r="K69" i="13"/>
  <c r="AX68" i="13"/>
  <c r="AW68" i="13"/>
  <c r="AU68" i="13"/>
  <c r="AT68" i="13"/>
  <c r="AS68" i="13"/>
  <c r="AR68" i="13"/>
  <c r="F68" i="13" s="1"/>
  <c r="AP68" i="13"/>
  <c r="AJ68" i="13"/>
  <c r="AH68" i="13"/>
  <c r="AB68" i="13" s="1"/>
  <c r="AE68" i="13"/>
  <c r="K68" i="13"/>
  <c r="B68" i="13"/>
  <c r="AX67" i="13"/>
  <c r="AW67" i="13"/>
  <c r="AU67" i="13"/>
  <c r="AT67" i="13"/>
  <c r="AS67" i="13"/>
  <c r="AR67" i="13"/>
  <c r="AP67" i="13"/>
  <c r="AJ67" i="13"/>
  <c r="AH67" i="13"/>
  <c r="AE67" i="13"/>
  <c r="AC67" i="13"/>
  <c r="K67" i="13"/>
  <c r="F67" i="13"/>
  <c r="B67" i="13"/>
  <c r="AX66" i="13"/>
  <c r="AW66" i="13"/>
  <c r="AU66" i="13"/>
  <c r="AT66" i="13"/>
  <c r="AS66" i="13"/>
  <c r="AR66" i="13"/>
  <c r="AP66" i="13"/>
  <c r="AJ66" i="13"/>
  <c r="AH66" i="13"/>
  <c r="AE66" i="13"/>
  <c r="K66" i="13"/>
  <c r="F66" i="13"/>
  <c r="B66" i="13"/>
  <c r="AX65" i="13"/>
  <c r="AW65" i="13"/>
  <c r="AU65" i="13"/>
  <c r="AT65" i="13"/>
  <c r="AS65" i="13"/>
  <c r="AR65" i="13"/>
  <c r="F65" i="13" s="1"/>
  <c r="AP65" i="13"/>
  <c r="AJ65" i="13"/>
  <c r="AH65" i="13"/>
  <c r="K65" i="13"/>
  <c r="B65" i="13"/>
  <c r="AX64" i="13"/>
  <c r="AW64" i="13"/>
  <c r="AU64" i="13"/>
  <c r="AT64" i="13"/>
  <c r="B64" i="13" s="1"/>
  <c r="AS64" i="13"/>
  <c r="AR64" i="13"/>
  <c r="AP64" i="13"/>
  <c r="AJ64" i="13"/>
  <c r="AH64" i="13"/>
  <c r="AV64" i="13" s="1"/>
  <c r="AI64" i="13" s="1"/>
  <c r="AE64" i="13"/>
  <c r="AB64" i="13"/>
  <c r="AA64" i="13"/>
  <c r="Z64" i="13"/>
  <c r="K64" i="13"/>
  <c r="F64" i="13"/>
  <c r="AX63" i="13"/>
  <c r="AW63" i="13"/>
  <c r="AU63" i="13"/>
  <c r="AT63" i="13"/>
  <c r="B63" i="13" s="1"/>
  <c r="AS63" i="13"/>
  <c r="F63" i="13" s="1"/>
  <c r="AR63" i="13"/>
  <c r="AP63" i="13"/>
  <c r="AJ63" i="13"/>
  <c r="AH63" i="13"/>
  <c r="AV63" i="13" s="1"/>
  <c r="AI63" i="13" s="1"/>
  <c r="AB63" i="13"/>
  <c r="AA63" i="13"/>
  <c r="Z63" i="13"/>
  <c r="K63" i="13"/>
  <c r="AX62" i="13"/>
  <c r="AW62" i="13"/>
  <c r="AU62" i="13"/>
  <c r="AT62" i="13"/>
  <c r="B62" i="13" s="1"/>
  <c r="AS62" i="13"/>
  <c r="AR62" i="13"/>
  <c r="AP62" i="13"/>
  <c r="AJ62" i="13"/>
  <c r="AH62" i="13"/>
  <c r="AE62" i="13"/>
  <c r="AC62" i="13"/>
  <c r="AB62" i="13"/>
  <c r="AA62" i="13"/>
  <c r="Z62" i="13"/>
  <c r="AF62" i="13" s="1"/>
  <c r="K62" i="13"/>
  <c r="AX61" i="13"/>
  <c r="AW61" i="13"/>
  <c r="AU61" i="13"/>
  <c r="AT61" i="13"/>
  <c r="B61" i="13" s="1"/>
  <c r="AS61" i="13"/>
  <c r="F61" i="13" s="1"/>
  <c r="AR61" i="13"/>
  <c r="AP61" i="13"/>
  <c r="AJ61" i="13"/>
  <c r="AH61" i="13"/>
  <c r="Z61" i="13" s="1"/>
  <c r="AF61" i="13" s="1"/>
  <c r="AE61" i="13"/>
  <c r="AC61" i="13"/>
  <c r="AB61" i="13"/>
  <c r="AA61" i="13"/>
  <c r="K61" i="13"/>
  <c r="AX60" i="13"/>
  <c r="AW60" i="13"/>
  <c r="AU60" i="13"/>
  <c r="AT60" i="13"/>
  <c r="AS60" i="13"/>
  <c r="AR60" i="13"/>
  <c r="AP60" i="13"/>
  <c r="AJ60" i="13"/>
  <c r="AH60" i="13"/>
  <c r="AE60" i="13"/>
  <c r="AC60" i="13"/>
  <c r="K60" i="13"/>
  <c r="F60" i="13"/>
  <c r="B60" i="13"/>
  <c r="AX59" i="13"/>
  <c r="AW59" i="13"/>
  <c r="AU59" i="13"/>
  <c r="AT59" i="13"/>
  <c r="AS59" i="13"/>
  <c r="AR59" i="13"/>
  <c r="AP59" i="13"/>
  <c r="AJ59" i="13"/>
  <c r="AH59" i="13"/>
  <c r="AE59" i="13"/>
  <c r="AC59" i="13"/>
  <c r="K59" i="13"/>
  <c r="F59" i="13"/>
  <c r="B59" i="13"/>
  <c r="AX58" i="13"/>
  <c r="AW58" i="13"/>
  <c r="AU58" i="13"/>
  <c r="AT58" i="13"/>
  <c r="AS58" i="13"/>
  <c r="AR58" i="13"/>
  <c r="AP58" i="13"/>
  <c r="AJ58" i="13"/>
  <c r="AH58" i="13"/>
  <c r="AE58" i="13" s="1"/>
  <c r="K58" i="13"/>
  <c r="F58" i="13"/>
  <c r="B58" i="13"/>
  <c r="AX57" i="13"/>
  <c r="AW57" i="13"/>
  <c r="AU57" i="13"/>
  <c r="AT57" i="13"/>
  <c r="AS57" i="13"/>
  <c r="AR57" i="13"/>
  <c r="F57" i="13" s="1"/>
  <c r="AP57" i="13"/>
  <c r="AJ57" i="13"/>
  <c r="AH57" i="13"/>
  <c r="K57" i="13"/>
  <c r="B57" i="13"/>
  <c r="AX56" i="13"/>
  <c r="AW56" i="13"/>
  <c r="AU56" i="13"/>
  <c r="AT56" i="13"/>
  <c r="B56" i="13" s="1"/>
  <c r="AS56" i="13"/>
  <c r="AR56" i="13"/>
  <c r="AP56" i="13"/>
  <c r="AJ56" i="13"/>
  <c r="AH56" i="13"/>
  <c r="AV56" i="13" s="1"/>
  <c r="AI56" i="13" s="1"/>
  <c r="AE56" i="13"/>
  <c r="AB56" i="13"/>
  <c r="AA56" i="13"/>
  <c r="Z56" i="13"/>
  <c r="K56" i="13"/>
  <c r="F56" i="13"/>
  <c r="AX55" i="13"/>
  <c r="AW55" i="13"/>
  <c r="AU55" i="13"/>
  <c r="AT55" i="13"/>
  <c r="B55" i="13" s="1"/>
  <c r="AS55" i="13"/>
  <c r="F55" i="13" s="1"/>
  <c r="AR55" i="13"/>
  <c r="AP55" i="13"/>
  <c r="AJ55" i="13"/>
  <c r="AH55" i="13"/>
  <c r="AV55" i="13" s="1"/>
  <c r="AI55" i="13" s="1"/>
  <c r="AB55" i="13"/>
  <c r="AA55" i="13"/>
  <c r="Z55" i="13"/>
  <c r="K55" i="13"/>
  <c r="AX54" i="13"/>
  <c r="AW54" i="13"/>
  <c r="AU54" i="13"/>
  <c r="AV54" i="13" s="1"/>
  <c r="AT54" i="13"/>
  <c r="B54" i="13" s="1"/>
  <c r="AS54" i="13"/>
  <c r="AR54" i="13"/>
  <c r="AP54" i="13"/>
  <c r="AQ54" i="13" s="1"/>
  <c r="AG54" i="13"/>
  <c r="AE54" i="13"/>
  <c r="AC54" i="13"/>
  <c r="AB54" i="13"/>
  <c r="AA54" i="13"/>
  <c r="Z54" i="13"/>
  <c r="AF54" i="13" s="1"/>
  <c r="Y54" i="13"/>
  <c r="K54" i="13"/>
  <c r="J54" i="13"/>
  <c r="AX53" i="13"/>
  <c r="AW53" i="13"/>
  <c r="AU53" i="13"/>
  <c r="AT53" i="13"/>
  <c r="B53" i="13" s="1"/>
  <c r="AS53" i="13"/>
  <c r="F53" i="13" s="1"/>
  <c r="AR53" i="13"/>
  <c r="AP53" i="13"/>
  <c r="AJ53" i="13"/>
  <c r="AH53" i="13"/>
  <c r="AE53" i="13"/>
  <c r="AC53" i="13"/>
  <c r="AB53" i="13"/>
  <c r="K53" i="13"/>
  <c r="AX52" i="13"/>
  <c r="AW52" i="13"/>
  <c r="AU52" i="13"/>
  <c r="AT52" i="13"/>
  <c r="AS52" i="13"/>
  <c r="AR52" i="13"/>
  <c r="F52" i="13" s="1"/>
  <c r="AP52" i="13"/>
  <c r="AJ52" i="13"/>
  <c r="AH52" i="13"/>
  <c r="AE52" i="13"/>
  <c r="AC52" i="13"/>
  <c r="K52" i="13"/>
  <c r="B52" i="13"/>
  <c r="AX51" i="13"/>
  <c r="AW51" i="13"/>
  <c r="AU51" i="13"/>
  <c r="AT51" i="13"/>
  <c r="AS51" i="13"/>
  <c r="AR51" i="13"/>
  <c r="AP51" i="13"/>
  <c r="AJ51" i="13"/>
  <c r="AH51" i="13"/>
  <c r="AG51" i="13"/>
  <c r="AE51" i="13"/>
  <c r="K51" i="13"/>
  <c r="F51" i="13"/>
  <c r="B51" i="13"/>
  <c r="AX50" i="13"/>
  <c r="AW50" i="13"/>
  <c r="AU50" i="13"/>
  <c r="AT50" i="13"/>
  <c r="B50" i="13" s="1"/>
  <c r="AS50" i="13"/>
  <c r="F50" i="13" s="1"/>
  <c r="AR50" i="13"/>
  <c r="AP50" i="13"/>
  <c r="AJ50" i="13"/>
  <c r="AH50" i="13"/>
  <c r="AC50" i="13"/>
  <c r="AB50" i="13"/>
  <c r="AA50" i="13"/>
  <c r="Z50" i="13"/>
  <c r="K50" i="13"/>
  <c r="AX49" i="13"/>
  <c r="AW49" i="13"/>
  <c r="AU49" i="13"/>
  <c r="AT49" i="13"/>
  <c r="AS49" i="13"/>
  <c r="F49" i="13" s="1"/>
  <c r="AR49" i="13"/>
  <c r="AP49" i="13"/>
  <c r="AJ49" i="13"/>
  <c r="AH49" i="13"/>
  <c r="AG49" i="13" s="1"/>
  <c r="AE49" i="13"/>
  <c r="AB49" i="13"/>
  <c r="K49" i="13"/>
  <c r="B49" i="13"/>
  <c r="AX48" i="13"/>
  <c r="AW48" i="13"/>
  <c r="AU48" i="13"/>
  <c r="AT48" i="13"/>
  <c r="B48" i="13" s="1"/>
  <c r="AS48" i="13"/>
  <c r="F48" i="13" s="1"/>
  <c r="AR48" i="13"/>
  <c r="AP48" i="13"/>
  <c r="AJ48" i="13"/>
  <c r="AH48" i="13"/>
  <c r="AC48" i="13"/>
  <c r="AB48" i="13"/>
  <c r="AA48" i="13"/>
  <c r="Z48" i="13"/>
  <c r="K48" i="13"/>
  <c r="AX47" i="13"/>
  <c r="AW47" i="13"/>
  <c r="AU47" i="13"/>
  <c r="AT47" i="13"/>
  <c r="AS47" i="13"/>
  <c r="F47" i="13" s="1"/>
  <c r="AR47" i="13"/>
  <c r="AP47" i="13"/>
  <c r="AJ47" i="13"/>
  <c r="AH47" i="13"/>
  <c r="AG47" i="13" s="1"/>
  <c r="AE47" i="13"/>
  <c r="AB47" i="13"/>
  <c r="K47" i="13"/>
  <c r="B47" i="13"/>
  <c r="AX46" i="13"/>
  <c r="AW46" i="13"/>
  <c r="AU46" i="13"/>
  <c r="AT46" i="13"/>
  <c r="B46" i="13" s="1"/>
  <c r="AS46" i="13"/>
  <c r="F46" i="13" s="1"/>
  <c r="AR46" i="13"/>
  <c r="AP46" i="13"/>
  <c r="AJ46" i="13"/>
  <c r="AH46" i="13"/>
  <c r="AE46" i="13"/>
  <c r="AC46" i="13"/>
  <c r="AB46" i="13"/>
  <c r="AA46" i="13"/>
  <c r="K46" i="13"/>
  <c r="AX45" i="13"/>
  <c r="AW45" i="13"/>
  <c r="AU45" i="13"/>
  <c r="AT45" i="13"/>
  <c r="AS45" i="13"/>
  <c r="AR45" i="13"/>
  <c r="AP45" i="13"/>
  <c r="AJ45" i="13"/>
  <c r="AH45" i="13"/>
  <c r="AG45" i="13"/>
  <c r="AE45" i="13"/>
  <c r="AB45" i="13"/>
  <c r="K45" i="13"/>
  <c r="F45" i="13"/>
  <c r="B45" i="13"/>
  <c r="AX44" i="13"/>
  <c r="AW44" i="13"/>
  <c r="AU44" i="13"/>
  <c r="AT44" i="13"/>
  <c r="AS44" i="13"/>
  <c r="AR44" i="13"/>
  <c r="AP44" i="13"/>
  <c r="AJ44" i="13"/>
  <c r="AH44" i="13"/>
  <c r="AE44" i="13"/>
  <c r="K44" i="13"/>
  <c r="F44" i="13"/>
  <c r="B44" i="13"/>
  <c r="AX43" i="13"/>
  <c r="AW43" i="13"/>
  <c r="AU43" i="13"/>
  <c r="AT43" i="13"/>
  <c r="AS43" i="13"/>
  <c r="AR43" i="13"/>
  <c r="AP43" i="13"/>
  <c r="AJ43" i="13"/>
  <c r="AH43" i="13"/>
  <c r="Z43" i="13" s="1"/>
  <c r="K43" i="13"/>
  <c r="F43" i="13"/>
  <c r="B43" i="13"/>
  <c r="AX42" i="13"/>
  <c r="AW42" i="13"/>
  <c r="AU42" i="13"/>
  <c r="AT42" i="13"/>
  <c r="B42" i="13" s="1"/>
  <c r="AS42" i="13"/>
  <c r="F42" i="13" s="1"/>
  <c r="AR42" i="13"/>
  <c r="AP42" i="13"/>
  <c r="AJ42" i="13"/>
  <c r="AH42" i="13"/>
  <c r="AE42" i="13"/>
  <c r="AC42" i="13"/>
  <c r="AB42" i="13"/>
  <c r="AA42" i="13"/>
  <c r="Z42" i="13"/>
  <c r="AF42" i="13" s="1"/>
  <c r="K42" i="13"/>
  <c r="AX41" i="13"/>
  <c r="AW41" i="13"/>
  <c r="AU41" i="13"/>
  <c r="AT41" i="13"/>
  <c r="AS41" i="13"/>
  <c r="F41" i="13" s="1"/>
  <c r="AR41" i="13"/>
  <c r="AP41" i="13"/>
  <c r="AJ41" i="13"/>
  <c r="AH41" i="13"/>
  <c r="AG41" i="13" s="1"/>
  <c r="AE41" i="13"/>
  <c r="AB41" i="13"/>
  <c r="Z41" i="13"/>
  <c r="K41" i="13"/>
  <c r="B41" i="13"/>
  <c r="AL40" i="13"/>
  <c r="AJ40" i="13"/>
  <c r="AI40" i="13"/>
  <c r="AH40" i="13"/>
  <c r="AA40" i="13" s="1"/>
  <c r="F40" i="13"/>
  <c r="AX39" i="13"/>
  <c r="AW39" i="13"/>
  <c r="AU39" i="13"/>
  <c r="AT39" i="13"/>
  <c r="AS39" i="13"/>
  <c r="AR39" i="13"/>
  <c r="F39" i="13" s="1"/>
  <c r="AP39" i="13"/>
  <c r="AJ39" i="13"/>
  <c r="AH39" i="13"/>
  <c r="Z39" i="13" s="1"/>
  <c r="K39" i="13"/>
  <c r="B39" i="13"/>
  <c r="AX38" i="13"/>
  <c r="AW38" i="13"/>
  <c r="AU38" i="13"/>
  <c r="AT38" i="13"/>
  <c r="B38" i="13" s="1"/>
  <c r="AS38" i="13"/>
  <c r="AR38" i="13"/>
  <c r="AP38" i="13"/>
  <c r="AJ38" i="13"/>
  <c r="AH38" i="13"/>
  <c r="AE38" i="13"/>
  <c r="AC38" i="13"/>
  <c r="AB38" i="13"/>
  <c r="AA38" i="13"/>
  <c r="Z38" i="13"/>
  <c r="AF38" i="13" s="1"/>
  <c r="K38" i="13"/>
  <c r="F38" i="13"/>
  <c r="AX37" i="13"/>
  <c r="AW37" i="13"/>
  <c r="AU37" i="13"/>
  <c r="AT37" i="13"/>
  <c r="AS37" i="13"/>
  <c r="F37" i="13" s="1"/>
  <c r="AR37" i="13"/>
  <c r="AP37" i="13"/>
  <c r="AJ37" i="13"/>
  <c r="AH37" i="13"/>
  <c r="AE37" i="13"/>
  <c r="AC37" i="13"/>
  <c r="AB37" i="13"/>
  <c r="AA37" i="13"/>
  <c r="K37" i="13"/>
  <c r="B37" i="13"/>
  <c r="AX36" i="13"/>
  <c r="AW36" i="13"/>
  <c r="AU36" i="13"/>
  <c r="AT36" i="13"/>
  <c r="AS36" i="13"/>
  <c r="AR36" i="13"/>
  <c r="AP36" i="13"/>
  <c r="AJ36" i="13"/>
  <c r="AH36" i="13"/>
  <c r="K36" i="13"/>
  <c r="F36" i="13"/>
  <c r="B36" i="13"/>
  <c r="AX35" i="13"/>
  <c r="AW35" i="13"/>
  <c r="AU35" i="13"/>
  <c r="AV35" i="13" s="1"/>
  <c r="AT35" i="13"/>
  <c r="AS35" i="13"/>
  <c r="AR35" i="13"/>
  <c r="AP35" i="13"/>
  <c r="AJ35" i="13"/>
  <c r="AE35" i="13"/>
  <c r="AC35" i="13"/>
  <c r="AB35" i="13"/>
  <c r="AA35" i="13"/>
  <c r="Z35" i="13"/>
  <c r="AF35" i="13" s="1"/>
  <c r="K35" i="13"/>
  <c r="F35" i="13"/>
  <c r="B35" i="13"/>
  <c r="AX34" i="13"/>
  <c r="AW34" i="13"/>
  <c r="AU34" i="13"/>
  <c r="AT34" i="13"/>
  <c r="AS34" i="13"/>
  <c r="AR34" i="13"/>
  <c r="AP34" i="13"/>
  <c r="AJ34" i="13"/>
  <c r="AH34" i="13"/>
  <c r="AC34" i="13" s="1"/>
  <c r="J34" i="13"/>
  <c r="F34" i="13"/>
  <c r="B34" i="13"/>
  <c r="AX33" i="13"/>
  <c r="AW33" i="13"/>
  <c r="AU33" i="13"/>
  <c r="AT33" i="13"/>
  <c r="AS33" i="13"/>
  <c r="AR33" i="13"/>
  <c r="AP33" i="13"/>
  <c r="AJ33" i="13"/>
  <c r="AH33" i="13"/>
  <c r="AE33" i="13"/>
  <c r="K33" i="13"/>
  <c r="F33" i="13"/>
  <c r="B33" i="13"/>
  <c r="AX32" i="13"/>
  <c r="AW32" i="13"/>
  <c r="AU32" i="13"/>
  <c r="AT32" i="13"/>
  <c r="AS32" i="13"/>
  <c r="AR32" i="13"/>
  <c r="AP32" i="13"/>
  <c r="AJ32" i="13"/>
  <c r="AH32" i="13"/>
  <c r="AE32" i="13"/>
  <c r="AC32" i="13"/>
  <c r="Z32" i="13"/>
  <c r="K32" i="13"/>
  <c r="F32" i="13"/>
  <c r="B32" i="13"/>
  <c r="AX31" i="13"/>
  <c r="AW31" i="13"/>
  <c r="AU31" i="13"/>
  <c r="AT31" i="13"/>
  <c r="AS31" i="13"/>
  <c r="F31" i="13" s="1"/>
  <c r="AR31" i="13"/>
  <c r="AP31" i="13"/>
  <c r="AJ31" i="13"/>
  <c r="AH31" i="13"/>
  <c r="AE31" i="13"/>
  <c r="AC31" i="13"/>
  <c r="AA31" i="13"/>
  <c r="K31" i="13"/>
  <c r="B31" i="13"/>
  <c r="AX30" i="13"/>
  <c r="AW30" i="13"/>
  <c r="AU30" i="13"/>
  <c r="AT30" i="13"/>
  <c r="B30" i="13" s="1"/>
  <c r="AS30" i="13"/>
  <c r="AR30" i="13"/>
  <c r="AP30" i="13"/>
  <c r="AJ30" i="13"/>
  <c r="AH30" i="13"/>
  <c r="AE30" i="13" s="1"/>
  <c r="AB30" i="13"/>
  <c r="Z30" i="13"/>
  <c r="K30" i="13"/>
  <c r="F30" i="13"/>
  <c r="AX29" i="13"/>
  <c r="AW29" i="13"/>
  <c r="AU29" i="13"/>
  <c r="AT29" i="13"/>
  <c r="AS29" i="13"/>
  <c r="AR29" i="13"/>
  <c r="AP29" i="13"/>
  <c r="AJ29" i="13"/>
  <c r="AH29" i="13"/>
  <c r="AC29" i="13"/>
  <c r="AA29" i="13"/>
  <c r="Z29" i="13"/>
  <c r="K29" i="13"/>
  <c r="F29" i="13"/>
  <c r="B29" i="13"/>
  <c r="AU28" i="13"/>
  <c r="AT28" i="13"/>
  <c r="AS28" i="13"/>
  <c r="AR28" i="13"/>
  <c r="AP28" i="13"/>
  <c r="AJ28" i="13"/>
  <c r="AI28" i="13"/>
  <c r="AH28" i="13"/>
  <c r="K28" i="13"/>
  <c r="F28" i="13"/>
  <c r="AU27" i="13"/>
  <c r="AT27" i="13"/>
  <c r="AS27" i="13"/>
  <c r="F27" i="13" s="1"/>
  <c r="AR27" i="13"/>
  <c r="AP27" i="13"/>
  <c r="AJ27" i="13"/>
  <c r="AI27" i="13"/>
  <c r="AH27" i="13"/>
  <c r="AE27" i="13"/>
  <c r="AB27" i="13"/>
  <c r="Z27" i="13"/>
  <c r="AX26" i="13"/>
  <c r="AW26" i="13"/>
  <c r="AU26" i="13"/>
  <c r="AT26" i="13"/>
  <c r="AS26" i="13"/>
  <c r="F26" i="13" s="1"/>
  <c r="AR26" i="13"/>
  <c r="AP26" i="13"/>
  <c r="AJ26" i="13"/>
  <c r="AH26" i="13"/>
  <c r="AE26" i="13"/>
  <c r="AC26" i="13"/>
  <c r="AA26" i="13"/>
  <c r="B26" i="13"/>
  <c r="AX25" i="13"/>
  <c r="AW25" i="13"/>
  <c r="AU25" i="13"/>
  <c r="AT25" i="13"/>
  <c r="AS25" i="13"/>
  <c r="AR25" i="13"/>
  <c r="AP25" i="13"/>
  <c r="AJ25" i="13"/>
  <c r="AH25" i="13"/>
  <c r="F25" i="13"/>
  <c r="B25" i="13"/>
  <c r="AX24" i="13"/>
  <c r="AW24" i="13"/>
  <c r="AU24" i="13"/>
  <c r="AT24" i="13"/>
  <c r="AS24" i="13"/>
  <c r="F24" i="13" s="1"/>
  <c r="AR24" i="13"/>
  <c r="AP24" i="13"/>
  <c r="AJ24" i="13"/>
  <c r="AH24" i="13"/>
  <c r="AE24" i="13"/>
  <c r="B24" i="13"/>
  <c r="AX23" i="13"/>
  <c r="AW23" i="13"/>
  <c r="AU23" i="13"/>
  <c r="AT23" i="13"/>
  <c r="AS23" i="13"/>
  <c r="AR23" i="13"/>
  <c r="AP23" i="13"/>
  <c r="AJ23" i="13"/>
  <c r="AH23" i="13"/>
  <c r="AE23" i="13"/>
  <c r="AC23" i="13"/>
  <c r="K23" i="13"/>
  <c r="F23" i="13"/>
  <c r="B23" i="13"/>
  <c r="AX22" i="13"/>
  <c r="AW22" i="13"/>
  <c r="AU22" i="13"/>
  <c r="AT22" i="13"/>
  <c r="AS22" i="13"/>
  <c r="AR22" i="13"/>
  <c r="AP22" i="13"/>
  <c r="AJ22" i="13"/>
  <c r="AH22" i="13"/>
  <c r="AE22" i="13"/>
  <c r="AC22" i="13"/>
  <c r="K22" i="13"/>
  <c r="F22" i="13"/>
  <c r="B22" i="13"/>
  <c r="AX21" i="13"/>
  <c r="AW21" i="13"/>
  <c r="AU21" i="13"/>
  <c r="AT21" i="13"/>
  <c r="AS21" i="13"/>
  <c r="AR21" i="13"/>
  <c r="AP21" i="13"/>
  <c r="AJ21" i="13"/>
  <c r="AH21" i="13"/>
  <c r="AE21" i="13"/>
  <c r="AC21" i="13"/>
  <c r="K21" i="13"/>
  <c r="F21" i="13"/>
  <c r="B21" i="13"/>
  <c r="AX20" i="13"/>
  <c r="AW20" i="13"/>
  <c r="AU20" i="13"/>
  <c r="AT20" i="13"/>
  <c r="AS20" i="13"/>
  <c r="AR20" i="13"/>
  <c r="AP20" i="13"/>
  <c r="AJ20" i="13"/>
  <c r="AH20" i="13"/>
  <c r="AE20" i="13"/>
  <c r="AB20" i="13"/>
  <c r="K20" i="13"/>
  <c r="F20" i="13"/>
  <c r="AX19" i="13"/>
  <c r="AW19" i="13"/>
  <c r="AU19" i="13"/>
  <c r="AT19" i="13"/>
  <c r="B19" i="13" s="1"/>
  <c r="AS19" i="13"/>
  <c r="AR19" i="13"/>
  <c r="AP19" i="13"/>
  <c r="AJ19" i="13"/>
  <c r="AH19" i="13"/>
  <c r="AE19" i="13"/>
  <c r="AB19" i="13"/>
  <c r="AA19" i="13"/>
  <c r="K19" i="13"/>
  <c r="F19" i="13"/>
  <c r="AX18" i="13"/>
  <c r="AW18" i="13"/>
  <c r="AU18" i="13"/>
  <c r="AT18" i="13"/>
  <c r="B18" i="13" s="1"/>
  <c r="AS18" i="13"/>
  <c r="AR18" i="13"/>
  <c r="AP18" i="13"/>
  <c r="AJ18" i="13"/>
  <c r="AH18" i="13"/>
  <c r="AC18" i="13"/>
  <c r="AB18" i="13"/>
  <c r="AA18" i="13"/>
  <c r="K18" i="13"/>
  <c r="F18" i="13"/>
  <c r="AX17" i="13"/>
  <c r="AW17" i="13"/>
  <c r="AU17" i="13"/>
  <c r="AT17" i="13"/>
  <c r="B17" i="13" s="1"/>
  <c r="AS17" i="13"/>
  <c r="AR17" i="13"/>
  <c r="AP17" i="13"/>
  <c r="AJ17" i="13"/>
  <c r="AH17" i="13"/>
  <c r="AE17" i="13"/>
  <c r="AC17" i="13"/>
  <c r="AB17" i="13"/>
  <c r="AA17" i="13"/>
  <c r="Z17" i="13"/>
  <c r="K17" i="13"/>
  <c r="F17" i="13"/>
  <c r="AX16" i="13"/>
  <c r="AW16" i="13"/>
  <c r="AU16" i="13"/>
  <c r="AT16" i="13"/>
  <c r="B16" i="13" s="1"/>
  <c r="AS16" i="13"/>
  <c r="AR16" i="13"/>
  <c r="AP16" i="13"/>
  <c r="AJ16" i="13"/>
  <c r="AH16" i="13"/>
  <c r="AE16" i="13"/>
  <c r="AC16" i="13"/>
  <c r="AB16" i="13"/>
  <c r="K16" i="13"/>
  <c r="AX15" i="13"/>
  <c r="AW15" i="13"/>
  <c r="AU15" i="13"/>
  <c r="AT15" i="13"/>
  <c r="B15" i="13" s="1"/>
  <c r="AS15" i="13"/>
  <c r="AR15" i="13"/>
  <c r="AP15" i="13"/>
  <c r="AJ15" i="13"/>
  <c r="AH15" i="13"/>
  <c r="AE15" i="13"/>
  <c r="AC15" i="13"/>
  <c r="AB15" i="13"/>
  <c r="K15" i="13"/>
  <c r="F15" i="13"/>
  <c r="AX14" i="13"/>
  <c r="AW14" i="13"/>
  <c r="AU14" i="13"/>
  <c r="AT14" i="13"/>
  <c r="AS14" i="13"/>
  <c r="AR14" i="13"/>
  <c r="AP14" i="13"/>
  <c r="AJ14" i="13"/>
  <c r="AH14" i="13"/>
  <c r="AE14" i="13"/>
  <c r="AC14" i="13"/>
  <c r="K14" i="13"/>
  <c r="F14" i="13"/>
  <c r="B14" i="13"/>
  <c r="AX13" i="13"/>
  <c r="AW13" i="13"/>
  <c r="AU13" i="13"/>
  <c r="AT13" i="13"/>
  <c r="AS13" i="13"/>
  <c r="AR13" i="13"/>
  <c r="AP13" i="13"/>
  <c r="AJ13" i="13"/>
  <c r="AH13" i="13"/>
  <c r="AE13" i="13"/>
  <c r="AC13" i="13"/>
  <c r="K13" i="13"/>
  <c r="F13" i="13"/>
  <c r="B13" i="13"/>
  <c r="AX12" i="13"/>
  <c r="AW12" i="13"/>
  <c r="AU12" i="13"/>
  <c r="AT12" i="13"/>
  <c r="AS12" i="13"/>
  <c r="AR12" i="13"/>
  <c r="AP12" i="13"/>
  <c r="AJ12" i="13"/>
  <c r="AH12" i="13"/>
  <c r="AE12" i="13"/>
  <c r="AC12" i="13"/>
  <c r="K12" i="13"/>
  <c r="F12" i="13"/>
  <c r="B12" i="13"/>
  <c r="AX11" i="13"/>
  <c r="AW11" i="13"/>
  <c r="AU11" i="13"/>
  <c r="AT11" i="13"/>
  <c r="AS11" i="13"/>
  <c r="AR11" i="13"/>
  <c r="AP11" i="13"/>
  <c r="AJ11" i="13"/>
  <c r="AH11" i="13"/>
  <c r="AE11" i="13"/>
  <c r="AB11" i="13"/>
  <c r="K11" i="13"/>
  <c r="F11" i="13"/>
  <c r="B11" i="13"/>
  <c r="AX10" i="13"/>
  <c r="AW10" i="13"/>
  <c r="AU10" i="13"/>
  <c r="AT10" i="13"/>
  <c r="AS10" i="13"/>
  <c r="AR10" i="13"/>
  <c r="AP10" i="13"/>
  <c r="AJ10" i="13"/>
  <c r="AH10" i="13"/>
  <c r="AC10" i="13"/>
  <c r="AB10" i="13"/>
  <c r="K10" i="13"/>
  <c r="F10" i="13"/>
  <c r="B10" i="13"/>
  <c r="AX9" i="13"/>
  <c r="AW9" i="13"/>
  <c r="AU9" i="13"/>
  <c r="AT9" i="13"/>
  <c r="B9" i="13" s="1"/>
  <c r="AS9" i="13"/>
  <c r="AR9" i="13"/>
  <c r="AP9" i="13"/>
  <c r="AJ9" i="13"/>
  <c r="AH9" i="13"/>
  <c r="AE9" i="13"/>
  <c r="AC9" i="13"/>
  <c r="AB9" i="13"/>
  <c r="AA9" i="13"/>
  <c r="Z9" i="13"/>
  <c r="K9" i="13"/>
  <c r="F9" i="13"/>
  <c r="AX8" i="13"/>
  <c r="AW8" i="13"/>
  <c r="AU8" i="13"/>
  <c r="AT8" i="13"/>
  <c r="AS8" i="13"/>
  <c r="AR8" i="13"/>
  <c r="AP8" i="13"/>
  <c r="AJ8" i="13"/>
  <c r="AH8" i="13"/>
  <c r="AE8" i="13"/>
  <c r="AC8" i="13"/>
  <c r="K8" i="13"/>
  <c r="B8" i="13"/>
  <c r="AX7" i="13"/>
  <c r="AW7" i="13"/>
  <c r="AU7" i="13"/>
  <c r="AT7" i="13"/>
  <c r="AS7" i="13"/>
  <c r="AR7" i="13"/>
  <c r="AP7" i="13"/>
  <c r="AJ7" i="13"/>
  <c r="AH7" i="13"/>
  <c r="AE7" i="13"/>
  <c r="AC7" i="13"/>
  <c r="K7" i="13"/>
  <c r="F7" i="13"/>
  <c r="B7" i="13"/>
  <c r="AX6" i="13"/>
  <c r="AW6" i="13"/>
  <c r="AU6" i="13"/>
  <c r="AT6" i="13"/>
  <c r="AS6" i="13"/>
  <c r="AR6" i="13"/>
  <c r="AP6" i="13"/>
  <c r="AJ6" i="13"/>
  <c r="AH6" i="13"/>
  <c r="AE6" i="13"/>
  <c r="K6" i="13"/>
  <c r="F6" i="13"/>
  <c r="B6" i="13"/>
  <c r="AX5" i="13"/>
  <c r="AW5" i="13"/>
  <c r="AU5" i="13"/>
  <c r="AT5" i="13"/>
  <c r="AS5" i="13"/>
  <c r="AR5" i="13"/>
  <c r="AP5" i="13"/>
  <c r="AJ5" i="13"/>
  <c r="AH5" i="13"/>
  <c r="AE5" i="13"/>
  <c r="K5" i="13"/>
  <c r="F5" i="13"/>
  <c r="B5" i="13"/>
  <c r="AX4" i="13"/>
  <c r="AW4" i="13"/>
  <c r="AU4" i="13"/>
  <c r="AT4" i="13"/>
  <c r="AS4" i="13"/>
  <c r="AR4" i="13"/>
  <c r="AP4" i="13"/>
  <c r="AJ4" i="13"/>
  <c r="AH4" i="13"/>
  <c r="AE4" i="13"/>
  <c r="K4" i="13"/>
  <c r="F4" i="13"/>
  <c r="B4" i="13"/>
  <c r="AX3" i="13"/>
  <c r="AW3" i="13"/>
  <c r="AU3" i="13"/>
  <c r="AT3" i="13"/>
  <c r="AS3" i="13"/>
  <c r="AR3" i="13"/>
  <c r="AP3" i="13"/>
  <c r="AJ3" i="13"/>
  <c r="AH3" i="13"/>
  <c r="Z3" i="13" s="1"/>
  <c r="AE3" i="13"/>
  <c r="K3" i="13"/>
  <c r="F3" i="13"/>
  <c r="B3" i="13"/>
  <c r="AO2" i="13"/>
  <c r="AN2" i="13"/>
  <c r="AM2" i="13"/>
  <c r="AL2" i="13"/>
  <c r="AK2" i="13"/>
  <c r="AL40" i="1"/>
  <c r="AJ40" i="1"/>
  <c r="AI40" i="1"/>
  <c r="AH40" i="1"/>
  <c r="AG40" i="1" s="1"/>
  <c r="K208" i="1"/>
  <c r="AL201" i="1"/>
  <c r="AV76" i="13" l="1"/>
  <c r="AI76" i="13" s="1"/>
  <c r="AC76" i="13"/>
  <c r="AB76" i="13"/>
  <c r="AA76" i="13"/>
  <c r="AE76" i="13"/>
  <c r="AV105" i="13"/>
  <c r="AI105" i="13" s="1"/>
  <c r="AA105" i="13"/>
  <c r="AB105" i="13"/>
  <c r="Z105" i="13"/>
  <c r="AC105" i="13"/>
  <c r="AV116" i="13"/>
  <c r="AI116" i="13" s="1"/>
  <c r="AE116" i="13"/>
  <c r="Z116" i="13"/>
  <c r="AV121" i="13"/>
  <c r="AI121" i="13" s="1"/>
  <c r="Z121" i="13"/>
  <c r="AA121" i="13"/>
  <c r="AC135" i="13"/>
  <c r="AV151" i="13"/>
  <c r="AI151" i="13" s="1"/>
  <c r="AB151" i="13"/>
  <c r="AA151" i="13"/>
  <c r="AC151" i="13"/>
  <c r="AV156" i="13"/>
  <c r="AI156" i="13" s="1"/>
  <c r="Z156" i="13"/>
  <c r="AA156" i="13"/>
  <c r="AB156" i="13"/>
  <c r="AC156" i="13"/>
  <c r="AC163" i="13"/>
  <c r="AV168" i="13"/>
  <c r="AI168" i="13" s="1"/>
  <c r="Z168" i="13"/>
  <c r="AA168" i="13"/>
  <c r="AB168" i="13"/>
  <c r="AC168" i="13"/>
  <c r="AV201" i="13"/>
  <c r="AI201" i="13" s="1"/>
  <c r="AC201" i="13"/>
  <c r="AB201" i="13"/>
  <c r="AA201" i="13"/>
  <c r="AE201" i="13"/>
  <c r="Z201" i="13"/>
  <c r="AF96" i="13"/>
  <c r="AV148" i="13"/>
  <c r="AI148" i="13" s="1"/>
  <c r="AC148" i="13"/>
  <c r="AB148" i="13"/>
  <c r="AE148" i="13"/>
  <c r="AV24" i="13"/>
  <c r="AI24" i="13" s="1"/>
  <c r="Z24" i="13"/>
  <c r="AV11" i="13"/>
  <c r="AI11" i="13" s="1"/>
  <c r="AC11" i="13"/>
  <c r="AV23" i="13"/>
  <c r="AI23" i="13" s="1"/>
  <c r="Z23" i="13"/>
  <c r="AV172" i="13"/>
  <c r="AI172" i="13" s="1"/>
  <c r="Z172" i="13"/>
  <c r="AF172" i="13" s="1"/>
  <c r="AA172" i="13"/>
  <c r="AB172" i="13"/>
  <c r="AC172" i="13"/>
  <c r="AV176" i="13"/>
  <c r="AI176" i="13" s="1"/>
  <c r="Z176" i="13"/>
  <c r="AA176" i="13"/>
  <c r="AB176" i="13"/>
  <c r="AC176" i="13"/>
  <c r="AV180" i="13"/>
  <c r="AI180" i="13" s="1"/>
  <c r="Z180" i="13"/>
  <c r="AA180" i="13"/>
  <c r="AB180" i="13"/>
  <c r="AC180" i="13"/>
  <c r="AV184" i="13"/>
  <c r="AI184" i="13" s="1"/>
  <c r="Z184" i="13"/>
  <c r="AA184" i="13"/>
  <c r="AB184" i="13"/>
  <c r="AC184" i="13"/>
  <c r="AV188" i="13"/>
  <c r="AI188" i="13" s="1"/>
  <c r="Z188" i="13"/>
  <c r="AA188" i="13"/>
  <c r="AB188" i="13"/>
  <c r="AC188" i="13"/>
  <c r="AV57" i="13"/>
  <c r="AI57" i="13" s="1"/>
  <c r="AC57" i="13"/>
  <c r="AB57" i="13"/>
  <c r="AA57" i="13"/>
  <c r="AE57" i="13"/>
  <c r="AV4" i="13"/>
  <c r="AI4" i="13" s="1"/>
  <c r="AB4" i="13"/>
  <c r="AF29" i="13"/>
  <c r="AV25" i="13"/>
  <c r="AI25" i="13" s="1"/>
  <c r="Z25" i="13"/>
  <c r="AV36" i="13"/>
  <c r="AI36" i="13" s="1"/>
  <c r="AA36" i="13"/>
  <c r="AV87" i="13"/>
  <c r="AI87" i="13" s="1"/>
  <c r="Z87" i="13"/>
  <c r="AA87" i="13"/>
  <c r="Y42" i="13"/>
  <c r="J42" i="13" s="1"/>
  <c r="AV44" i="13"/>
  <c r="AI44" i="13" s="1"/>
  <c r="AG44" i="13"/>
  <c r="AV10" i="13"/>
  <c r="AI10" i="13" s="1"/>
  <c r="AE10" i="13"/>
  <c r="AV14" i="13"/>
  <c r="AI14" i="13" s="1"/>
  <c r="Z14" i="13"/>
  <c r="AF14" i="13" s="1"/>
  <c r="AV89" i="13"/>
  <c r="AI89" i="13" s="1"/>
  <c r="Z89" i="13"/>
  <c r="AF89" i="13" s="1"/>
  <c r="AA89" i="13"/>
  <c r="AV111" i="13"/>
  <c r="AI111" i="13" s="1"/>
  <c r="AC111" i="13"/>
  <c r="AA111" i="13"/>
  <c r="Z111" i="13"/>
  <c r="AB111" i="13"/>
  <c r="AV163" i="13"/>
  <c r="AI163" i="13" s="1"/>
  <c r="Z163" i="13"/>
  <c r="AA163" i="13"/>
  <c r="AV16" i="13"/>
  <c r="AI16" i="13" s="1"/>
  <c r="AV19" i="13"/>
  <c r="AI19" i="13" s="1"/>
  <c r="AC19" i="13"/>
  <c r="F62" i="13"/>
  <c r="AV106" i="13"/>
  <c r="AI106" i="13" s="1"/>
  <c r="AA106" i="13"/>
  <c r="AC106" i="13"/>
  <c r="AB106" i="13"/>
  <c r="Z106" i="13"/>
  <c r="AE106" i="13"/>
  <c r="AV140" i="13"/>
  <c r="AI140" i="13" s="1"/>
  <c r="AB140" i="13"/>
  <c r="AA140" i="13"/>
  <c r="AF140" i="13" s="1"/>
  <c r="AC140" i="13"/>
  <c r="AA25" i="13"/>
  <c r="AV31" i="13"/>
  <c r="AI31" i="13" s="1"/>
  <c r="Z31" i="13"/>
  <c r="AB31" i="13"/>
  <c r="Z36" i="13"/>
  <c r="Z44" i="13"/>
  <c r="AV46" i="13"/>
  <c r="AI46" i="13" s="1"/>
  <c r="AG46" i="13"/>
  <c r="AV48" i="13"/>
  <c r="AI48" i="13" s="1"/>
  <c r="AG48" i="13"/>
  <c r="AE48" i="13"/>
  <c r="AV50" i="13"/>
  <c r="AI50" i="13" s="1"/>
  <c r="AG50" i="13"/>
  <c r="AE50" i="13"/>
  <c r="AV51" i="13"/>
  <c r="AI51" i="13" s="1"/>
  <c r="AB51" i="13"/>
  <c r="AA51" i="13"/>
  <c r="Z51" i="13"/>
  <c r="AC51" i="13"/>
  <c r="AV85" i="13"/>
  <c r="AI85" i="13" s="1"/>
  <c r="AB85" i="13"/>
  <c r="AA85" i="13"/>
  <c r="Z85" i="13"/>
  <c r="AF85" i="13" s="1"/>
  <c r="AC85" i="13"/>
  <c r="AV88" i="13"/>
  <c r="AI88" i="13" s="1"/>
  <c r="AA88" i="13"/>
  <c r="Z88" i="13"/>
  <c r="AB88" i="13"/>
  <c r="F93" i="13"/>
  <c r="F95" i="13"/>
  <c r="F97" i="13"/>
  <c r="AV104" i="13"/>
  <c r="AI104" i="13" s="1"/>
  <c r="AA104" i="13"/>
  <c r="Z104" i="13"/>
  <c r="AB104" i="13"/>
  <c r="AF120" i="13"/>
  <c r="AV122" i="13"/>
  <c r="AI122" i="13" s="1"/>
  <c r="AA122" i="13"/>
  <c r="Z122" i="13"/>
  <c r="AF122" i="13" s="1"/>
  <c r="AB122" i="13"/>
  <c r="F125" i="13"/>
  <c r="AV136" i="13"/>
  <c r="AI136" i="13" s="1"/>
  <c r="Z136" i="13"/>
  <c r="AC136" i="13"/>
  <c r="AB136" i="13"/>
  <c r="AA136" i="13"/>
  <c r="AE136" i="13"/>
  <c r="AV152" i="13"/>
  <c r="AI152" i="13" s="1"/>
  <c r="AA152" i="13"/>
  <c r="Z152" i="13"/>
  <c r="AB152" i="13"/>
  <c r="AC152" i="13"/>
  <c r="AE152" i="13"/>
  <c r="AV155" i="13"/>
  <c r="AI155" i="13" s="1"/>
  <c r="Z155" i="13"/>
  <c r="AA155" i="13"/>
  <c r="AV167" i="13"/>
  <c r="AI167" i="13" s="1"/>
  <c r="Z167" i="13"/>
  <c r="AA167" i="13"/>
  <c r="AV191" i="13"/>
  <c r="AI191" i="13" s="1"/>
  <c r="AE191" i="13"/>
  <c r="AC191" i="13"/>
  <c r="AB191" i="13"/>
  <c r="AG191" i="13"/>
  <c r="Z191" i="13"/>
  <c r="AV204" i="13"/>
  <c r="AI204" i="13" s="1"/>
  <c r="AB204" i="13"/>
  <c r="AA204" i="13"/>
  <c r="Z204" i="13"/>
  <c r="AC204" i="13"/>
  <c r="AG204" i="13"/>
  <c r="AV65" i="13"/>
  <c r="AI65" i="13" s="1"/>
  <c r="AC65" i="13"/>
  <c r="AB65" i="13"/>
  <c r="AA65" i="13"/>
  <c r="AE65" i="13"/>
  <c r="AV33" i="13"/>
  <c r="AI33" i="13" s="1"/>
  <c r="AC33" i="13"/>
  <c r="AF82" i="13"/>
  <c r="AV7" i="13"/>
  <c r="AI7" i="13" s="1"/>
  <c r="AV12" i="13"/>
  <c r="AI12" i="13" s="1"/>
  <c r="AB12" i="13"/>
  <c r="AV52" i="13"/>
  <c r="AI52" i="13" s="1"/>
  <c r="Z52" i="13"/>
  <c r="AA52" i="13"/>
  <c r="AV60" i="13"/>
  <c r="AI60" i="13" s="1"/>
  <c r="Z60" i="13"/>
  <c r="AF60" i="13" s="1"/>
  <c r="AA60" i="13"/>
  <c r="AV131" i="13"/>
  <c r="AI131" i="13" s="1"/>
  <c r="AB131" i="13"/>
  <c r="AA131" i="13"/>
  <c r="Z131" i="13"/>
  <c r="AC131" i="13"/>
  <c r="AV32" i="13"/>
  <c r="AI32" i="13" s="1"/>
  <c r="AB32" i="13"/>
  <c r="AF32" i="13" s="1"/>
  <c r="AV59" i="13"/>
  <c r="AI59" i="13" s="1"/>
  <c r="AA59" i="13"/>
  <c r="Z59" i="13"/>
  <c r="AF59" i="13" s="1"/>
  <c r="AB59" i="13"/>
  <c r="AV67" i="13"/>
  <c r="AI67" i="13" s="1"/>
  <c r="AA67" i="13"/>
  <c r="Z67" i="13"/>
  <c r="AF67" i="13" s="1"/>
  <c r="AB67" i="13"/>
  <c r="F91" i="13"/>
  <c r="F119" i="13"/>
  <c r="AF9" i="13"/>
  <c r="AV30" i="13"/>
  <c r="AI30" i="13" s="1"/>
  <c r="AA30" i="13"/>
  <c r="AF30" i="13" s="1"/>
  <c r="AC30" i="13"/>
  <c r="AV41" i="13"/>
  <c r="AI41" i="13" s="1"/>
  <c r="AA41" i="13"/>
  <c r="AC41" i="13"/>
  <c r="AA44" i="13"/>
  <c r="AV47" i="13"/>
  <c r="AI47" i="13" s="1"/>
  <c r="AA47" i="13"/>
  <c r="Z47" i="13"/>
  <c r="AF47" i="13" s="1"/>
  <c r="Y47" i="13" s="1"/>
  <c r="J47" i="13" s="1"/>
  <c r="AC47" i="13"/>
  <c r="AV49" i="13"/>
  <c r="AI49" i="13" s="1"/>
  <c r="AA49" i="13"/>
  <c r="Z49" i="13"/>
  <c r="AC49" i="13"/>
  <c r="AV58" i="13"/>
  <c r="AI58" i="13" s="1"/>
  <c r="AB58" i="13"/>
  <c r="AA58" i="13"/>
  <c r="Z58" i="13"/>
  <c r="AC58" i="13"/>
  <c r="AV66" i="13"/>
  <c r="AI66" i="13" s="1"/>
  <c r="AB66" i="13"/>
  <c r="AA66" i="13"/>
  <c r="Z66" i="13"/>
  <c r="AF66" i="13" s="1"/>
  <c r="AC66" i="13"/>
  <c r="AV80" i="13"/>
  <c r="AI80" i="13" s="1"/>
  <c r="AA80" i="13"/>
  <c r="Z80" i="13"/>
  <c r="AB80" i="13"/>
  <c r="AV83" i="13"/>
  <c r="AI83" i="13" s="1"/>
  <c r="Z83" i="13"/>
  <c r="AF83" i="13" s="1"/>
  <c r="AA83" i="13"/>
  <c r="AB87" i="13"/>
  <c r="AV112" i="13"/>
  <c r="AI112" i="13" s="1"/>
  <c r="AC112" i="13"/>
  <c r="AB112" i="13"/>
  <c r="AA112" i="13"/>
  <c r="Z112" i="13"/>
  <c r="AE112" i="13"/>
  <c r="AA116" i="13"/>
  <c r="AB121" i="13"/>
  <c r="AF127" i="13"/>
  <c r="AV132" i="13"/>
  <c r="AI132" i="13" s="1"/>
  <c r="AC132" i="13"/>
  <c r="AB132" i="13"/>
  <c r="AA132" i="13"/>
  <c r="AF132" i="13" s="1"/>
  <c r="AE132" i="13"/>
  <c r="AV138" i="13"/>
  <c r="AI138" i="13" s="1"/>
  <c r="Z138" i="13"/>
  <c r="AA138" i="13"/>
  <c r="AV145" i="13"/>
  <c r="AI145" i="13" s="1"/>
  <c r="AC145" i="13"/>
  <c r="AB145" i="13"/>
  <c r="AE145" i="13"/>
  <c r="AV39" i="13"/>
  <c r="AI39" i="13" s="1"/>
  <c r="AB39" i="13"/>
  <c r="AE39" i="13"/>
  <c r="Z40" i="13"/>
  <c r="AB40" i="13"/>
  <c r="AV43" i="13"/>
  <c r="AI43" i="13" s="1"/>
  <c r="AA43" i="13"/>
  <c r="AC43" i="13"/>
  <c r="AF48" i="13"/>
  <c r="Y48" i="13" s="1"/>
  <c r="J48" i="13" s="1"/>
  <c r="AF50" i="13"/>
  <c r="Y50" i="13" s="1"/>
  <c r="J50" i="13" s="1"/>
  <c r="AF74" i="13"/>
  <c r="AV5" i="13"/>
  <c r="AI5" i="13" s="1"/>
  <c r="AA5" i="13"/>
  <c r="AV13" i="13"/>
  <c r="AI13" i="13" s="1"/>
  <c r="AA13" i="13"/>
  <c r="AV21" i="13"/>
  <c r="AI21" i="13" s="1"/>
  <c r="AB21" i="13"/>
  <c r="F70" i="13"/>
  <c r="AV86" i="13"/>
  <c r="AI86" i="13" s="1"/>
  <c r="AA86" i="13"/>
  <c r="Z86" i="13"/>
  <c r="AB86" i="13"/>
  <c r="AV45" i="13"/>
  <c r="AI45" i="13" s="1"/>
  <c r="AA45" i="13"/>
  <c r="AC45" i="13"/>
  <c r="AV81" i="13"/>
  <c r="AI81" i="13" s="1"/>
  <c r="Z81" i="13"/>
  <c r="AA81" i="13"/>
  <c r="Z4" i="13"/>
  <c r="AA34" i="13"/>
  <c r="AA39" i="13"/>
  <c r="AF39" i="13" s="1"/>
  <c r="Y39" i="13" s="1"/>
  <c r="J39" i="13" s="1"/>
  <c r="AC40" i="13"/>
  <c r="F8" i="13"/>
  <c r="Z10" i="13"/>
  <c r="AF10" i="13" s="1"/>
  <c r="Z12" i="13"/>
  <c r="AF12" i="13" s="1"/>
  <c r="Z13" i="13"/>
  <c r="AA14" i="13"/>
  <c r="Z16" i="13"/>
  <c r="AF17" i="13"/>
  <c r="AA23" i="13"/>
  <c r="AC36" i="13"/>
  <c r="AC39" i="13"/>
  <c r="AE40" i="13"/>
  <c r="AV42" i="13"/>
  <c r="AI42" i="13" s="1"/>
  <c r="AG42" i="13"/>
  <c r="AE43" i="13"/>
  <c r="AB44" i="13"/>
  <c r="AC87" i="13"/>
  <c r="AV110" i="13"/>
  <c r="AI110" i="13" s="1"/>
  <c r="AC110" i="13"/>
  <c r="Z110" i="13"/>
  <c r="AB116" i="13"/>
  <c r="AC121" i="13"/>
  <c r="F127" i="13"/>
  <c r="AV143" i="13"/>
  <c r="AI143" i="13" s="1"/>
  <c r="AC143" i="13"/>
  <c r="AB143" i="13"/>
  <c r="AE143" i="13"/>
  <c r="Z143" i="13"/>
  <c r="Z151" i="13"/>
  <c r="AV164" i="13"/>
  <c r="AI164" i="13" s="1"/>
  <c r="Z164" i="13"/>
  <c r="AA164" i="13"/>
  <c r="AB164" i="13"/>
  <c r="AC164" i="13"/>
  <c r="AV171" i="13"/>
  <c r="AI171" i="13" s="1"/>
  <c r="Z171" i="13"/>
  <c r="AA171" i="13"/>
  <c r="AV175" i="13"/>
  <c r="AI175" i="13" s="1"/>
  <c r="Z175" i="13"/>
  <c r="AA175" i="13"/>
  <c r="AV179" i="13"/>
  <c r="AI179" i="13" s="1"/>
  <c r="Z179" i="13"/>
  <c r="AF179" i="13" s="1"/>
  <c r="AA179" i="13"/>
  <c r="AV183" i="13"/>
  <c r="AI183" i="13" s="1"/>
  <c r="Z183" i="13"/>
  <c r="AA183" i="13"/>
  <c r="AV187" i="13"/>
  <c r="AI187" i="13" s="1"/>
  <c r="Z187" i="13"/>
  <c r="AF187" i="13" s="1"/>
  <c r="AA187" i="13"/>
  <c r="AF190" i="13"/>
  <c r="Y190" i="13" s="1"/>
  <c r="J190" i="13" s="1"/>
  <c r="F190" i="13"/>
  <c r="AB28" i="13"/>
  <c r="AE28" i="13"/>
  <c r="AV34" i="13"/>
  <c r="AI34" i="13" s="1"/>
  <c r="Z34" i="13"/>
  <c r="AF34" i="13" s="1"/>
  <c r="AB34" i="13"/>
  <c r="AV3" i="13"/>
  <c r="AI3" i="13" s="1"/>
  <c r="AC3" i="13"/>
  <c r="AV6" i="13"/>
  <c r="AI6" i="13" s="1"/>
  <c r="Z6" i="13"/>
  <c r="AF41" i="13"/>
  <c r="Y41" i="13" s="1"/>
  <c r="J41" i="13" s="1"/>
  <c r="AV68" i="13"/>
  <c r="AI68" i="13" s="1"/>
  <c r="Z68" i="13"/>
  <c r="AF68" i="13" s="1"/>
  <c r="AA68" i="13"/>
  <c r="AV84" i="13"/>
  <c r="AI84" i="13" s="1"/>
  <c r="AA84" i="13"/>
  <c r="Z84" i="13"/>
  <c r="AB84" i="13"/>
  <c r="AV8" i="13"/>
  <c r="AI8" i="13" s="1"/>
  <c r="AV20" i="13"/>
  <c r="AI20" i="13" s="1"/>
  <c r="AC20" i="13"/>
  <c r="AV22" i="13"/>
  <c r="AI22" i="13" s="1"/>
  <c r="AA22" i="13"/>
  <c r="AV78" i="13"/>
  <c r="AI78" i="13" s="1"/>
  <c r="AC78" i="13"/>
  <c r="AB78" i="13"/>
  <c r="AA78" i="13"/>
  <c r="AF78" i="13" s="1"/>
  <c r="AE78" i="13"/>
  <c r="AV124" i="13"/>
  <c r="AI124" i="13" s="1"/>
  <c r="AC124" i="13"/>
  <c r="AB124" i="13"/>
  <c r="AA124" i="13"/>
  <c r="AF124" i="13" s="1"/>
  <c r="AE124" i="13"/>
  <c r="AV135" i="13"/>
  <c r="AI135" i="13" s="1"/>
  <c r="Z135" i="13"/>
  <c r="AA135" i="13"/>
  <c r="AB135" i="13"/>
  <c r="AV15" i="13"/>
  <c r="AI15" i="13" s="1"/>
  <c r="AV18" i="13"/>
  <c r="AI18" i="13" s="1"/>
  <c r="AE18" i="13"/>
  <c r="AA27" i="13"/>
  <c r="AF27" i="13" s="1"/>
  <c r="AC27" i="13"/>
  <c r="F54" i="13"/>
  <c r="AV129" i="13"/>
  <c r="AI129" i="13" s="1"/>
  <c r="Z129" i="13"/>
  <c r="AA129" i="13"/>
  <c r="AV160" i="13"/>
  <c r="AI160" i="13" s="1"/>
  <c r="Z160" i="13"/>
  <c r="AA160" i="13"/>
  <c r="AB160" i="13"/>
  <c r="AC160" i="13"/>
  <c r="Z5" i="13"/>
  <c r="AF5" i="13" s="1"/>
  <c r="AA6" i="13"/>
  <c r="Z7" i="13"/>
  <c r="AF7" i="13" s="1"/>
  <c r="Z8" i="13"/>
  <c r="AA24" i="13"/>
  <c r="AB25" i="13"/>
  <c r="Z28" i="13"/>
  <c r="AF28" i="13" s="1"/>
  <c r="AB36" i="13"/>
  <c r="AB43" i="13"/>
  <c r="AF43" i="13" s="1"/>
  <c r="Y43" i="13" s="1"/>
  <c r="J43" i="13" s="1"/>
  <c r="AA3" i="13"/>
  <c r="AF3" i="13" s="1"/>
  <c r="AA4" i="13"/>
  <c r="AB5" i="13"/>
  <c r="AB6" i="13"/>
  <c r="AA7" i="13"/>
  <c r="AA8" i="13"/>
  <c r="Z11" i="13"/>
  <c r="AF11" i="13" s="1"/>
  <c r="Z15" i="13"/>
  <c r="Z20" i="13"/>
  <c r="Z21" i="13"/>
  <c r="AF21" i="13" s="1"/>
  <c r="Z22" i="13"/>
  <c r="AB24" i="13"/>
  <c r="AC25" i="13"/>
  <c r="AV26" i="13"/>
  <c r="AI26" i="13" s="1"/>
  <c r="Z26" i="13"/>
  <c r="AB26" i="13"/>
  <c r="AA28" i="13"/>
  <c r="AV29" i="13"/>
  <c r="AI29" i="13" s="1"/>
  <c r="AB29" i="13"/>
  <c r="AE29" i="13"/>
  <c r="AB3" i="13"/>
  <c r="AC4" i="13"/>
  <c r="AC5" i="13"/>
  <c r="AC6" i="13"/>
  <c r="AB7" i="13"/>
  <c r="AB8" i="13"/>
  <c r="AA10" i="13"/>
  <c r="AA11" i="13"/>
  <c r="AA12" i="13"/>
  <c r="AB13" i="13"/>
  <c r="AB14" i="13"/>
  <c r="AA15" i="13"/>
  <c r="AA16" i="13"/>
  <c r="F16" i="13"/>
  <c r="Z18" i="13"/>
  <c r="AF18" i="13" s="1"/>
  <c r="Z19" i="13"/>
  <c r="AA20" i="13"/>
  <c r="AA21" i="13"/>
  <c r="AB22" i="13"/>
  <c r="AB23" i="13"/>
  <c r="AC24" i="13"/>
  <c r="AE25" i="13"/>
  <c r="AC28" i="13"/>
  <c r="Z33" i="13"/>
  <c r="AE34" i="13"/>
  <c r="AE36" i="13"/>
  <c r="AV37" i="13"/>
  <c r="AI37" i="13" s="1"/>
  <c r="Z37" i="13"/>
  <c r="AF37" i="13" s="1"/>
  <c r="AG39" i="13"/>
  <c r="AG40" i="13"/>
  <c r="AG43" i="13"/>
  <c r="AC44" i="13"/>
  <c r="Z45" i="13"/>
  <c r="Z46" i="13"/>
  <c r="AF46" i="13" s="1"/>
  <c r="Y46" i="13" s="1"/>
  <c r="J46" i="13" s="1"/>
  <c r="AB52" i="13"/>
  <c r="AV53" i="13"/>
  <c r="AI53" i="13" s="1"/>
  <c r="Z53" i="13"/>
  <c r="AF53" i="13" s="1"/>
  <c r="AF56" i="13"/>
  <c r="Z57" i="13"/>
  <c r="AB60" i="13"/>
  <c r="Z65" i="13"/>
  <c r="AF65" i="13" s="1"/>
  <c r="AC68" i="13"/>
  <c r="AF69" i="13"/>
  <c r="F71" i="13"/>
  <c r="AF75" i="13"/>
  <c r="Z76" i="13"/>
  <c r="AV79" i="13"/>
  <c r="AI79" i="13" s="1"/>
  <c r="AB79" i="13"/>
  <c r="AA79" i="13"/>
  <c r="Z79" i="13"/>
  <c r="AC79" i="13"/>
  <c r="AC84" i="13"/>
  <c r="AE87" i="13"/>
  <c r="AB89" i="13"/>
  <c r="AV103" i="13"/>
  <c r="AI103" i="13" s="1"/>
  <c r="AA103" i="13"/>
  <c r="Z103" i="13"/>
  <c r="AE105" i="13"/>
  <c r="AF109" i="13"/>
  <c r="AC116" i="13"/>
  <c r="AE121" i="13"/>
  <c r="AV123" i="13"/>
  <c r="AI123" i="13" s="1"/>
  <c r="AB123" i="13"/>
  <c r="AA123" i="13"/>
  <c r="Z123" i="13"/>
  <c r="AC123" i="13"/>
  <c r="AF128" i="13"/>
  <c r="AV130" i="13"/>
  <c r="AI130" i="13" s="1"/>
  <c r="AA130" i="13"/>
  <c r="Z130" i="13"/>
  <c r="AB130" i="13"/>
  <c r="AV146" i="13"/>
  <c r="AI146" i="13" s="1"/>
  <c r="AC146" i="13"/>
  <c r="AB146" i="13"/>
  <c r="AE146" i="13"/>
  <c r="Z146" i="13"/>
  <c r="AF146" i="13" s="1"/>
  <c r="AA146" i="13"/>
  <c r="Z148" i="13"/>
  <c r="AE151" i="13"/>
  <c r="AE156" i="13"/>
  <c r="AV159" i="13"/>
  <c r="AI159" i="13" s="1"/>
  <c r="Z159" i="13"/>
  <c r="AF159" i="13" s="1"/>
  <c r="AA159" i="13"/>
  <c r="AB163" i="13"/>
  <c r="AE168" i="13"/>
  <c r="AV107" i="13"/>
  <c r="AI107" i="13" s="1"/>
  <c r="AA107" i="13"/>
  <c r="AV113" i="13"/>
  <c r="AI113" i="13" s="1"/>
  <c r="AC113" i="13"/>
  <c r="F121" i="13"/>
  <c r="F129" i="13"/>
  <c r="AV139" i="13"/>
  <c r="AI139" i="13" s="1"/>
  <c r="AA139" i="13"/>
  <c r="Z139" i="13"/>
  <c r="AB139" i="13"/>
  <c r="AV141" i="13"/>
  <c r="AI141" i="13" s="1"/>
  <c r="AC141" i="13"/>
  <c r="AB141" i="13"/>
  <c r="AE141" i="13"/>
  <c r="AV149" i="13"/>
  <c r="AI149" i="13" s="1"/>
  <c r="AC149" i="13"/>
  <c r="AB149" i="13"/>
  <c r="AE149" i="13"/>
  <c r="AV153" i="13"/>
  <c r="AI153" i="13" s="1"/>
  <c r="Z153" i="13"/>
  <c r="AA153" i="13"/>
  <c r="AV157" i="13"/>
  <c r="AI157" i="13" s="1"/>
  <c r="Z157" i="13"/>
  <c r="AA157" i="13"/>
  <c r="AV161" i="13"/>
  <c r="AI161" i="13" s="1"/>
  <c r="Z161" i="13"/>
  <c r="AA161" i="13"/>
  <c r="AV165" i="13"/>
  <c r="AI165" i="13" s="1"/>
  <c r="Z165" i="13"/>
  <c r="AA165" i="13"/>
  <c r="AV169" i="13"/>
  <c r="AI169" i="13" s="1"/>
  <c r="Z169" i="13"/>
  <c r="AA169" i="13"/>
  <c r="AV173" i="13"/>
  <c r="AI173" i="13" s="1"/>
  <c r="Z173" i="13"/>
  <c r="AA173" i="13"/>
  <c r="AV177" i="13"/>
  <c r="AI177" i="13" s="1"/>
  <c r="Z177" i="13"/>
  <c r="AA177" i="13"/>
  <c r="AV181" i="13"/>
  <c r="AI181" i="13" s="1"/>
  <c r="Z181" i="13"/>
  <c r="AA181" i="13"/>
  <c r="AV185" i="13"/>
  <c r="AI185" i="13" s="1"/>
  <c r="Z185" i="13"/>
  <c r="AA185" i="13"/>
  <c r="AV189" i="13"/>
  <c r="AI189" i="13" s="1"/>
  <c r="Z189" i="13"/>
  <c r="AA189" i="13"/>
  <c r="AF195" i="13"/>
  <c r="AV205" i="13"/>
  <c r="AI205" i="13" s="1"/>
  <c r="AA205" i="13"/>
  <c r="Z205" i="13"/>
  <c r="AB205" i="13"/>
  <c r="AV207" i="13"/>
  <c r="AI207" i="13" s="1"/>
  <c r="AB207" i="13"/>
  <c r="AA207" i="13"/>
  <c r="Z207" i="13"/>
  <c r="AC207" i="13"/>
  <c r="AV214" i="13"/>
  <c r="AI214" i="13" s="1"/>
  <c r="Z214" i="13"/>
  <c r="AA214" i="13"/>
  <c r="AV221" i="13"/>
  <c r="AI221" i="13" s="1"/>
  <c r="Z221" i="13"/>
  <c r="AE221" i="13"/>
  <c r="AA221" i="13"/>
  <c r="AB221" i="13"/>
  <c r="AC221" i="13"/>
  <c r="AF200" i="13"/>
  <c r="F200" i="13"/>
  <c r="AF212" i="13"/>
  <c r="AV208" i="13"/>
  <c r="AI208" i="13" s="1"/>
  <c r="AB208" i="13"/>
  <c r="AA208" i="13"/>
  <c r="Z208" i="13"/>
  <c r="AC208" i="13"/>
  <c r="AF213" i="13"/>
  <c r="AV215" i="13"/>
  <c r="AI215" i="13" s="1"/>
  <c r="AA215" i="13"/>
  <c r="Z215" i="13"/>
  <c r="AB215" i="13"/>
  <c r="AC55" i="13"/>
  <c r="AF55" i="13" s="1"/>
  <c r="AV61" i="13"/>
  <c r="AI61" i="13" s="1"/>
  <c r="AC63" i="13"/>
  <c r="AF63" i="13" s="1"/>
  <c r="AV69" i="13"/>
  <c r="AI69" i="13" s="1"/>
  <c r="AC71" i="13"/>
  <c r="AF71" i="13" s="1"/>
  <c r="AC72" i="13"/>
  <c r="AC73" i="13"/>
  <c r="AF73" i="13" s="1"/>
  <c r="AV82" i="13"/>
  <c r="AI82" i="13" s="1"/>
  <c r="AV90" i="13"/>
  <c r="AI90" i="13" s="1"/>
  <c r="AC92" i="13"/>
  <c r="AF92" i="13" s="1"/>
  <c r="AC93" i="13"/>
  <c r="AF93" i="13" s="1"/>
  <c r="AC94" i="13"/>
  <c r="AF94" i="13" s="1"/>
  <c r="AC95" i="13"/>
  <c r="AF95" i="13" s="1"/>
  <c r="AC96" i="13"/>
  <c r="AC97" i="13"/>
  <c r="AF97" i="13" s="1"/>
  <c r="AC98" i="13"/>
  <c r="AF98" i="13" s="1"/>
  <c r="AC99" i="13"/>
  <c r="AF99" i="13" s="1"/>
  <c r="AV102" i="13"/>
  <c r="AI102" i="13" s="1"/>
  <c r="AA102" i="13"/>
  <c r="AF102" i="13" s="1"/>
  <c r="AC108" i="13"/>
  <c r="AV109" i="13"/>
  <c r="AI109" i="13" s="1"/>
  <c r="AB109" i="13"/>
  <c r="AB114" i="13"/>
  <c r="AF114" i="13" s="1"/>
  <c r="AF117" i="13"/>
  <c r="AC118" i="13"/>
  <c r="AF118" i="13" s="1"/>
  <c r="AV120" i="13"/>
  <c r="AI120" i="13" s="1"/>
  <c r="F124" i="13"/>
  <c r="AC126" i="13"/>
  <c r="AF126" i="13" s="1"/>
  <c r="AV128" i="13"/>
  <c r="AI128" i="13" s="1"/>
  <c r="AC133" i="13"/>
  <c r="AV134" i="13"/>
  <c r="AI134" i="13" s="1"/>
  <c r="Z134" i="13"/>
  <c r="AF134" i="13" s="1"/>
  <c r="AC137" i="13"/>
  <c r="AV142" i="13"/>
  <c r="AI142" i="13" s="1"/>
  <c r="AC142" i="13"/>
  <c r="AB142" i="13"/>
  <c r="AF142" i="13" s="1"/>
  <c r="AE142" i="13"/>
  <c r="Z144" i="13"/>
  <c r="AV150" i="13"/>
  <c r="AI150" i="13" s="1"/>
  <c r="AC150" i="13"/>
  <c r="AB150" i="13"/>
  <c r="AF150" i="13" s="1"/>
  <c r="AE150" i="13"/>
  <c r="AB165" i="13"/>
  <c r="AB169" i="13"/>
  <c r="AB173" i="13"/>
  <c r="AB177" i="13"/>
  <c r="AB181" i="13"/>
  <c r="AB185" i="13"/>
  <c r="AB189" i="13"/>
  <c r="F191" i="13"/>
  <c r="AF199" i="13"/>
  <c r="AV206" i="13"/>
  <c r="AI206" i="13" s="1"/>
  <c r="AA206" i="13"/>
  <c r="Z206" i="13"/>
  <c r="AB206" i="13"/>
  <c r="AF211" i="13"/>
  <c r="F211" i="13"/>
  <c r="AB214" i="13"/>
  <c r="AV9" i="13"/>
  <c r="AI9" i="13" s="1"/>
  <c r="AV17" i="13"/>
  <c r="AI17" i="13" s="1"/>
  <c r="AV38" i="13"/>
  <c r="AI38" i="13" s="1"/>
  <c r="AE55" i="13"/>
  <c r="AC56" i="13"/>
  <c r="AV62" i="13"/>
  <c r="AI62" i="13" s="1"/>
  <c r="AE63" i="13"/>
  <c r="AC64" i="13"/>
  <c r="AF64" i="13" s="1"/>
  <c r="AV70" i="13"/>
  <c r="AI70" i="13" s="1"/>
  <c r="AE71" i="13"/>
  <c r="AE72" i="13"/>
  <c r="AF72" i="13" s="1"/>
  <c r="AE73" i="13"/>
  <c r="AC74" i="13"/>
  <c r="AC75" i="13"/>
  <c r="AC77" i="13"/>
  <c r="AF77" i="13" s="1"/>
  <c r="AV91" i="13"/>
  <c r="AI91" i="13" s="1"/>
  <c r="AE92" i="13"/>
  <c r="AE93" i="13"/>
  <c r="AE94" i="13"/>
  <c r="AE95" i="13"/>
  <c r="AE96" i="13"/>
  <c r="AE97" i="13"/>
  <c r="AE98" i="13"/>
  <c r="AE99" i="13"/>
  <c r="AV101" i="13"/>
  <c r="AI101" i="13" s="1"/>
  <c r="AA101" i="13"/>
  <c r="AF101" i="13" s="1"/>
  <c r="AC107" i="13"/>
  <c r="AF107" i="13" s="1"/>
  <c r="AB113" i="13"/>
  <c r="AF113" i="13" s="1"/>
  <c r="AV115" i="13"/>
  <c r="AI115" i="13" s="1"/>
  <c r="AC115" i="13"/>
  <c r="AF115" i="13" s="1"/>
  <c r="AE118" i="13"/>
  <c r="AV119" i="13"/>
  <c r="AI119" i="13" s="1"/>
  <c r="F123" i="13"/>
  <c r="AC125" i="13"/>
  <c r="AF125" i="13" s="1"/>
  <c r="AE126" i="13"/>
  <c r="AV127" i="13"/>
  <c r="AI127" i="13" s="1"/>
  <c r="F131" i="13"/>
  <c r="AC139" i="13"/>
  <c r="Z141" i="13"/>
  <c r="AF141" i="13" s="1"/>
  <c r="AV147" i="13"/>
  <c r="AI147" i="13" s="1"/>
  <c r="AC147" i="13"/>
  <c r="AB147" i="13"/>
  <c r="AF147" i="13" s="1"/>
  <c r="AE147" i="13"/>
  <c r="Z149" i="13"/>
  <c r="AF149" i="13" s="1"/>
  <c r="AC153" i="13"/>
  <c r="AV154" i="13"/>
  <c r="AI154" i="13" s="1"/>
  <c r="Z154" i="13"/>
  <c r="AF154" i="13" s="1"/>
  <c r="AA154" i="13"/>
  <c r="AC157" i="13"/>
  <c r="AV158" i="13"/>
  <c r="AI158" i="13" s="1"/>
  <c r="Z158" i="13"/>
  <c r="AF158" i="13" s="1"/>
  <c r="AA158" i="13"/>
  <c r="AC161" i="13"/>
  <c r="AV162" i="13"/>
  <c r="AI162" i="13" s="1"/>
  <c r="Z162" i="13"/>
  <c r="AF162" i="13" s="1"/>
  <c r="AA162" i="13"/>
  <c r="AC165" i="13"/>
  <c r="AV166" i="13"/>
  <c r="AI166" i="13" s="1"/>
  <c r="Z166" i="13"/>
  <c r="AF166" i="13" s="1"/>
  <c r="AA166" i="13"/>
  <c r="AC169" i="13"/>
  <c r="AV170" i="13"/>
  <c r="AI170" i="13" s="1"/>
  <c r="Z170" i="13"/>
  <c r="AF170" i="13" s="1"/>
  <c r="AA170" i="13"/>
  <c r="AC173" i="13"/>
  <c r="AV174" i="13"/>
  <c r="AI174" i="13" s="1"/>
  <c r="Z174" i="13"/>
  <c r="AF174" i="13" s="1"/>
  <c r="AA174" i="13"/>
  <c r="AC177" i="13"/>
  <c r="AV178" i="13"/>
  <c r="AI178" i="13" s="1"/>
  <c r="Z178" i="13"/>
  <c r="AF178" i="13" s="1"/>
  <c r="AA178" i="13"/>
  <c r="AC181" i="13"/>
  <c r="AV182" i="13"/>
  <c r="AI182" i="13" s="1"/>
  <c r="Z182" i="13"/>
  <c r="AF182" i="13" s="1"/>
  <c r="AA182" i="13"/>
  <c r="AC185" i="13"/>
  <c r="AV186" i="13"/>
  <c r="AI186" i="13" s="1"/>
  <c r="Z186" i="13"/>
  <c r="AF186" i="13" s="1"/>
  <c r="AA186" i="13"/>
  <c r="AC189" i="13"/>
  <c r="AC205" i="13"/>
  <c r="AC214" i="13"/>
  <c r="AV216" i="13"/>
  <c r="AI216" i="13" s="1"/>
  <c r="Z216" i="13"/>
  <c r="AC216" i="13"/>
  <c r="AB216" i="13"/>
  <c r="AA216" i="13"/>
  <c r="AE216" i="13"/>
  <c r="AV218" i="13"/>
  <c r="AI218" i="13" s="1"/>
  <c r="Z218" i="13"/>
  <c r="AE218" i="13"/>
  <c r="AA218" i="13"/>
  <c r="AB218" i="13"/>
  <c r="AV220" i="13"/>
  <c r="AI220" i="13" s="1"/>
  <c r="Z220" i="13"/>
  <c r="AE220" i="13"/>
  <c r="AA220" i="13"/>
  <c r="AV108" i="13"/>
  <c r="AI108" i="13" s="1"/>
  <c r="AA108" i="13"/>
  <c r="AF108" i="13" s="1"/>
  <c r="AV114" i="13"/>
  <c r="AI114" i="13" s="1"/>
  <c r="AC114" i="13"/>
  <c r="AV133" i="13"/>
  <c r="AI133" i="13" s="1"/>
  <c r="Z133" i="13"/>
  <c r="AF133" i="13" s="1"/>
  <c r="AV137" i="13"/>
  <c r="AI137" i="13" s="1"/>
  <c r="Z137" i="13"/>
  <c r="AV144" i="13"/>
  <c r="AI144" i="13" s="1"/>
  <c r="AC144" i="13"/>
  <c r="AB144" i="13"/>
  <c r="AE144" i="13"/>
  <c r="AE173" i="13"/>
  <c r="AE177" i="13"/>
  <c r="AE181" i="13"/>
  <c r="AE185" i="13"/>
  <c r="AE189" i="13"/>
  <c r="AV202" i="13"/>
  <c r="AI202" i="13" s="1"/>
  <c r="AC202" i="13"/>
  <c r="AB202" i="13"/>
  <c r="AA202" i="13"/>
  <c r="AF202" i="13" s="1"/>
  <c r="AE202" i="13"/>
  <c r="AE205" i="13"/>
  <c r="AE207" i="13"/>
  <c r="AV209" i="13"/>
  <c r="AI209" i="13" s="1"/>
  <c r="AC209" i="13"/>
  <c r="AB209" i="13"/>
  <c r="AA209" i="13"/>
  <c r="AF209" i="13" s="1"/>
  <c r="AE209" i="13"/>
  <c r="AE214" i="13"/>
  <c r="F209" i="13"/>
  <c r="AV213" i="13"/>
  <c r="AI213" i="13" s="1"/>
  <c r="AV217" i="13"/>
  <c r="AI217" i="13" s="1"/>
  <c r="Z217" i="13"/>
  <c r="AE217" i="13"/>
  <c r="AA217" i="13"/>
  <c r="AV117" i="13"/>
  <c r="AI117" i="13" s="1"/>
  <c r="AC192" i="13"/>
  <c r="AF192" i="13" s="1"/>
  <c r="AC193" i="13"/>
  <c r="AF193" i="13" s="1"/>
  <c r="AV195" i="13"/>
  <c r="AI195" i="13" s="1"/>
  <c r="AC196" i="13"/>
  <c r="AF196" i="13" s="1"/>
  <c r="Y196" i="13" s="1"/>
  <c r="J196" i="13" s="1"/>
  <c r="AC197" i="13"/>
  <c r="AF197" i="13" s="1"/>
  <c r="AC198" i="13"/>
  <c r="AF198" i="13" s="1"/>
  <c r="AC203" i="13"/>
  <c r="AF203" i="13" s="1"/>
  <c r="AC210" i="13"/>
  <c r="AF210" i="13" s="1"/>
  <c r="AV212" i="13"/>
  <c r="AI212" i="13" s="1"/>
  <c r="AV222" i="13"/>
  <c r="AI222" i="13" s="1"/>
  <c r="Z222" i="13"/>
  <c r="AE222" i="13"/>
  <c r="AA222" i="13"/>
  <c r="AV190" i="13"/>
  <c r="AI190" i="13" s="1"/>
  <c r="AE192" i="13"/>
  <c r="AE193" i="13"/>
  <c r="AV194" i="13"/>
  <c r="AI194" i="13" s="1"/>
  <c r="AE196" i="13"/>
  <c r="AE197" i="13"/>
  <c r="AE198" i="13"/>
  <c r="AV199" i="13"/>
  <c r="AI199" i="13" s="1"/>
  <c r="AV200" i="13"/>
  <c r="AI200" i="13" s="1"/>
  <c r="AE203" i="13"/>
  <c r="AE210" i="13"/>
  <c r="AV211" i="13"/>
  <c r="AI211" i="13" s="1"/>
  <c r="AV219" i="13"/>
  <c r="AI219" i="13" s="1"/>
  <c r="Z219" i="13"/>
  <c r="AE219" i="13"/>
  <c r="AA219" i="13"/>
  <c r="AA223" i="13"/>
  <c r="AA224" i="13"/>
  <c r="AA225" i="13"/>
  <c r="AA226" i="13"/>
  <c r="AA227" i="13"/>
  <c r="AA228" i="13"/>
  <c r="AA229" i="13"/>
  <c r="AA230" i="13"/>
  <c r="AA231" i="13"/>
  <c r="AA232" i="13"/>
  <c r="AA233" i="13"/>
  <c r="AB235" i="13"/>
  <c r="AV237" i="13"/>
  <c r="AI237" i="13" s="1"/>
  <c r="AE237" i="13"/>
  <c r="Z241" i="13"/>
  <c r="AB243" i="13"/>
  <c r="AV245" i="13"/>
  <c r="AI245" i="13" s="1"/>
  <c r="AE245" i="13"/>
  <c r="Z249" i="13"/>
  <c r="AB251" i="13"/>
  <c r="AV253" i="13"/>
  <c r="AI253" i="13" s="1"/>
  <c r="AE253" i="13"/>
  <c r="Z257" i="13"/>
  <c r="AB259" i="13"/>
  <c r="AV261" i="13"/>
  <c r="AI261" i="13" s="1"/>
  <c r="AE261" i="13"/>
  <c r="Z265" i="13"/>
  <c r="AB267" i="13"/>
  <c r="AV269" i="13"/>
  <c r="AI269" i="13" s="1"/>
  <c r="AE269" i="13"/>
  <c r="Z273" i="13"/>
  <c r="AB275" i="13"/>
  <c r="AV277" i="13"/>
  <c r="AI277" i="13" s="1"/>
  <c r="AE277" i="13"/>
  <c r="Z281" i="13"/>
  <c r="AB283" i="13"/>
  <c r="AV285" i="13"/>
  <c r="AI285" i="13" s="1"/>
  <c r="AE285" i="13"/>
  <c r="Z289" i="13"/>
  <c r="AB291" i="13"/>
  <c r="AV293" i="13"/>
  <c r="AI293" i="13" s="1"/>
  <c r="AE293" i="13"/>
  <c r="Z297" i="13"/>
  <c r="AB299" i="13"/>
  <c r="AV301" i="13"/>
  <c r="AI301" i="13" s="1"/>
  <c r="AE301" i="13"/>
  <c r="Z305" i="13"/>
  <c r="AB307" i="13"/>
  <c r="AV309" i="13"/>
  <c r="AI309" i="13" s="1"/>
  <c r="AE309" i="13"/>
  <c r="Z313" i="13"/>
  <c r="AV317" i="13"/>
  <c r="AI317" i="13" s="1"/>
  <c r="AE317" i="13"/>
  <c r="AV236" i="13"/>
  <c r="AI236" i="13" s="1"/>
  <c r="AE236" i="13"/>
  <c r="AV244" i="13"/>
  <c r="AI244" i="13" s="1"/>
  <c r="AE244" i="13"/>
  <c r="AF248" i="13"/>
  <c r="AA249" i="13"/>
  <c r="AV252" i="13"/>
  <c r="AI252" i="13" s="1"/>
  <c r="AE252" i="13"/>
  <c r="AA257" i="13"/>
  <c r="AV260" i="13"/>
  <c r="AI260" i="13" s="1"/>
  <c r="AE260" i="13"/>
  <c r="AF264" i="13"/>
  <c r="AA265" i="13"/>
  <c r="AV268" i="13"/>
  <c r="AI268" i="13" s="1"/>
  <c r="AE268" i="13"/>
  <c r="AA273" i="13"/>
  <c r="AV276" i="13"/>
  <c r="AI276" i="13" s="1"/>
  <c r="AE276" i="13"/>
  <c r="AF280" i="13"/>
  <c r="AA281" i="13"/>
  <c r="AV284" i="13"/>
  <c r="AI284" i="13" s="1"/>
  <c r="AE284" i="13"/>
  <c r="AA289" i="13"/>
  <c r="AV292" i="13"/>
  <c r="AI292" i="13" s="1"/>
  <c r="AE292" i="13"/>
  <c r="AF296" i="13"/>
  <c r="AA297" i="13"/>
  <c r="AV300" i="13"/>
  <c r="AI300" i="13" s="1"/>
  <c r="AE300" i="13"/>
  <c r="AA305" i="13"/>
  <c r="AV308" i="13"/>
  <c r="AI308" i="13" s="1"/>
  <c r="AE308" i="13"/>
  <c r="AF312" i="13"/>
  <c r="AA313" i="13"/>
  <c r="AV316" i="13"/>
  <c r="AI316" i="13" s="1"/>
  <c r="AE316" i="13"/>
  <c r="AV235" i="13"/>
  <c r="AI235" i="13" s="1"/>
  <c r="AE235" i="13"/>
  <c r="AV243" i="13"/>
  <c r="AI243" i="13" s="1"/>
  <c r="AE243" i="13"/>
  <c r="AF247" i="13"/>
  <c r="AV251" i="13"/>
  <c r="AI251" i="13" s="1"/>
  <c r="AE251" i="13"/>
  <c r="AV259" i="13"/>
  <c r="AI259" i="13" s="1"/>
  <c r="AE259" i="13"/>
  <c r="AV267" i="13"/>
  <c r="AI267" i="13" s="1"/>
  <c r="AE267" i="13"/>
  <c r="AV275" i="13"/>
  <c r="AI275" i="13" s="1"/>
  <c r="AE275" i="13"/>
  <c r="AF279" i="13"/>
  <c r="AV283" i="13"/>
  <c r="AI283" i="13" s="1"/>
  <c r="AE283" i="13"/>
  <c r="AF287" i="13"/>
  <c r="AV291" i="13"/>
  <c r="AI291" i="13" s="1"/>
  <c r="AE291" i="13"/>
  <c r="AV299" i="13"/>
  <c r="AI299" i="13" s="1"/>
  <c r="AE299" i="13"/>
  <c r="AV307" i="13"/>
  <c r="AI307" i="13" s="1"/>
  <c r="AE307" i="13"/>
  <c r="AF311" i="13"/>
  <c r="AV315" i="13"/>
  <c r="AI315" i="13" s="1"/>
  <c r="AE315" i="13"/>
  <c r="AE223" i="13"/>
  <c r="AV234" i="13"/>
  <c r="AI234" i="13" s="1"/>
  <c r="AE234" i="13"/>
  <c r="AF238" i="13"/>
  <c r="AV242" i="13"/>
  <c r="AI242" i="13" s="1"/>
  <c r="AE242" i="13"/>
  <c r="AV250" i="13"/>
  <c r="AI250" i="13" s="1"/>
  <c r="AE250" i="13"/>
  <c r="AF254" i="13"/>
  <c r="AV258" i="13"/>
  <c r="AI258" i="13" s="1"/>
  <c r="AE258" i="13"/>
  <c r="AF262" i="13"/>
  <c r="AV266" i="13"/>
  <c r="AI266" i="13" s="1"/>
  <c r="AE266" i="13"/>
  <c r="AV274" i="13"/>
  <c r="AI274" i="13" s="1"/>
  <c r="AE274" i="13"/>
  <c r="AV282" i="13"/>
  <c r="AI282" i="13" s="1"/>
  <c r="AE282" i="13"/>
  <c r="AF286" i="13"/>
  <c r="AV290" i="13"/>
  <c r="AI290" i="13" s="1"/>
  <c r="AE290" i="13"/>
  <c r="AV298" i="13"/>
  <c r="AI298" i="13" s="1"/>
  <c r="AE298" i="13"/>
  <c r="AF302" i="13"/>
  <c r="AV306" i="13"/>
  <c r="AI306" i="13" s="1"/>
  <c r="AE306" i="13"/>
  <c r="AV314" i="13"/>
  <c r="AI314" i="13" s="1"/>
  <c r="AE314" i="13"/>
  <c r="AV224" i="13"/>
  <c r="AI224" i="13" s="1"/>
  <c r="AV225" i="13"/>
  <c r="AI225" i="13" s="1"/>
  <c r="AV226" i="13"/>
  <c r="AI226" i="13" s="1"/>
  <c r="AV227" i="13"/>
  <c r="AI227" i="13" s="1"/>
  <c r="AV228" i="13"/>
  <c r="AI228" i="13" s="1"/>
  <c r="AV229" i="13"/>
  <c r="AI229" i="13" s="1"/>
  <c r="AV230" i="13"/>
  <c r="AI230" i="13" s="1"/>
  <c r="AV231" i="13"/>
  <c r="AI231" i="13" s="1"/>
  <c r="AV232" i="13"/>
  <c r="AI232" i="13" s="1"/>
  <c r="AV233" i="13"/>
  <c r="AI233" i="13" s="1"/>
  <c r="AV241" i="13"/>
  <c r="AI241" i="13" s="1"/>
  <c r="AE241" i="13"/>
  <c r="AV249" i="13"/>
  <c r="AI249" i="13" s="1"/>
  <c r="AE249" i="13"/>
  <c r="AV257" i="13"/>
  <c r="AI257" i="13" s="1"/>
  <c r="AE257" i="13"/>
  <c r="AF261" i="13"/>
  <c r="AV265" i="13"/>
  <c r="AI265" i="13" s="1"/>
  <c r="AE265" i="13"/>
  <c r="AV273" i="13"/>
  <c r="AI273" i="13" s="1"/>
  <c r="AE273" i="13"/>
  <c r="AV281" i="13"/>
  <c r="AI281" i="13" s="1"/>
  <c r="AE281" i="13"/>
  <c r="AV289" i="13"/>
  <c r="AI289" i="13" s="1"/>
  <c r="AE289" i="13"/>
  <c r="AV297" i="13"/>
  <c r="AI297" i="13" s="1"/>
  <c r="AE297" i="13"/>
  <c r="AV305" i="13"/>
  <c r="AI305" i="13" s="1"/>
  <c r="AE305" i="13"/>
  <c r="AV313" i="13"/>
  <c r="AI313" i="13" s="1"/>
  <c r="AE313" i="13"/>
  <c r="Z236" i="13"/>
  <c r="AV240" i="13"/>
  <c r="AI240" i="13" s="1"/>
  <c r="AE240" i="13"/>
  <c r="AF240" i="13" s="1"/>
  <c r="Z244" i="13"/>
  <c r="AV248" i="13"/>
  <c r="AI248" i="13" s="1"/>
  <c r="AE248" i="13"/>
  <c r="Z252" i="13"/>
  <c r="AV256" i="13"/>
  <c r="AI256" i="13" s="1"/>
  <c r="AE256" i="13"/>
  <c r="AF256" i="13" s="1"/>
  <c r="Z260" i="13"/>
  <c r="AF260" i="13" s="1"/>
  <c r="AV264" i="13"/>
  <c r="AI264" i="13" s="1"/>
  <c r="AE264" i="13"/>
  <c r="Z268" i="13"/>
  <c r="AA269" i="13"/>
  <c r="AV272" i="13"/>
  <c r="AI272" i="13" s="1"/>
  <c r="AE272" i="13"/>
  <c r="AF272" i="13" s="1"/>
  <c r="Z276" i="13"/>
  <c r="AA277" i="13"/>
  <c r="AV280" i="13"/>
  <c r="AI280" i="13" s="1"/>
  <c r="AE280" i="13"/>
  <c r="Z284" i="13"/>
  <c r="AA285" i="13"/>
  <c r="AV288" i="13"/>
  <c r="AI288" i="13" s="1"/>
  <c r="AE288" i="13"/>
  <c r="AF288" i="13" s="1"/>
  <c r="Z292" i="13"/>
  <c r="AA293" i="13"/>
  <c r="AF293" i="13" s="1"/>
  <c r="AV296" i="13"/>
  <c r="AI296" i="13" s="1"/>
  <c r="AE296" i="13"/>
  <c r="Z300" i="13"/>
  <c r="AA301" i="13"/>
  <c r="AV304" i="13"/>
  <c r="AI304" i="13" s="1"/>
  <c r="AE304" i="13"/>
  <c r="AF304" i="13" s="1"/>
  <c r="Z308" i="13"/>
  <c r="AF308" i="13" s="1"/>
  <c r="AA309" i="13"/>
  <c r="AF309" i="13" s="1"/>
  <c r="AV312" i="13"/>
  <c r="AI312" i="13" s="1"/>
  <c r="AE312" i="13"/>
  <c r="Z316" i="13"/>
  <c r="AA317" i="13"/>
  <c r="Z235" i="13"/>
  <c r="AA236" i="13"/>
  <c r="AB237" i="13"/>
  <c r="AV239" i="13"/>
  <c r="AI239" i="13" s="1"/>
  <c r="AE239" i="13"/>
  <c r="AF239" i="13" s="1"/>
  <c r="Z243" i="13"/>
  <c r="AA244" i="13"/>
  <c r="AB245" i="13"/>
  <c r="AV247" i="13"/>
  <c r="AI247" i="13" s="1"/>
  <c r="AE247" i="13"/>
  <c r="Z251" i="13"/>
  <c r="AA252" i="13"/>
  <c r="AB253" i="13"/>
  <c r="AF253" i="13" s="1"/>
  <c r="AV255" i="13"/>
  <c r="AI255" i="13" s="1"/>
  <c r="AE255" i="13"/>
  <c r="AF255" i="13" s="1"/>
  <c r="Z259" i="13"/>
  <c r="AA260" i="13"/>
  <c r="AB261" i="13"/>
  <c r="AV263" i="13"/>
  <c r="AI263" i="13" s="1"/>
  <c r="AE263" i="13"/>
  <c r="AF263" i="13" s="1"/>
  <c r="Z267" i="13"/>
  <c r="AF267" i="13" s="1"/>
  <c r="AA268" i="13"/>
  <c r="AB269" i="13"/>
  <c r="AV271" i="13"/>
  <c r="AI271" i="13" s="1"/>
  <c r="AE271" i="13"/>
  <c r="AF271" i="13" s="1"/>
  <c r="Z275" i="13"/>
  <c r="AA276" i="13"/>
  <c r="AB277" i="13"/>
  <c r="AV279" i="13"/>
  <c r="AI279" i="13" s="1"/>
  <c r="AE279" i="13"/>
  <c r="Z283" i="13"/>
  <c r="AA284" i="13"/>
  <c r="AB285" i="13"/>
  <c r="AF285" i="13" s="1"/>
  <c r="AV287" i="13"/>
  <c r="AI287" i="13" s="1"/>
  <c r="AE287" i="13"/>
  <c r="Z291" i="13"/>
  <c r="AA292" i="13"/>
  <c r="AB293" i="13"/>
  <c r="AV295" i="13"/>
  <c r="AI295" i="13" s="1"/>
  <c r="AE295" i="13"/>
  <c r="AF295" i="13" s="1"/>
  <c r="Z299" i="13"/>
  <c r="AA300" i="13"/>
  <c r="AB301" i="13"/>
  <c r="AV303" i="13"/>
  <c r="AI303" i="13" s="1"/>
  <c r="AE303" i="13"/>
  <c r="AF303" i="13" s="1"/>
  <c r="Z307" i="13"/>
  <c r="AA308" i="13"/>
  <c r="AB309" i="13"/>
  <c r="AV311" i="13"/>
  <c r="AI311" i="13" s="1"/>
  <c r="AE311" i="13"/>
  <c r="Z315" i="13"/>
  <c r="AF315" i="13" s="1"/>
  <c r="AA316" i="13"/>
  <c r="AB317" i="13"/>
  <c r="AF317" i="13" s="1"/>
  <c r="Z223" i="13"/>
  <c r="AF223" i="13" s="1"/>
  <c r="Z224" i="13"/>
  <c r="Z225" i="13"/>
  <c r="Z226" i="13"/>
  <c r="Z227" i="13"/>
  <c r="AF227" i="13" s="1"/>
  <c r="Z228" i="13"/>
  <c r="AF228" i="13" s="1"/>
  <c r="Z229" i="13"/>
  <c r="AF229" i="13" s="1"/>
  <c r="Z230" i="13"/>
  <c r="AF230" i="13" s="1"/>
  <c r="Z231" i="13"/>
  <c r="AF231" i="13" s="1"/>
  <c r="Z232" i="13"/>
  <c r="Z233" i="13"/>
  <c r="Z234" i="13"/>
  <c r="AF234" i="13" s="1"/>
  <c r="AA235" i="13"/>
  <c r="AB236" i="13"/>
  <c r="AC237" i="13"/>
  <c r="AF237" i="13" s="1"/>
  <c r="AV238" i="13"/>
  <c r="AI238" i="13" s="1"/>
  <c r="AE238" i="13"/>
  <c r="Z242" i="13"/>
  <c r="AA243" i="13"/>
  <c r="AB244" i="13"/>
  <c r="AC245" i="13"/>
  <c r="AF245" i="13" s="1"/>
  <c r="AV246" i="13"/>
  <c r="AI246" i="13" s="1"/>
  <c r="AE246" i="13"/>
  <c r="AF246" i="13" s="1"/>
  <c r="Z250" i="13"/>
  <c r="AF250" i="13" s="1"/>
  <c r="AA251" i="13"/>
  <c r="AB252" i="13"/>
  <c r="AC253" i="13"/>
  <c r="AV254" i="13"/>
  <c r="AI254" i="13" s="1"/>
  <c r="AE254" i="13"/>
  <c r="Z258" i="13"/>
  <c r="AF258" i="13" s="1"/>
  <c r="AA259" i="13"/>
  <c r="AB260" i="13"/>
  <c r="AC261" i="13"/>
  <c r="AV262" i="13"/>
  <c r="AI262" i="13" s="1"/>
  <c r="AE262" i="13"/>
  <c r="Z266" i="13"/>
  <c r="AF266" i="13" s="1"/>
  <c r="AA267" i="13"/>
  <c r="AB268" i="13"/>
  <c r="AC269" i="13"/>
  <c r="AV270" i="13"/>
  <c r="AI270" i="13" s="1"/>
  <c r="AE270" i="13"/>
  <c r="AF270" i="13" s="1"/>
  <c r="Z274" i="13"/>
  <c r="AA275" i="13"/>
  <c r="AB276" i="13"/>
  <c r="AC277" i="13"/>
  <c r="AV278" i="13"/>
  <c r="AI278" i="13" s="1"/>
  <c r="AE278" i="13"/>
  <c r="AF278" i="13" s="1"/>
  <c r="Z282" i="13"/>
  <c r="AF282" i="13" s="1"/>
  <c r="AA283" i="13"/>
  <c r="AB284" i="13"/>
  <c r="AC285" i="13"/>
  <c r="AV286" i="13"/>
  <c r="AI286" i="13" s="1"/>
  <c r="AE286" i="13"/>
  <c r="Z290" i="13"/>
  <c r="AF290" i="13" s="1"/>
  <c r="AA291" i="13"/>
  <c r="AB292" i="13"/>
  <c r="AC293" i="13"/>
  <c r="AV294" i="13"/>
  <c r="AI294" i="13" s="1"/>
  <c r="AE294" i="13"/>
  <c r="AF294" i="13" s="1"/>
  <c r="Z298" i="13"/>
  <c r="AF298" i="13" s="1"/>
  <c r="AA299" i="13"/>
  <c r="AB300" i="13"/>
  <c r="AC301" i="13"/>
  <c r="AF301" i="13" s="1"/>
  <c r="AV302" i="13"/>
  <c r="AI302" i="13" s="1"/>
  <c r="AE302" i="13"/>
  <c r="Z306" i="13"/>
  <c r="AA307" i="13"/>
  <c r="AB308" i="13"/>
  <c r="AC309" i="13"/>
  <c r="AV310" i="13"/>
  <c r="AI310" i="13" s="1"/>
  <c r="AE310" i="13"/>
  <c r="AF310" i="13" s="1"/>
  <c r="Z314" i="13"/>
  <c r="AF314" i="13" s="1"/>
  <c r="AA315" i="13"/>
  <c r="AB316" i="13"/>
  <c r="AC317" i="13"/>
  <c r="AE318" i="13"/>
  <c r="AF318" i="13" s="1"/>
  <c r="AQ3" i="13"/>
  <c r="AG3" i="13" s="1"/>
  <c r="AQ4" i="13"/>
  <c r="AG4" i="13" s="1"/>
  <c r="AQ5" i="13"/>
  <c r="AG5" i="13" s="1"/>
  <c r="Y5" i="13" s="1"/>
  <c r="J5" i="13" s="1"/>
  <c r="AQ6" i="13"/>
  <c r="AG6" i="13" s="1"/>
  <c r="AQ7" i="13"/>
  <c r="AG7" i="13" s="1"/>
  <c r="AQ8" i="13"/>
  <c r="AG8" i="13" s="1"/>
  <c r="AQ9" i="13"/>
  <c r="AG9" i="13" s="1"/>
  <c r="AQ10" i="13"/>
  <c r="AG10" i="13" s="1"/>
  <c r="Y10" i="13" s="1"/>
  <c r="J10" i="13" s="1"/>
  <c r="AQ11" i="13"/>
  <c r="AG11" i="13" s="1"/>
  <c r="Y11" i="13" s="1"/>
  <c r="J11" i="13" s="1"/>
  <c r="AQ12" i="13"/>
  <c r="AG12" i="13" s="1"/>
  <c r="Y12" i="13" s="1"/>
  <c r="J12" i="13" s="1"/>
  <c r="AQ13" i="13"/>
  <c r="AG13" i="13" s="1"/>
  <c r="AQ14" i="13"/>
  <c r="AG14" i="13" s="1"/>
  <c r="Y14" i="13" s="1"/>
  <c r="J14" i="13" s="1"/>
  <c r="AQ15" i="13"/>
  <c r="AG15" i="13" s="1"/>
  <c r="AQ16" i="13"/>
  <c r="AG16" i="13" s="1"/>
  <c r="AQ17" i="13"/>
  <c r="AG17" i="13" s="1"/>
  <c r="AQ18" i="13"/>
  <c r="AG18" i="13" s="1"/>
  <c r="Y18" i="13" s="1"/>
  <c r="J18" i="13" s="1"/>
  <c r="AQ19" i="13"/>
  <c r="AG19" i="13" s="1"/>
  <c r="AQ20" i="13"/>
  <c r="AG20" i="13" s="1"/>
  <c r="AQ21" i="13"/>
  <c r="AG21" i="13" s="1"/>
  <c r="Y21" i="13" s="1"/>
  <c r="J21" i="13" s="1"/>
  <c r="AQ22" i="13"/>
  <c r="AG22" i="13" s="1"/>
  <c r="AQ23" i="13"/>
  <c r="AG23" i="13" s="1"/>
  <c r="AQ24" i="13"/>
  <c r="AG24" i="13" s="1"/>
  <c r="AQ25" i="13"/>
  <c r="AG25" i="13" s="1"/>
  <c r="AQ26" i="13"/>
  <c r="AG26" i="13" s="1"/>
  <c r="Y26" i="13" s="1"/>
  <c r="J26" i="13" s="1"/>
  <c r="AQ27" i="13"/>
  <c r="AG27" i="13" s="1"/>
  <c r="AQ28" i="13"/>
  <c r="AG28" i="13" s="1"/>
  <c r="Y28" i="13" s="1"/>
  <c r="J28" i="13" s="1"/>
  <c r="AQ29" i="13"/>
  <c r="AG29" i="13" s="1"/>
  <c r="Y29" i="13" s="1"/>
  <c r="J29" i="13" s="1"/>
  <c r="AQ30" i="13"/>
  <c r="AG30" i="13" s="1"/>
  <c r="AQ31" i="13"/>
  <c r="AG31" i="13" s="1"/>
  <c r="AQ32" i="13"/>
  <c r="AG32" i="13" s="1"/>
  <c r="AQ33" i="13"/>
  <c r="AG33" i="13" s="1"/>
  <c r="AQ34" i="13"/>
  <c r="AG34" i="13" s="1"/>
  <c r="AQ35" i="13"/>
  <c r="AG35" i="13" s="1"/>
  <c r="Y35" i="13" s="1"/>
  <c r="J35" i="13" s="1"/>
  <c r="AQ36" i="13"/>
  <c r="AG36" i="13" s="1"/>
  <c r="AQ37" i="13"/>
  <c r="AG37" i="13" s="1"/>
  <c r="Y37" i="13" s="1"/>
  <c r="J37" i="13" s="1"/>
  <c r="AQ38" i="13"/>
  <c r="AG38" i="13" s="1"/>
  <c r="Y38" i="13" s="1"/>
  <c r="J38" i="13" s="1"/>
  <c r="AQ52" i="13"/>
  <c r="AG52" i="13" s="1"/>
  <c r="AQ53" i="13"/>
  <c r="AG53" i="13" s="1"/>
  <c r="AQ55" i="13"/>
  <c r="AG55" i="13" s="1"/>
  <c r="AQ56" i="13"/>
  <c r="AG56" i="13" s="1"/>
  <c r="Y56" i="13" s="1"/>
  <c r="J56" i="13" s="1"/>
  <c r="AQ57" i="13"/>
  <c r="AG57" i="13" s="1"/>
  <c r="AQ58" i="13"/>
  <c r="AG58" i="13" s="1"/>
  <c r="AQ59" i="13"/>
  <c r="AG59" i="13" s="1"/>
  <c r="Y59" i="13" s="1"/>
  <c r="J59" i="13" s="1"/>
  <c r="AQ60" i="13"/>
  <c r="AG60" i="13" s="1"/>
  <c r="Y60" i="13" s="1"/>
  <c r="J60" i="13" s="1"/>
  <c r="AQ61" i="13"/>
  <c r="AG61" i="13" s="1"/>
  <c r="Y61" i="13" s="1"/>
  <c r="J61" i="13" s="1"/>
  <c r="AQ62" i="13"/>
  <c r="AG62" i="13" s="1"/>
  <c r="Y62" i="13" s="1"/>
  <c r="J62" i="13" s="1"/>
  <c r="AQ63" i="13"/>
  <c r="AG63" i="13" s="1"/>
  <c r="AQ64" i="13"/>
  <c r="AG64" i="13" s="1"/>
  <c r="AQ65" i="13"/>
  <c r="AG65" i="13" s="1"/>
  <c r="AQ66" i="13"/>
  <c r="AG66" i="13" s="1"/>
  <c r="Y66" i="13" s="1"/>
  <c r="J66" i="13" s="1"/>
  <c r="AQ67" i="13"/>
  <c r="AG67" i="13" s="1"/>
  <c r="Y67" i="13" s="1"/>
  <c r="J67" i="13" s="1"/>
  <c r="AQ68" i="13"/>
  <c r="AG68" i="13" s="1"/>
  <c r="Y68" i="13" s="1"/>
  <c r="J68" i="13" s="1"/>
  <c r="AQ69" i="13"/>
  <c r="AG69" i="13" s="1"/>
  <c r="AQ70" i="13"/>
  <c r="AG70" i="13" s="1"/>
  <c r="Y70" i="13" s="1"/>
  <c r="J70" i="13" s="1"/>
  <c r="AQ71" i="13"/>
  <c r="AG71" i="13" s="1"/>
  <c r="AQ72" i="13"/>
  <c r="AG72" i="13" s="1"/>
  <c r="AQ73" i="13"/>
  <c r="AG73" i="13" s="1"/>
  <c r="AQ74" i="13"/>
  <c r="AG74" i="13" s="1"/>
  <c r="Y74" i="13" s="1"/>
  <c r="J74" i="13" s="1"/>
  <c r="AQ75" i="13"/>
  <c r="AG75" i="13" s="1"/>
  <c r="Y75" i="13" s="1"/>
  <c r="J75" i="13" s="1"/>
  <c r="AQ76" i="13"/>
  <c r="AG76" i="13" s="1"/>
  <c r="AQ77" i="13"/>
  <c r="AG77" i="13" s="1"/>
  <c r="AQ78" i="13"/>
  <c r="AG78" i="13" s="1"/>
  <c r="AQ79" i="13"/>
  <c r="AG79" i="13" s="1"/>
  <c r="AQ80" i="13"/>
  <c r="AG80" i="13" s="1"/>
  <c r="AQ81" i="13"/>
  <c r="AG81" i="13" s="1"/>
  <c r="AQ82" i="13"/>
  <c r="AG82" i="13" s="1"/>
  <c r="Y82" i="13" s="1"/>
  <c r="J82" i="13" s="1"/>
  <c r="AQ83" i="13"/>
  <c r="AG83" i="13" s="1"/>
  <c r="Y83" i="13" s="1"/>
  <c r="J83" i="13" s="1"/>
  <c r="AQ84" i="13"/>
  <c r="AG84" i="13" s="1"/>
  <c r="AQ85" i="13"/>
  <c r="AG85" i="13" s="1"/>
  <c r="AQ86" i="13"/>
  <c r="AG86" i="13" s="1"/>
  <c r="AQ87" i="13"/>
  <c r="AG87" i="13" s="1"/>
  <c r="AQ88" i="13"/>
  <c r="AG88" i="13" s="1"/>
  <c r="AQ89" i="13"/>
  <c r="AG89" i="13" s="1"/>
  <c r="AQ90" i="13"/>
  <c r="AG90" i="13" s="1"/>
  <c r="Y90" i="13" s="1"/>
  <c r="J90" i="13" s="1"/>
  <c r="AQ91" i="13"/>
  <c r="AG91" i="13" s="1"/>
  <c r="Y91" i="13" s="1"/>
  <c r="J91" i="13" s="1"/>
  <c r="AQ92" i="13"/>
  <c r="AG92" i="13" s="1"/>
  <c r="Y92" i="13" s="1"/>
  <c r="J92" i="13" s="1"/>
  <c r="AQ93" i="13"/>
  <c r="AG93" i="13" s="1"/>
  <c r="AQ94" i="13"/>
  <c r="AG94" i="13" s="1"/>
  <c r="AQ95" i="13"/>
  <c r="AG95" i="13" s="1"/>
  <c r="AQ96" i="13"/>
  <c r="AG96" i="13" s="1"/>
  <c r="Y96" i="13" s="1"/>
  <c r="J96" i="13" s="1"/>
  <c r="AQ97" i="13"/>
  <c r="AG97" i="13" s="1"/>
  <c r="AQ98" i="13"/>
  <c r="AG98" i="13" s="1"/>
  <c r="AQ99" i="13"/>
  <c r="AG99" i="13" s="1"/>
  <c r="Y99" i="13" s="1"/>
  <c r="J99" i="13" s="1"/>
  <c r="AQ101" i="13"/>
  <c r="AG101" i="13" s="1"/>
  <c r="Y101" i="13" s="1"/>
  <c r="J101" i="13" s="1"/>
  <c r="AQ102" i="13"/>
  <c r="AG102" i="13" s="1"/>
  <c r="AQ103" i="13"/>
  <c r="AG103" i="13" s="1"/>
  <c r="AQ104" i="13"/>
  <c r="AG104" i="13" s="1"/>
  <c r="AQ105" i="13"/>
  <c r="AG105" i="13" s="1"/>
  <c r="AQ106" i="13"/>
  <c r="AG106" i="13" s="1"/>
  <c r="AQ107" i="13"/>
  <c r="AG107" i="13" s="1"/>
  <c r="AQ108" i="13"/>
  <c r="AG108" i="13" s="1"/>
  <c r="Y108" i="13" s="1"/>
  <c r="J108" i="13" s="1"/>
  <c r="AQ109" i="13"/>
  <c r="AG109" i="13" s="1"/>
  <c r="Y109" i="13" s="1"/>
  <c r="J109" i="13" s="1"/>
  <c r="AQ110" i="13"/>
  <c r="AG110" i="13" s="1"/>
  <c r="AQ111" i="13"/>
  <c r="AG111" i="13" s="1"/>
  <c r="AQ112" i="13"/>
  <c r="AG112" i="13" s="1"/>
  <c r="AQ113" i="13"/>
  <c r="AG113" i="13" s="1"/>
  <c r="AQ114" i="13"/>
  <c r="AG114" i="13" s="1"/>
  <c r="AQ115" i="13"/>
  <c r="AG115" i="13" s="1"/>
  <c r="AQ116" i="13"/>
  <c r="AG116" i="13" s="1"/>
  <c r="AQ117" i="13"/>
  <c r="AG117" i="13" s="1"/>
  <c r="Y117" i="13" s="1"/>
  <c r="J117" i="13" s="1"/>
  <c r="AQ118" i="13"/>
  <c r="AG118" i="13" s="1"/>
  <c r="AQ119" i="13"/>
  <c r="AG119" i="13" s="1"/>
  <c r="Y119" i="13" s="1"/>
  <c r="J119" i="13" s="1"/>
  <c r="AQ120" i="13"/>
  <c r="AG120" i="13" s="1"/>
  <c r="Y120" i="13" s="1"/>
  <c r="J120" i="13" s="1"/>
  <c r="AQ121" i="13"/>
  <c r="AG121" i="13" s="1"/>
  <c r="AQ122" i="13"/>
  <c r="AG122" i="13" s="1"/>
  <c r="AQ123" i="13"/>
  <c r="AG123" i="13" s="1"/>
  <c r="AQ124" i="13"/>
  <c r="AG124" i="13" s="1"/>
  <c r="Y124" i="13" s="1"/>
  <c r="J124" i="13" s="1"/>
  <c r="AQ125" i="13"/>
  <c r="AG125" i="13" s="1"/>
  <c r="Y125" i="13" s="1"/>
  <c r="J125" i="13" s="1"/>
  <c r="AQ126" i="13"/>
  <c r="AG126" i="13" s="1"/>
  <c r="AQ127" i="13"/>
  <c r="AG127" i="13" s="1"/>
  <c r="AQ128" i="13"/>
  <c r="AG128" i="13" s="1"/>
  <c r="AQ129" i="13"/>
  <c r="AG129" i="13" s="1"/>
  <c r="AQ130" i="13"/>
  <c r="AG130" i="13" s="1"/>
  <c r="AQ131" i="13"/>
  <c r="AG131" i="13" s="1"/>
  <c r="AQ132" i="13"/>
  <c r="AG132" i="13" s="1"/>
  <c r="Y132" i="13" s="1"/>
  <c r="J132" i="13" s="1"/>
  <c r="AQ133" i="13"/>
  <c r="AG133" i="13" s="1"/>
  <c r="Y133" i="13" s="1"/>
  <c r="J133" i="13" s="1"/>
  <c r="AQ134" i="13"/>
  <c r="AG134" i="13" s="1"/>
  <c r="Y134" i="13" s="1"/>
  <c r="J134" i="13" s="1"/>
  <c r="AQ135" i="13"/>
  <c r="AG135" i="13" s="1"/>
  <c r="AQ136" i="13"/>
  <c r="AG136" i="13" s="1"/>
  <c r="AQ137" i="13"/>
  <c r="AG137" i="13" s="1"/>
  <c r="AQ138" i="13"/>
  <c r="AG138" i="13" s="1"/>
  <c r="AQ139" i="13"/>
  <c r="AG139" i="13" s="1"/>
  <c r="AQ140" i="13"/>
  <c r="AG140" i="13" s="1"/>
  <c r="Y140" i="13" s="1"/>
  <c r="J140" i="13" s="1"/>
  <c r="AQ141" i="13"/>
  <c r="AG141" i="13" s="1"/>
  <c r="Y141" i="13" s="1"/>
  <c r="J141" i="13" s="1"/>
  <c r="AQ142" i="13"/>
  <c r="AG142" i="13" s="1"/>
  <c r="AQ143" i="13"/>
  <c r="AG143" i="13" s="1"/>
  <c r="AQ144" i="13"/>
  <c r="AG144" i="13" s="1"/>
  <c r="AQ145" i="13"/>
  <c r="AG145" i="13" s="1"/>
  <c r="Y145" i="13" s="1"/>
  <c r="J145" i="13" s="1"/>
  <c r="AQ146" i="13"/>
  <c r="AG146" i="13" s="1"/>
  <c r="AQ147" i="13"/>
  <c r="AG147" i="13" s="1"/>
  <c r="AQ148" i="13"/>
  <c r="AG148" i="13" s="1"/>
  <c r="AQ149" i="13"/>
  <c r="AG149" i="13" s="1"/>
  <c r="Y149" i="13" s="1"/>
  <c r="J149" i="13" s="1"/>
  <c r="AQ150" i="13"/>
  <c r="AG150" i="13" s="1"/>
  <c r="AQ151" i="13"/>
  <c r="AG151" i="13" s="1"/>
  <c r="AQ152" i="13"/>
  <c r="AG152" i="13" s="1"/>
  <c r="AQ153" i="13"/>
  <c r="AG153" i="13" s="1"/>
  <c r="AQ154" i="13"/>
  <c r="AG154" i="13" s="1"/>
  <c r="AQ155" i="13"/>
  <c r="AG155" i="13" s="1"/>
  <c r="AQ156" i="13"/>
  <c r="AG156" i="13" s="1"/>
  <c r="AQ157" i="13"/>
  <c r="AG157" i="13" s="1"/>
  <c r="AQ158" i="13"/>
  <c r="AG158" i="13" s="1"/>
  <c r="AQ159" i="13"/>
  <c r="AG159" i="13" s="1"/>
  <c r="AQ160" i="13"/>
  <c r="AG160" i="13" s="1"/>
  <c r="AQ161" i="13"/>
  <c r="AG161" i="13" s="1"/>
  <c r="AQ162" i="13"/>
  <c r="AG162" i="13" s="1"/>
  <c r="AQ163" i="13"/>
  <c r="AG163" i="13" s="1"/>
  <c r="AQ164" i="13"/>
  <c r="AG164" i="13" s="1"/>
  <c r="AQ165" i="13"/>
  <c r="AG165" i="13" s="1"/>
  <c r="AQ166" i="13"/>
  <c r="AG166" i="13" s="1"/>
  <c r="AQ167" i="13"/>
  <c r="AG167" i="13" s="1"/>
  <c r="AQ168" i="13"/>
  <c r="AG168" i="13" s="1"/>
  <c r="AQ169" i="13"/>
  <c r="AG169" i="13" s="1"/>
  <c r="AQ170" i="13"/>
  <c r="AG170" i="13" s="1"/>
  <c r="AQ171" i="13"/>
  <c r="AG171" i="13" s="1"/>
  <c r="AQ172" i="13"/>
  <c r="AG172" i="13" s="1"/>
  <c r="Y172" i="13" s="1"/>
  <c r="J172" i="13" s="1"/>
  <c r="AQ173" i="13"/>
  <c r="AG173" i="13" s="1"/>
  <c r="AQ174" i="13"/>
  <c r="AG174" i="13" s="1"/>
  <c r="AQ175" i="13"/>
  <c r="AG175" i="13" s="1"/>
  <c r="AQ176" i="13"/>
  <c r="AG176" i="13" s="1"/>
  <c r="AQ177" i="13"/>
  <c r="AG177" i="13" s="1"/>
  <c r="AQ178" i="13"/>
  <c r="AG178" i="13" s="1"/>
  <c r="AQ179" i="13"/>
  <c r="AG179" i="13" s="1"/>
  <c r="Y179" i="13" s="1"/>
  <c r="J179" i="13" s="1"/>
  <c r="AQ180" i="13"/>
  <c r="AG180" i="13" s="1"/>
  <c r="AQ181" i="13"/>
  <c r="AG181" i="13" s="1"/>
  <c r="AQ182" i="13"/>
  <c r="AG182" i="13" s="1"/>
  <c r="AQ183" i="13"/>
  <c r="AG183" i="13" s="1"/>
  <c r="AQ184" i="13"/>
  <c r="AG184" i="13" s="1"/>
  <c r="AQ185" i="13"/>
  <c r="AG185" i="13" s="1"/>
  <c r="AQ186" i="13"/>
  <c r="AG186" i="13" s="1"/>
  <c r="AQ187" i="13"/>
  <c r="AG187" i="13" s="1"/>
  <c r="Y187" i="13" s="1"/>
  <c r="J187" i="13" s="1"/>
  <c r="AQ188" i="13"/>
  <c r="AG188" i="13" s="1"/>
  <c r="AQ189" i="13"/>
  <c r="AG189" i="13" s="1"/>
  <c r="AQ192" i="13"/>
  <c r="AG192" i="13" s="1"/>
  <c r="AQ193" i="13"/>
  <c r="AG193" i="13" s="1"/>
  <c r="AQ194" i="13"/>
  <c r="AG194" i="13" s="1"/>
  <c r="Y194" i="13" s="1"/>
  <c r="J194" i="13" s="1"/>
  <c r="AQ195" i="13"/>
  <c r="AG195" i="13" s="1"/>
  <c r="Y195" i="13" s="1"/>
  <c r="J195" i="13" s="1"/>
  <c r="AQ196" i="13"/>
  <c r="AQ197" i="13"/>
  <c r="AG197" i="13" s="1"/>
  <c r="AQ198" i="13"/>
  <c r="AG198" i="13" s="1"/>
  <c r="Y198" i="13" s="1"/>
  <c r="J198" i="13" s="1"/>
  <c r="AQ199" i="13"/>
  <c r="AG199" i="13" s="1"/>
  <c r="Y199" i="13" s="1"/>
  <c r="J199" i="13" s="1"/>
  <c r="AQ200" i="13"/>
  <c r="AG200" i="13" s="1"/>
  <c r="AQ201" i="13"/>
  <c r="AQ202" i="13"/>
  <c r="AG202" i="13" s="1"/>
  <c r="AQ203" i="13"/>
  <c r="AG203" i="13" s="1"/>
  <c r="AQ205" i="13"/>
  <c r="AG205" i="13" s="1"/>
  <c r="AQ206" i="13"/>
  <c r="AG206" i="13" s="1"/>
  <c r="AQ207" i="13"/>
  <c r="AG207" i="13" s="1"/>
  <c r="AQ208" i="13"/>
  <c r="AG208" i="13" s="1"/>
  <c r="AQ209" i="13"/>
  <c r="AG209" i="13" s="1"/>
  <c r="AQ210" i="13"/>
  <c r="AG210" i="13" s="1"/>
  <c r="AQ211" i="13"/>
  <c r="AG211" i="13" s="1"/>
  <c r="Y211" i="13" s="1"/>
  <c r="J211" i="13" s="1"/>
  <c r="AQ212" i="13"/>
  <c r="AG212" i="13" s="1"/>
  <c r="Y212" i="13" s="1"/>
  <c r="J212" i="13" s="1"/>
  <c r="AQ213" i="13"/>
  <c r="AG213" i="13" s="1"/>
  <c r="AQ214" i="13"/>
  <c r="AG214" i="13" s="1"/>
  <c r="AQ215" i="13"/>
  <c r="AG215" i="13" s="1"/>
  <c r="AQ216" i="13"/>
  <c r="AG216" i="13" s="1"/>
  <c r="AQ217" i="13"/>
  <c r="AG217" i="13" s="1"/>
  <c r="AQ218" i="13"/>
  <c r="AG218" i="13" s="1"/>
  <c r="AQ219" i="13"/>
  <c r="AG219" i="13" s="1"/>
  <c r="AQ220" i="13"/>
  <c r="AG220" i="13" s="1"/>
  <c r="AQ221" i="13"/>
  <c r="AG221" i="13" s="1"/>
  <c r="AQ222" i="13"/>
  <c r="AG222" i="13" s="1"/>
  <c r="AQ223" i="13"/>
  <c r="AG223" i="13" s="1"/>
  <c r="Y223" i="13" s="1"/>
  <c r="J223" i="13" s="1"/>
  <c r="AQ224" i="13"/>
  <c r="AG224" i="13" s="1"/>
  <c r="AQ225" i="13"/>
  <c r="AG225" i="13" s="1"/>
  <c r="AQ226" i="13"/>
  <c r="AG226" i="13" s="1"/>
  <c r="AQ227" i="13"/>
  <c r="AG227" i="13" s="1"/>
  <c r="Y227" i="13" s="1"/>
  <c r="J227" i="13" s="1"/>
  <c r="AQ228" i="13"/>
  <c r="AG228" i="13" s="1"/>
  <c r="AQ229" i="13"/>
  <c r="AG229" i="13" s="1"/>
  <c r="AQ230" i="13"/>
  <c r="AG230" i="13" s="1"/>
  <c r="AQ231" i="13"/>
  <c r="AG231" i="13" s="1"/>
  <c r="Y231" i="13" s="1"/>
  <c r="J231" i="13" s="1"/>
  <c r="AQ232" i="13"/>
  <c r="AG232" i="13" s="1"/>
  <c r="AQ233" i="13"/>
  <c r="AG233" i="13" s="1"/>
  <c r="AQ234" i="13"/>
  <c r="AG234" i="13" s="1"/>
  <c r="AQ235" i="13"/>
  <c r="AG235" i="13" s="1"/>
  <c r="AQ236" i="13"/>
  <c r="AG236" i="13" s="1"/>
  <c r="AQ237" i="13"/>
  <c r="AG237" i="13" s="1"/>
  <c r="AQ238" i="13"/>
  <c r="AG238" i="13" s="1"/>
  <c r="Y238" i="13" s="1"/>
  <c r="J238" i="13" s="1"/>
  <c r="AQ239" i="13"/>
  <c r="AG239" i="13" s="1"/>
  <c r="Y239" i="13" s="1"/>
  <c r="J239" i="13" s="1"/>
  <c r="AQ240" i="13"/>
  <c r="AG240" i="13" s="1"/>
  <c r="Y240" i="13" s="1"/>
  <c r="J240" i="13" s="1"/>
  <c r="AQ241" i="13"/>
  <c r="AG241" i="13" s="1"/>
  <c r="AQ242" i="13"/>
  <c r="AG242" i="13" s="1"/>
  <c r="AQ243" i="13"/>
  <c r="AG243" i="13" s="1"/>
  <c r="AQ244" i="13"/>
  <c r="AG244" i="13" s="1"/>
  <c r="AQ245" i="13"/>
  <c r="AG245" i="13" s="1"/>
  <c r="AQ246" i="13"/>
  <c r="AG246" i="13" s="1"/>
  <c r="AQ247" i="13"/>
  <c r="AG247" i="13" s="1"/>
  <c r="Y247" i="13" s="1"/>
  <c r="J247" i="13" s="1"/>
  <c r="AQ248" i="13"/>
  <c r="AG248" i="13" s="1"/>
  <c r="Y248" i="13" s="1"/>
  <c r="J248" i="13" s="1"/>
  <c r="AQ249" i="13"/>
  <c r="AG249" i="13" s="1"/>
  <c r="AQ250" i="13"/>
  <c r="AG250" i="13" s="1"/>
  <c r="AQ251" i="13"/>
  <c r="AG251" i="13" s="1"/>
  <c r="AQ252" i="13"/>
  <c r="AG252" i="13" s="1"/>
  <c r="AQ253" i="13"/>
  <c r="AG253" i="13" s="1"/>
  <c r="AQ254" i="13"/>
  <c r="AG254" i="13" s="1"/>
  <c r="Y254" i="13" s="1"/>
  <c r="J254" i="13" s="1"/>
  <c r="AQ255" i="13"/>
  <c r="AG255" i="13" s="1"/>
  <c r="Y255" i="13" s="1"/>
  <c r="J255" i="13" s="1"/>
  <c r="AQ256" i="13"/>
  <c r="AG256" i="13" s="1"/>
  <c r="AQ257" i="13"/>
  <c r="AG257" i="13" s="1"/>
  <c r="AQ258" i="13"/>
  <c r="AG258" i="13" s="1"/>
  <c r="AQ259" i="13"/>
  <c r="AG259" i="13" s="1"/>
  <c r="AQ260" i="13"/>
  <c r="AG260" i="13" s="1"/>
  <c r="AQ261" i="13"/>
  <c r="AG261" i="13" s="1"/>
  <c r="AQ262" i="13"/>
  <c r="AG262" i="13" s="1"/>
  <c r="AQ263" i="13"/>
  <c r="AG263" i="13" s="1"/>
  <c r="Y263" i="13" s="1"/>
  <c r="J263" i="13" s="1"/>
  <c r="AQ264" i="13"/>
  <c r="AG264" i="13" s="1"/>
  <c r="Y264" i="13" s="1"/>
  <c r="J264" i="13" s="1"/>
  <c r="AQ265" i="13"/>
  <c r="AG265" i="13" s="1"/>
  <c r="AQ266" i="13"/>
  <c r="AG266" i="13" s="1"/>
  <c r="AQ267" i="13"/>
  <c r="AG267" i="13" s="1"/>
  <c r="AQ268" i="13"/>
  <c r="AG268" i="13" s="1"/>
  <c r="AQ269" i="13"/>
  <c r="AG269" i="13" s="1"/>
  <c r="AQ270" i="13"/>
  <c r="AG270" i="13" s="1"/>
  <c r="Y270" i="13" s="1"/>
  <c r="J270" i="13" s="1"/>
  <c r="AQ271" i="13"/>
  <c r="AG271" i="13" s="1"/>
  <c r="Y271" i="13" s="1"/>
  <c r="J271" i="13" s="1"/>
  <c r="AQ272" i="13"/>
  <c r="AG272" i="13" s="1"/>
  <c r="AQ273" i="13"/>
  <c r="AG273" i="13" s="1"/>
  <c r="AQ274" i="13"/>
  <c r="AG274" i="13" s="1"/>
  <c r="AQ275" i="13"/>
  <c r="AG275" i="13" s="1"/>
  <c r="AQ276" i="13"/>
  <c r="AG276" i="13" s="1"/>
  <c r="AQ277" i="13"/>
  <c r="AG277" i="13" s="1"/>
  <c r="AQ278" i="13"/>
  <c r="AG278" i="13" s="1"/>
  <c r="AQ279" i="13"/>
  <c r="AG279" i="13" s="1"/>
  <c r="Y279" i="13" s="1"/>
  <c r="J279" i="13" s="1"/>
  <c r="AQ280" i="13"/>
  <c r="AG280" i="13" s="1"/>
  <c r="Y280" i="13" s="1"/>
  <c r="J280" i="13" s="1"/>
  <c r="AQ281" i="13"/>
  <c r="AG281" i="13" s="1"/>
  <c r="AQ282" i="13"/>
  <c r="AG282" i="13" s="1"/>
  <c r="AQ283" i="13"/>
  <c r="AG283" i="13" s="1"/>
  <c r="AQ284" i="13"/>
  <c r="AG284" i="13" s="1"/>
  <c r="AQ285" i="13"/>
  <c r="AG285" i="13" s="1"/>
  <c r="AQ286" i="13"/>
  <c r="AG286" i="13" s="1"/>
  <c r="AQ287" i="13"/>
  <c r="AG287" i="13" s="1"/>
  <c r="Y287" i="13" s="1"/>
  <c r="J287" i="13" s="1"/>
  <c r="AQ288" i="13"/>
  <c r="AG288" i="13" s="1"/>
  <c r="AQ289" i="13"/>
  <c r="AG289" i="13" s="1"/>
  <c r="AQ290" i="13"/>
  <c r="AG290" i="13" s="1"/>
  <c r="AQ291" i="13"/>
  <c r="AG291" i="13" s="1"/>
  <c r="AQ292" i="13"/>
  <c r="AG292" i="13" s="1"/>
  <c r="AQ293" i="13"/>
  <c r="AG293" i="13" s="1"/>
  <c r="AQ294" i="13"/>
  <c r="AG294" i="13" s="1"/>
  <c r="AQ295" i="13"/>
  <c r="AG295" i="13" s="1"/>
  <c r="Y295" i="13" s="1"/>
  <c r="J295" i="13" s="1"/>
  <c r="AQ296" i="13"/>
  <c r="AG296" i="13" s="1"/>
  <c r="Y296" i="13" s="1"/>
  <c r="J296" i="13" s="1"/>
  <c r="AQ297" i="13"/>
  <c r="AG297" i="13" s="1"/>
  <c r="AQ298" i="13"/>
  <c r="AG298" i="13" s="1"/>
  <c r="AQ299" i="13"/>
  <c r="AG299" i="13" s="1"/>
  <c r="AQ300" i="13"/>
  <c r="AG300" i="13" s="1"/>
  <c r="AQ301" i="13"/>
  <c r="AG301" i="13" s="1"/>
  <c r="AQ302" i="13"/>
  <c r="AG302" i="13" s="1"/>
  <c r="Y302" i="13" s="1"/>
  <c r="J302" i="13" s="1"/>
  <c r="AQ303" i="13"/>
  <c r="AG303" i="13" s="1"/>
  <c r="Y303" i="13" s="1"/>
  <c r="J303" i="13" s="1"/>
  <c r="AQ304" i="13"/>
  <c r="AG304" i="13" s="1"/>
  <c r="AQ305" i="13"/>
  <c r="AG305" i="13" s="1"/>
  <c r="AQ306" i="13"/>
  <c r="AG306" i="13" s="1"/>
  <c r="AQ307" i="13"/>
  <c r="AG307" i="13" s="1"/>
  <c r="AQ308" i="13"/>
  <c r="AG308" i="13" s="1"/>
  <c r="AQ309" i="13"/>
  <c r="AG309" i="13" s="1"/>
  <c r="AQ310" i="13"/>
  <c r="AG310" i="13" s="1"/>
  <c r="AQ311" i="13"/>
  <c r="AG311" i="13" s="1"/>
  <c r="Y311" i="13" s="1"/>
  <c r="J311" i="13" s="1"/>
  <c r="AQ312" i="13"/>
  <c r="AG312" i="13" s="1"/>
  <c r="Y312" i="13" s="1"/>
  <c r="J312" i="13" s="1"/>
  <c r="AQ313" i="13"/>
  <c r="AG313" i="13" s="1"/>
  <c r="AQ314" i="13"/>
  <c r="AG314" i="13" s="1"/>
  <c r="AQ315" i="13"/>
  <c r="AG315" i="13" s="1"/>
  <c r="AQ316" i="13"/>
  <c r="AG316" i="13" s="1"/>
  <c r="AQ317" i="13"/>
  <c r="AG317" i="13" s="1"/>
  <c r="AQ318" i="13"/>
  <c r="AG318" i="13" s="1"/>
  <c r="AB40" i="1"/>
  <c r="Z37" i="7" s="1"/>
  <c r="Z40" i="1"/>
  <c r="X37" i="7" s="1"/>
  <c r="AA40" i="1"/>
  <c r="AC40" i="1"/>
  <c r="AE40" i="1"/>
  <c r="AH194" i="1"/>
  <c r="K189" i="1"/>
  <c r="AU27" i="1"/>
  <c r="AU28" i="1"/>
  <c r="AT27" i="1"/>
  <c r="AT28" i="1"/>
  <c r="AS27" i="1"/>
  <c r="AS28" i="1"/>
  <c r="AR27" i="1"/>
  <c r="AR28" i="1"/>
  <c r="AP27" i="1"/>
  <c r="AJ27" i="1"/>
  <c r="AI27" i="1"/>
  <c r="AH27" i="1"/>
  <c r="AC27" i="1" s="1"/>
  <c r="AP28" i="1"/>
  <c r="AJ28" i="1"/>
  <c r="AI28" i="1"/>
  <c r="AH28" i="1"/>
  <c r="AC28" i="1" s="1"/>
  <c r="K28" i="1"/>
  <c r="C3" i="7"/>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J2" i="7"/>
  <c r="K2" i="7"/>
  <c r="L2" i="7"/>
  <c r="M2" i="7"/>
  <c r="N2" i="7"/>
  <c r="O2" i="7"/>
  <c r="P2" i="7"/>
  <c r="Q2" i="7"/>
  <c r="R2" i="7"/>
  <c r="S2" i="7"/>
  <c r="T2" i="7"/>
  <c r="U2" i="7"/>
  <c r="V2" i="7"/>
  <c r="AH2" i="7"/>
  <c r="AI2" i="7"/>
  <c r="AJ2" i="7"/>
  <c r="AK2" i="7"/>
  <c r="AL2" i="7"/>
  <c r="J3" i="7"/>
  <c r="K3" i="7"/>
  <c r="L3" i="7"/>
  <c r="M3" i="7"/>
  <c r="N3" i="7"/>
  <c r="O3" i="7"/>
  <c r="P3" i="7"/>
  <c r="Q3" i="7"/>
  <c r="R3" i="7"/>
  <c r="S3" i="7"/>
  <c r="T3" i="7"/>
  <c r="U3" i="7"/>
  <c r="V3" i="7"/>
  <c r="AH3" i="7"/>
  <c r="AI3" i="7"/>
  <c r="AJ3" i="7"/>
  <c r="AK3" i="7"/>
  <c r="AL3" i="7"/>
  <c r="J4" i="7"/>
  <c r="K4" i="7"/>
  <c r="L4" i="7"/>
  <c r="M4" i="7"/>
  <c r="N4" i="7"/>
  <c r="O4" i="7"/>
  <c r="P4" i="7"/>
  <c r="Q4" i="7"/>
  <c r="R4" i="7"/>
  <c r="S4" i="7"/>
  <c r="T4" i="7"/>
  <c r="U4" i="7"/>
  <c r="V4" i="7"/>
  <c r="AH4" i="7"/>
  <c r="AI4" i="7"/>
  <c r="AJ4" i="7"/>
  <c r="AK4" i="7"/>
  <c r="AL4" i="7"/>
  <c r="J5" i="7"/>
  <c r="K5" i="7"/>
  <c r="L5" i="7"/>
  <c r="M5" i="7"/>
  <c r="N5" i="7"/>
  <c r="O5" i="7"/>
  <c r="P5" i="7"/>
  <c r="Q5" i="7"/>
  <c r="R5" i="7"/>
  <c r="S5" i="7"/>
  <c r="T5" i="7"/>
  <c r="U5" i="7"/>
  <c r="V5" i="7"/>
  <c r="AH5" i="7"/>
  <c r="AI5" i="7"/>
  <c r="AJ5" i="7"/>
  <c r="AK5" i="7"/>
  <c r="AL5" i="7"/>
  <c r="J6" i="7"/>
  <c r="K6" i="7"/>
  <c r="L6" i="7"/>
  <c r="M6" i="7"/>
  <c r="N6" i="7"/>
  <c r="O6" i="7"/>
  <c r="P6" i="7"/>
  <c r="Q6" i="7"/>
  <c r="R6" i="7"/>
  <c r="S6" i="7"/>
  <c r="T6" i="7"/>
  <c r="U6" i="7"/>
  <c r="V6" i="7"/>
  <c r="AH6" i="7"/>
  <c r="AI6" i="7"/>
  <c r="AJ6" i="7"/>
  <c r="AK6" i="7"/>
  <c r="AL6" i="7"/>
  <c r="J7" i="7"/>
  <c r="K7" i="7"/>
  <c r="L7" i="7"/>
  <c r="M7" i="7"/>
  <c r="N7" i="7"/>
  <c r="O7" i="7"/>
  <c r="P7" i="7"/>
  <c r="Q7" i="7"/>
  <c r="R7" i="7"/>
  <c r="S7" i="7"/>
  <c r="T7" i="7"/>
  <c r="U7" i="7"/>
  <c r="V7" i="7"/>
  <c r="AH7" i="7"/>
  <c r="AI7" i="7"/>
  <c r="AJ7" i="7"/>
  <c r="AK7" i="7"/>
  <c r="AL7" i="7"/>
  <c r="J8" i="7"/>
  <c r="K8" i="7"/>
  <c r="L8" i="7"/>
  <c r="M8" i="7"/>
  <c r="N8" i="7"/>
  <c r="O8" i="7"/>
  <c r="P8" i="7"/>
  <c r="Q8" i="7"/>
  <c r="R8" i="7"/>
  <c r="S8" i="7"/>
  <c r="T8" i="7"/>
  <c r="U8" i="7"/>
  <c r="V8" i="7"/>
  <c r="AH8" i="7"/>
  <c r="AI8" i="7"/>
  <c r="AJ8" i="7"/>
  <c r="AK8" i="7"/>
  <c r="AL8" i="7"/>
  <c r="J9" i="7"/>
  <c r="K9" i="7"/>
  <c r="L9" i="7"/>
  <c r="M9" i="7"/>
  <c r="N9" i="7"/>
  <c r="O9" i="7"/>
  <c r="P9" i="7"/>
  <c r="Q9" i="7"/>
  <c r="R9" i="7"/>
  <c r="S9" i="7"/>
  <c r="T9" i="7"/>
  <c r="U9" i="7"/>
  <c r="V9" i="7"/>
  <c r="AH9" i="7"/>
  <c r="AI9" i="7"/>
  <c r="AJ9" i="7"/>
  <c r="AK9" i="7"/>
  <c r="AL9" i="7"/>
  <c r="J10" i="7"/>
  <c r="K10" i="7"/>
  <c r="L10" i="7"/>
  <c r="M10" i="7"/>
  <c r="N10" i="7"/>
  <c r="O10" i="7"/>
  <c r="P10" i="7"/>
  <c r="Q10" i="7"/>
  <c r="R10" i="7"/>
  <c r="S10" i="7"/>
  <c r="T10" i="7"/>
  <c r="U10" i="7"/>
  <c r="V10" i="7"/>
  <c r="AH10" i="7"/>
  <c r="AI10" i="7"/>
  <c r="AJ10" i="7"/>
  <c r="AK10" i="7"/>
  <c r="AL10" i="7"/>
  <c r="J11" i="7"/>
  <c r="K11" i="7"/>
  <c r="L11" i="7"/>
  <c r="M11" i="7"/>
  <c r="N11" i="7"/>
  <c r="O11" i="7"/>
  <c r="P11" i="7"/>
  <c r="Q11" i="7"/>
  <c r="R11" i="7"/>
  <c r="S11" i="7"/>
  <c r="T11" i="7"/>
  <c r="U11" i="7"/>
  <c r="V11" i="7"/>
  <c r="AH11" i="7"/>
  <c r="AI11" i="7"/>
  <c r="AJ11" i="7"/>
  <c r="AK11" i="7"/>
  <c r="AL11" i="7"/>
  <c r="J12" i="7"/>
  <c r="K12" i="7"/>
  <c r="L12" i="7"/>
  <c r="M12" i="7"/>
  <c r="N12" i="7"/>
  <c r="O12" i="7"/>
  <c r="P12" i="7"/>
  <c r="Q12" i="7"/>
  <c r="R12" i="7"/>
  <c r="S12" i="7"/>
  <c r="T12" i="7"/>
  <c r="U12" i="7"/>
  <c r="V12" i="7"/>
  <c r="AH12" i="7"/>
  <c r="AI12" i="7"/>
  <c r="AJ12" i="7"/>
  <c r="AK12" i="7"/>
  <c r="AL12" i="7"/>
  <c r="J13" i="7"/>
  <c r="K13" i="7"/>
  <c r="L13" i="7"/>
  <c r="M13" i="7"/>
  <c r="N13" i="7"/>
  <c r="O13" i="7"/>
  <c r="P13" i="7"/>
  <c r="Q13" i="7"/>
  <c r="R13" i="7"/>
  <c r="S13" i="7"/>
  <c r="T13" i="7"/>
  <c r="U13" i="7"/>
  <c r="V13" i="7"/>
  <c r="AH13" i="7"/>
  <c r="AI13" i="7"/>
  <c r="AJ13" i="7"/>
  <c r="AK13" i="7"/>
  <c r="AL13" i="7"/>
  <c r="J14" i="7"/>
  <c r="K14" i="7"/>
  <c r="L14" i="7"/>
  <c r="M14" i="7"/>
  <c r="N14" i="7"/>
  <c r="O14" i="7"/>
  <c r="P14" i="7"/>
  <c r="Q14" i="7"/>
  <c r="R14" i="7"/>
  <c r="S14" i="7"/>
  <c r="T14" i="7"/>
  <c r="U14" i="7"/>
  <c r="V14" i="7"/>
  <c r="AH14" i="7"/>
  <c r="AI14" i="7"/>
  <c r="AJ14" i="7"/>
  <c r="AK14" i="7"/>
  <c r="AL14" i="7"/>
  <c r="J15" i="7"/>
  <c r="K15" i="7"/>
  <c r="L15" i="7"/>
  <c r="M15" i="7"/>
  <c r="N15" i="7"/>
  <c r="O15" i="7"/>
  <c r="P15" i="7"/>
  <c r="Q15" i="7"/>
  <c r="R15" i="7"/>
  <c r="S15" i="7"/>
  <c r="T15" i="7"/>
  <c r="U15" i="7"/>
  <c r="V15" i="7"/>
  <c r="AH15" i="7"/>
  <c r="AI15" i="7"/>
  <c r="AJ15" i="7"/>
  <c r="AK15" i="7"/>
  <c r="AL15" i="7"/>
  <c r="J16" i="7"/>
  <c r="K16" i="7"/>
  <c r="L16" i="7"/>
  <c r="M16" i="7"/>
  <c r="N16" i="7"/>
  <c r="O16" i="7"/>
  <c r="P16" i="7"/>
  <c r="Q16" i="7"/>
  <c r="R16" i="7"/>
  <c r="S16" i="7"/>
  <c r="T16" i="7"/>
  <c r="U16" i="7"/>
  <c r="V16" i="7"/>
  <c r="AH16" i="7"/>
  <c r="AI16" i="7"/>
  <c r="AJ16" i="7"/>
  <c r="AK16" i="7"/>
  <c r="AL16" i="7"/>
  <c r="J17" i="7"/>
  <c r="K17" i="7"/>
  <c r="L17" i="7"/>
  <c r="M17" i="7"/>
  <c r="N17" i="7"/>
  <c r="O17" i="7"/>
  <c r="P17" i="7"/>
  <c r="Q17" i="7"/>
  <c r="R17" i="7"/>
  <c r="S17" i="7"/>
  <c r="T17" i="7"/>
  <c r="U17" i="7"/>
  <c r="V17" i="7"/>
  <c r="AH17" i="7"/>
  <c r="AI17" i="7"/>
  <c r="AJ17" i="7"/>
  <c r="AK17" i="7"/>
  <c r="AL17" i="7"/>
  <c r="J18" i="7"/>
  <c r="K18" i="7"/>
  <c r="L18" i="7"/>
  <c r="M18" i="7"/>
  <c r="N18" i="7"/>
  <c r="O18" i="7"/>
  <c r="P18" i="7"/>
  <c r="Q18" i="7"/>
  <c r="R18" i="7"/>
  <c r="S18" i="7"/>
  <c r="T18" i="7"/>
  <c r="U18" i="7"/>
  <c r="V18" i="7"/>
  <c r="AH18" i="7"/>
  <c r="AI18" i="7"/>
  <c r="AJ18" i="7"/>
  <c r="AK18" i="7"/>
  <c r="AL18" i="7"/>
  <c r="J19" i="7"/>
  <c r="K19" i="7"/>
  <c r="L19" i="7"/>
  <c r="M19" i="7"/>
  <c r="N19" i="7"/>
  <c r="O19" i="7"/>
  <c r="P19" i="7"/>
  <c r="Q19" i="7"/>
  <c r="R19" i="7"/>
  <c r="S19" i="7"/>
  <c r="T19" i="7"/>
  <c r="U19" i="7"/>
  <c r="V19" i="7"/>
  <c r="AH19" i="7"/>
  <c r="AI19" i="7"/>
  <c r="AJ19" i="7"/>
  <c r="AK19" i="7"/>
  <c r="AL19" i="7"/>
  <c r="J20" i="7"/>
  <c r="K20" i="7"/>
  <c r="L20" i="7"/>
  <c r="M20" i="7"/>
  <c r="N20" i="7"/>
  <c r="O20" i="7"/>
  <c r="P20" i="7"/>
  <c r="Q20" i="7"/>
  <c r="R20" i="7"/>
  <c r="S20" i="7"/>
  <c r="T20" i="7"/>
  <c r="U20" i="7"/>
  <c r="V20" i="7"/>
  <c r="AH20" i="7"/>
  <c r="AI20" i="7"/>
  <c r="AJ20" i="7"/>
  <c r="AK20" i="7"/>
  <c r="AL20" i="7"/>
  <c r="J21" i="7"/>
  <c r="K21" i="7"/>
  <c r="L21" i="7"/>
  <c r="M21" i="7"/>
  <c r="N21" i="7"/>
  <c r="O21" i="7"/>
  <c r="P21" i="7"/>
  <c r="Q21" i="7"/>
  <c r="R21" i="7"/>
  <c r="S21" i="7"/>
  <c r="T21" i="7"/>
  <c r="U21" i="7"/>
  <c r="V21" i="7"/>
  <c r="AH21" i="7"/>
  <c r="AI21" i="7"/>
  <c r="AJ21" i="7"/>
  <c r="AK21" i="7"/>
  <c r="AL21" i="7"/>
  <c r="J22" i="7"/>
  <c r="K22" i="7"/>
  <c r="L22" i="7"/>
  <c r="M22" i="7"/>
  <c r="N22" i="7"/>
  <c r="O22" i="7"/>
  <c r="P22" i="7"/>
  <c r="Q22" i="7"/>
  <c r="R22" i="7"/>
  <c r="S22" i="7"/>
  <c r="T22" i="7"/>
  <c r="U22" i="7"/>
  <c r="V22" i="7"/>
  <c r="AH22" i="7"/>
  <c r="AI22" i="7"/>
  <c r="AJ22" i="7"/>
  <c r="AK22" i="7"/>
  <c r="AL22" i="7"/>
  <c r="I23" i="7"/>
  <c r="J23" i="7"/>
  <c r="K23" i="7"/>
  <c r="L23" i="7"/>
  <c r="M23" i="7"/>
  <c r="N23" i="7"/>
  <c r="O23" i="7"/>
  <c r="P23" i="7"/>
  <c r="Q23" i="7"/>
  <c r="R23" i="7"/>
  <c r="S23" i="7"/>
  <c r="T23" i="7"/>
  <c r="U23" i="7"/>
  <c r="V23" i="7"/>
  <c r="AH23" i="7"/>
  <c r="AI23" i="7"/>
  <c r="AJ23" i="7"/>
  <c r="AK23" i="7"/>
  <c r="AL23" i="7"/>
  <c r="I24" i="7"/>
  <c r="J24" i="7"/>
  <c r="K24" i="7"/>
  <c r="L24" i="7"/>
  <c r="M24" i="7"/>
  <c r="N24" i="7"/>
  <c r="O24" i="7"/>
  <c r="P24" i="7"/>
  <c r="Q24" i="7"/>
  <c r="R24" i="7"/>
  <c r="S24" i="7"/>
  <c r="T24" i="7"/>
  <c r="U24" i="7"/>
  <c r="V24" i="7"/>
  <c r="AH24" i="7"/>
  <c r="AI24" i="7"/>
  <c r="AJ24" i="7"/>
  <c r="AK24" i="7"/>
  <c r="AL24" i="7"/>
  <c r="I25" i="7"/>
  <c r="J25" i="7"/>
  <c r="K25" i="7"/>
  <c r="L25" i="7"/>
  <c r="M25" i="7"/>
  <c r="N25" i="7"/>
  <c r="O25" i="7"/>
  <c r="P25" i="7"/>
  <c r="Q25" i="7"/>
  <c r="R25" i="7"/>
  <c r="S25" i="7"/>
  <c r="T25" i="7"/>
  <c r="U25" i="7"/>
  <c r="V25" i="7"/>
  <c r="AC25" i="7"/>
  <c r="AH25" i="7"/>
  <c r="AI25" i="7"/>
  <c r="AJ25" i="7"/>
  <c r="AK25" i="7"/>
  <c r="AL25" i="7"/>
  <c r="J26" i="7"/>
  <c r="K26" i="7"/>
  <c r="L26" i="7"/>
  <c r="M26" i="7"/>
  <c r="N26" i="7"/>
  <c r="O26" i="7"/>
  <c r="P26" i="7"/>
  <c r="Q26" i="7"/>
  <c r="R26" i="7"/>
  <c r="S26" i="7"/>
  <c r="T26" i="7"/>
  <c r="U26" i="7"/>
  <c r="V26" i="7"/>
  <c r="AH26" i="7"/>
  <c r="AI26" i="7"/>
  <c r="AJ26" i="7"/>
  <c r="AK26" i="7"/>
  <c r="AL26" i="7"/>
  <c r="J27" i="7"/>
  <c r="K27" i="7"/>
  <c r="L27" i="7"/>
  <c r="M27" i="7"/>
  <c r="N27" i="7"/>
  <c r="O27" i="7"/>
  <c r="P27" i="7"/>
  <c r="Q27" i="7"/>
  <c r="R27" i="7"/>
  <c r="S27" i="7"/>
  <c r="T27" i="7"/>
  <c r="U27" i="7"/>
  <c r="V27" i="7"/>
  <c r="AH27" i="7"/>
  <c r="AI27" i="7"/>
  <c r="AJ27" i="7"/>
  <c r="AK27" i="7"/>
  <c r="AL27" i="7"/>
  <c r="J28" i="7"/>
  <c r="K28" i="7"/>
  <c r="L28" i="7"/>
  <c r="M28" i="7"/>
  <c r="N28" i="7"/>
  <c r="O28" i="7"/>
  <c r="P28" i="7"/>
  <c r="Q28" i="7"/>
  <c r="R28" i="7"/>
  <c r="S28" i="7"/>
  <c r="T28" i="7"/>
  <c r="U28" i="7"/>
  <c r="V28" i="7"/>
  <c r="AH28" i="7"/>
  <c r="AI28" i="7"/>
  <c r="AJ28" i="7"/>
  <c r="AK28" i="7"/>
  <c r="AL28" i="7"/>
  <c r="J29" i="7"/>
  <c r="K29" i="7"/>
  <c r="L29" i="7"/>
  <c r="M29" i="7"/>
  <c r="N29" i="7"/>
  <c r="O29" i="7"/>
  <c r="P29" i="7"/>
  <c r="Q29" i="7"/>
  <c r="R29" i="7"/>
  <c r="S29" i="7"/>
  <c r="T29" i="7"/>
  <c r="U29" i="7"/>
  <c r="V29" i="7"/>
  <c r="Y29" i="7"/>
  <c r="AH29" i="7"/>
  <c r="AI29" i="7"/>
  <c r="AJ29" i="7"/>
  <c r="AK29" i="7"/>
  <c r="AL29" i="7"/>
  <c r="J30" i="7"/>
  <c r="K30" i="7"/>
  <c r="L30" i="7"/>
  <c r="M30" i="7"/>
  <c r="N30" i="7"/>
  <c r="O30" i="7"/>
  <c r="P30" i="7"/>
  <c r="Q30" i="7"/>
  <c r="R30" i="7"/>
  <c r="S30" i="7"/>
  <c r="T30" i="7"/>
  <c r="U30" i="7"/>
  <c r="V30" i="7"/>
  <c r="Y30" i="7"/>
  <c r="Z30" i="7"/>
  <c r="AH30" i="7"/>
  <c r="AI30" i="7"/>
  <c r="AJ30" i="7"/>
  <c r="AK30" i="7"/>
  <c r="AL30" i="7"/>
  <c r="I31" i="7"/>
  <c r="J31" i="7"/>
  <c r="K31" i="7"/>
  <c r="L31" i="7"/>
  <c r="M31" i="7"/>
  <c r="N31" i="7"/>
  <c r="O31" i="7"/>
  <c r="P31" i="7"/>
  <c r="Q31" i="7"/>
  <c r="R31" i="7"/>
  <c r="S31" i="7"/>
  <c r="T31" i="7"/>
  <c r="U31" i="7"/>
  <c r="V31" i="7"/>
  <c r="W31" i="7"/>
  <c r="AH31" i="7"/>
  <c r="AI31" i="7"/>
  <c r="AJ31" i="7"/>
  <c r="AK31" i="7"/>
  <c r="AL31" i="7"/>
  <c r="J32" i="7"/>
  <c r="K32" i="7"/>
  <c r="L32" i="7"/>
  <c r="M32" i="7"/>
  <c r="N32" i="7"/>
  <c r="O32" i="7"/>
  <c r="P32" i="7"/>
  <c r="Q32" i="7"/>
  <c r="R32" i="7"/>
  <c r="S32" i="7"/>
  <c r="T32" i="7"/>
  <c r="U32" i="7"/>
  <c r="V32" i="7"/>
  <c r="AE32" i="7"/>
  <c r="AF32" i="7"/>
  <c r="AH32" i="7"/>
  <c r="AI32" i="7"/>
  <c r="AJ32" i="7"/>
  <c r="AK32" i="7"/>
  <c r="AL32" i="7"/>
  <c r="J33" i="7"/>
  <c r="K33" i="7"/>
  <c r="L33" i="7"/>
  <c r="M33" i="7"/>
  <c r="N33" i="7"/>
  <c r="O33" i="7"/>
  <c r="P33" i="7"/>
  <c r="Q33" i="7"/>
  <c r="R33" i="7"/>
  <c r="S33" i="7"/>
  <c r="T33" i="7"/>
  <c r="U33" i="7"/>
  <c r="V33" i="7"/>
  <c r="AH33" i="7"/>
  <c r="AI33" i="7"/>
  <c r="AJ33" i="7"/>
  <c r="AK33" i="7"/>
  <c r="AL33" i="7"/>
  <c r="J34" i="7"/>
  <c r="K34" i="7"/>
  <c r="L34" i="7"/>
  <c r="M34" i="7"/>
  <c r="N34" i="7"/>
  <c r="O34" i="7"/>
  <c r="P34" i="7"/>
  <c r="Q34" i="7"/>
  <c r="R34" i="7"/>
  <c r="S34" i="7"/>
  <c r="T34" i="7"/>
  <c r="U34" i="7"/>
  <c r="V34" i="7"/>
  <c r="AH34" i="7"/>
  <c r="AI34" i="7"/>
  <c r="AJ34" i="7"/>
  <c r="AK34" i="7"/>
  <c r="AL34" i="7"/>
  <c r="J35" i="7"/>
  <c r="K35" i="7"/>
  <c r="L35" i="7"/>
  <c r="M35" i="7"/>
  <c r="N35" i="7"/>
  <c r="O35" i="7"/>
  <c r="P35" i="7"/>
  <c r="Q35" i="7"/>
  <c r="R35" i="7"/>
  <c r="S35" i="7"/>
  <c r="T35" i="7"/>
  <c r="U35" i="7"/>
  <c r="V35" i="7"/>
  <c r="AH35" i="7"/>
  <c r="AI35" i="7"/>
  <c r="AJ35" i="7"/>
  <c r="AK35" i="7"/>
  <c r="AL35" i="7"/>
  <c r="J36" i="7"/>
  <c r="K36" i="7"/>
  <c r="L36" i="7"/>
  <c r="M36" i="7"/>
  <c r="N36" i="7"/>
  <c r="O36" i="7"/>
  <c r="P36" i="7"/>
  <c r="Q36" i="7"/>
  <c r="R36" i="7"/>
  <c r="S36" i="7"/>
  <c r="T36" i="7"/>
  <c r="U36" i="7"/>
  <c r="V36" i="7"/>
  <c r="AH36" i="7"/>
  <c r="AI36" i="7"/>
  <c r="AJ36" i="7"/>
  <c r="AK36" i="7"/>
  <c r="AL36" i="7"/>
  <c r="AN36" i="7"/>
  <c r="I37" i="7"/>
  <c r="J37" i="7"/>
  <c r="K37" i="7"/>
  <c r="L37" i="7"/>
  <c r="M37" i="7"/>
  <c r="N37" i="7"/>
  <c r="O37" i="7"/>
  <c r="P37" i="7"/>
  <c r="Q37" i="7"/>
  <c r="R37" i="7"/>
  <c r="S37" i="7"/>
  <c r="T37" i="7"/>
  <c r="U37" i="7"/>
  <c r="V37" i="7"/>
  <c r="Y37" i="7"/>
  <c r="AA37" i="7"/>
  <c r="AB37" i="7"/>
  <c r="AD37" i="7"/>
  <c r="AE37" i="7"/>
  <c r="AF37" i="7"/>
  <c r="AG37" i="7"/>
  <c r="AH37" i="7"/>
  <c r="AI37" i="7"/>
  <c r="AJ37" i="7"/>
  <c r="AK37" i="7"/>
  <c r="AL37" i="7"/>
  <c r="AM37" i="7"/>
  <c r="AN37" i="7"/>
  <c r="AO37" i="7"/>
  <c r="AP37" i="7"/>
  <c r="AQ37" i="7"/>
  <c r="AR37" i="7"/>
  <c r="AS37" i="7"/>
  <c r="AT37" i="7"/>
  <c r="AU37" i="7"/>
  <c r="J38" i="7"/>
  <c r="K38" i="7"/>
  <c r="L38" i="7"/>
  <c r="M38" i="7"/>
  <c r="N38" i="7"/>
  <c r="O38" i="7"/>
  <c r="P38" i="7"/>
  <c r="Q38" i="7"/>
  <c r="R38" i="7"/>
  <c r="S38" i="7"/>
  <c r="T38" i="7"/>
  <c r="U38" i="7"/>
  <c r="V38" i="7"/>
  <c r="AH38" i="7"/>
  <c r="AI38" i="7"/>
  <c r="AJ38" i="7"/>
  <c r="AK38" i="7"/>
  <c r="AL38" i="7"/>
  <c r="AN38" i="7"/>
  <c r="J39" i="7"/>
  <c r="K39" i="7"/>
  <c r="L39" i="7"/>
  <c r="M39" i="7"/>
  <c r="N39" i="7"/>
  <c r="O39" i="7"/>
  <c r="P39" i="7"/>
  <c r="Q39" i="7"/>
  <c r="R39" i="7"/>
  <c r="S39" i="7"/>
  <c r="T39" i="7"/>
  <c r="U39" i="7"/>
  <c r="V39" i="7"/>
  <c r="AH39" i="7"/>
  <c r="AI39" i="7"/>
  <c r="AJ39" i="7"/>
  <c r="AK39" i="7"/>
  <c r="AL39" i="7"/>
  <c r="AN39" i="7"/>
  <c r="J40" i="7"/>
  <c r="K40" i="7"/>
  <c r="L40" i="7"/>
  <c r="M40" i="7"/>
  <c r="N40" i="7"/>
  <c r="O40" i="7"/>
  <c r="P40" i="7"/>
  <c r="Q40" i="7"/>
  <c r="R40" i="7"/>
  <c r="S40" i="7"/>
  <c r="T40" i="7"/>
  <c r="U40" i="7"/>
  <c r="V40" i="7"/>
  <c r="AH40" i="7"/>
  <c r="AI40" i="7"/>
  <c r="AJ40" i="7"/>
  <c r="AK40" i="7"/>
  <c r="AL40" i="7"/>
  <c r="AN40" i="7"/>
  <c r="J41" i="7"/>
  <c r="K41" i="7"/>
  <c r="L41" i="7"/>
  <c r="M41" i="7"/>
  <c r="N41" i="7"/>
  <c r="O41" i="7"/>
  <c r="P41" i="7"/>
  <c r="Q41" i="7"/>
  <c r="R41" i="7"/>
  <c r="S41" i="7"/>
  <c r="T41" i="7"/>
  <c r="U41" i="7"/>
  <c r="V41" i="7"/>
  <c r="AH41" i="7"/>
  <c r="AI41" i="7"/>
  <c r="AJ41" i="7"/>
  <c r="AK41" i="7"/>
  <c r="AL41" i="7"/>
  <c r="AN41" i="7"/>
  <c r="J42" i="7"/>
  <c r="K42" i="7"/>
  <c r="L42" i="7"/>
  <c r="M42" i="7"/>
  <c r="N42" i="7"/>
  <c r="O42" i="7"/>
  <c r="P42" i="7"/>
  <c r="Q42" i="7"/>
  <c r="R42" i="7"/>
  <c r="S42" i="7"/>
  <c r="T42" i="7"/>
  <c r="U42" i="7"/>
  <c r="V42" i="7"/>
  <c r="AH42" i="7"/>
  <c r="AI42" i="7"/>
  <c r="AJ42" i="7"/>
  <c r="AK42" i="7"/>
  <c r="AL42" i="7"/>
  <c r="AN42" i="7"/>
  <c r="J43" i="7"/>
  <c r="K43" i="7"/>
  <c r="L43" i="7"/>
  <c r="M43" i="7"/>
  <c r="N43" i="7"/>
  <c r="O43" i="7"/>
  <c r="P43" i="7"/>
  <c r="Q43" i="7"/>
  <c r="R43" i="7"/>
  <c r="S43" i="7"/>
  <c r="T43" i="7"/>
  <c r="U43" i="7"/>
  <c r="V43" i="7"/>
  <c r="AH43" i="7"/>
  <c r="AI43" i="7"/>
  <c r="AJ43" i="7"/>
  <c r="AK43" i="7"/>
  <c r="AL43" i="7"/>
  <c r="AN43" i="7"/>
  <c r="J44" i="7"/>
  <c r="K44" i="7"/>
  <c r="L44" i="7"/>
  <c r="M44" i="7"/>
  <c r="N44" i="7"/>
  <c r="O44" i="7"/>
  <c r="P44" i="7"/>
  <c r="Q44" i="7"/>
  <c r="R44" i="7"/>
  <c r="S44" i="7"/>
  <c r="T44" i="7"/>
  <c r="U44" i="7"/>
  <c r="V44" i="7"/>
  <c r="AH44" i="7"/>
  <c r="AI44" i="7"/>
  <c r="AJ44" i="7"/>
  <c r="AK44" i="7"/>
  <c r="AL44" i="7"/>
  <c r="AN44" i="7"/>
  <c r="J45" i="7"/>
  <c r="K45" i="7"/>
  <c r="L45" i="7"/>
  <c r="M45" i="7"/>
  <c r="N45" i="7"/>
  <c r="O45" i="7"/>
  <c r="P45" i="7"/>
  <c r="Q45" i="7"/>
  <c r="R45" i="7"/>
  <c r="S45" i="7"/>
  <c r="T45" i="7"/>
  <c r="U45" i="7"/>
  <c r="V45" i="7"/>
  <c r="AH45" i="7"/>
  <c r="AI45" i="7"/>
  <c r="AJ45" i="7"/>
  <c r="AK45" i="7"/>
  <c r="AL45" i="7"/>
  <c r="AN45" i="7"/>
  <c r="J46" i="7"/>
  <c r="K46" i="7"/>
  <c r="L46" i="7"/>
  <c r="M46" i="7"/>
  <c r="N46" i="7"/>
  <c r="O46" i="7"/>
  <c r="P46" i="7"/>
  <c r="Q46" i="7"/>
  <c r="R46" i="7"/>
  <c r="S46" i="7"/>
  <c r="T46" i="7"/>
  <c r="U46" i="7"/>
  <c r="V46" i="7"/>
  <c r="AH46" i="7"/>
  <c r="AI46" i="7"/>
  <c r="AJ46" i="7"/>
  <c r="AK46" i="7"/>
  <c r="AL46" i="7"/>
  <c r="AN46" i="7"/>
  <c r="J47" i="7"/>
  <c r="K47" i="7"/>
  <c r="L47" i="7"/>
  <c r="M47" i="7"/>
  <c r="N47" i="7"/>
  <c r="O47" i="7"/>
  <c r="P47" i="7"/>
  <c r="Q47" i="7"/>
  <c r="R47" i="7"/>
  <c r="S47" i="7"/>
  <c r="T47" i="7"/>
  <c r="U47" i="7"/>
  <c r="V47" i="7"/>
  <c r="AH47" i="7"/>
  <c r="AI47" i="7"/>
  <c r="AJ47" i="7"/>
  <c r="AK47" i="7"/>
  <c r="AL47" i="7"/>
  <c r="AN47" i="7"/>
  <c r="J48" i="7"/>
  <c r="K48" i="7"/>
  <c r="L48" i="7"/>
  <c r="M48" i="7"/>
  <c r="N48" i="7"/>
  <c r="O48" i="7"/>
  <c r="P48" i="7"/>
  <c r="Q48" i="7"/>
  <c r="R48" i="7"/>
  <c r="S48" i="7"/>
  <c r="T48" i="7"/>
  <c r="U48" i="7"/>
  <c r="V48" i="7"/>
  <c r="AH48" i="7"/>
  <c r="AI48" i="7"/>
  <c r="AJ48" i="7"/>
  <c r="AK48" i="7"/>
  <c r="AL48" i="7"/>
  <c r="AN48" i="7"/>
  <c r="J49" i="7"/>
  <c r="K49" i="7"/>
  <c r="L49" i="7"/>
  <c r="M49" i="7"/>
  <c r="N49" i="7"/>
  <c r="O49" i="7"/>
  <c r="P49" i="7"/>
  <c r="Q49" i="7"/>
  <c r="R49" i="7"/>
  <c r="S49" i="7"/>
  <c r="T49" i="7"/>
  <c r="U49" i="7"/>
  <c r="V49" i="7"/>
  <c r="AH49" i="7"/>
  <c r="AI49" i="7"/>
  <c r="AJ49" i="7"/>
  <c r="AK49" i="7"/>
  <c r="AL49" i="7"/>
  <c r="J50" i="7"/>
  <c r="K50" i="7"/>
  <c r="L50" i="7"/>
  <c r="M50" i="7"/>
  <c r="N50" i="7"/>
  <c r="O50" i="7"/>
  <c r="P50" i="7"/>
  <c r="Q50" i="7"/>
  <c r="R50" i="7"/>
  <c r="S50" i="7"/>
  <c r="T50" i="7"/>
  <c r="U50" i="7"/>
  <c r="V50" i="7"/>
  <c r="Y50" i="7"/>
  <c r="AH50" i="7"/>
  <c r="AI50" i="7"/>
  <c r="AJ50" i="7"/>
  <c r="AK50" i="7"/>
  <c r="AL50" i="7"/>
  <c r="J51" i="7"/>
  <c r="K51" i="7"/>
  <c r="L51" i="7"/>
  <c r="M51" i="7"/>
  <c r="N51" i="7"/>
  <c r="O51" i="7"/>
  <c r="P51" i="7"/>
  <c r="Q51" i="7"/>
  <c r="R51" i="7"/>
  <c r="S51" i="7"/>
  <c r="T51" i="7"/>
  <c r="U51" i="7"/>
  <c r="V51" i="7"/>
  <c r="AE51" i="7"/>
  <c r="AF51" i="7"/>
  <c r="AG51" i="7"/>
  <c r="AH51" i="7"/>
  <c r="AI51" i="7"/>
  <c r="AJ51" i="7"/>
  <c r="AK51" i="7"/>
  <c r="AL51" i="7"/>
  <c r="J52" i="7"/>
  <c r="K52" i="7"/>
  <c r="L52" i="7"/>
  <c r="M52" i="7"/>
  <c r="N52" i="7"/>
  <c r="O52" i="7"/>
  <c r="P52" i="7"/>
  <c r="Q52" i="7"/>
  <c r="R52" i="7"/>
  <c r="S52" i="7"/>
  <c r="T52" i="7"/>
  <c r="U52" i="7"/>
  <c r="V52" i="7"/>
  <c r="AH52" i="7"/>
  <c r="AI52" i="7"/>
  <c r="AJ52" i="7"/>
  <c r="AK52" i="7"/>
  <c r="AL52" i="7"/>
  <c r="J53" i="7"/>
  <c r="K53" i="7"/>
  <c r="L53" i="7"/>
  <c r="M53" i="7"/>
  <c r="N53" i="7"/>
  <c r="O53" i="7"/>
  <c r="P53" i="7"/>
  <c r="Q53" i="7"/>
  <c r="R53" i="7"/>
  <c r="S53" i="7"/>
  <c r="T53" i="7"/>
  <c r="U53" i="7"/>
  <c r="V53" i="7"/>
  <c r="AH53" i="7"/>
  <c r="AI53" i="7"/>
  <c r="AJ53" i="7"/>
  <c r="AK53" i="7"/>
  <c r="AL53" i="7"/>
  <c r="J54" i="7"/>
  <c r="K54" i="7"/>
  <c r="L54" i="7"/>
  <c r="M54" i="7"/>
  <c r="N54" i="7"/>
  <c r="O54" i="7"/>
  <c r="P54" i="7"/>
  <c r="Q54" i="7"/>
  <c r="R54" i="7"/>
  <c r="S54" i="7"/>
  <c r="T54" i="7"/>
  <c r="U54" i="7"/>
  <c r="V54" i="7"/>
  <c r="AH54" i="7"/>
  <c r="AI54" i="7"/>
  <c r="AJ54" i="7"/>
  <c r="AK54" i="7"/>
  <c r="AL54" i="7"/>
  <c r="J55" i="7"/>
  <c r="K55" i="7"/>
  <c r="L55" i="7"/>
  <c r="M55" i="7"/>
  <c r="N55" i="7"/>
  <c r="O55" i="7"/>
  <c r="P55" i="7"/>
  <c r="Q55" i="7"/>
  <c r="R55" i="7"/>
  <c r="S55" i="7"/>
  <c r="T55" i="7"/>
  <c r="U55" i="7"/>
  <c r="V55" i="7"/>
  <c r="AH55" i="7"/>
  <c r="AI55" i="7"/>
  <c r="AJ55" i="7"/>
  <c r="AK55" i="7"/>
  <c r="AL55" i="7"/>
  <c r="J56" i="7"/>
  <c r="K56" i="7"/>
  <c r="L56" i="7"/>
  <c r="M56" i="7"/>
  <c r="N56" i="7"/>
  <c r="O56" i="7"/>
  <c r="P56" i="7"/>
  <c r="Q56" i="7"/>
  <c r="R56" i="7"/>
  <c r="S56" i="7"/>
  <c r="T56" i="7"/>
  <c r="U56" i="7"/>
  <c r="V56" i="7"/>
  <c r="AH56" i="7"/>
  <c r="AI56" i="7"/>
  <c r="AJ56" i="7"/>
  <c r="AK56" i="7"/>
  <c r="AL56" i="7"/>
  <c r="J57" i="7"/>
  <c r="K57" i="7"/>
  <c r="L57" i="7"/>
  <c r="M57" i="7"/>
  <c r="N57" i="7"/>
  <c r="O57" i="7"/>
  <c r="P57" i="7"/>
  <c r="Q57" i="7"/>
  <c r="R57" i="7"/>
  <c r="S57" i="7"/>
  <c r="T57" i="7"/>
  <c r="U57" i="7"/>
  <c r="V57" i="7"/>
  <c r="AH57" i="7"/>
  <c r="AI57" i="7"/>
  <c r="AJ57" i="7"/>
  <c r="AK57" i="7"/>
  <c r="AL57" i="7"/>
  <c r="J58" i="7"/>
  <c r="K58" i="7"/>
  <c r="L58" i="7"/>
  <c r="M58" i="7"/>
  <c r="N58" i="7"/>
  <c r="O58" i="7"/>
  <c r="P58" i="7"/>
  <c r="Q58" i="7"/>
  <c r="R58" i="7"/>
  <c r="S58" i="7"/>
  <c r="T58" i="7"/>
  <c r="U58" i="7"/>
  <c r="V58" i="7"/>
  <c r="AH58" i="7"/>
  <c r="AI58" i="7"/>
  <c r="AJ58" i="7"/>
  <c r="AK58" i="7"/>
  <c r="AL58" i="7"/>
  <c r="J59" i="7"/>
  <c r="K59" i="7"/>
  <c r="L59" i="7"/>
  <c r="M59" i="7"/>
  <c r="N59" i="7"/>
  <c r="O59" i="7"/>
  <c r="P59" i="7"/>
  <c r="Q59" i="7"/>
  <c r="R59" i="7"/>
  <c r="S59" i="7"/>
  <c r="T59" i="7"/>
  <c r="U59" i="7"/>
  <c r="V59" i="7"/>
  <c r="AH59" i="7"/>
  <c r="AI59" i="7"/>
  <c r="AJ59" i="7"/>
  <c r="AK59" i="7"/>
  <c r="AL59" i="7"/>
  <c r="J60" i="7"/>
  <c r="K60" i="7"/>
  <c r="L60" i="7"/>
  <c r="M60" i="7"/>
  <c r="N60" i="7"/>
  <c r="O60" i="7"/>
  <c r="P60" i="7"/>
  <c r="Q60" i="7"/>
  <c r="R60" i="7"/>
  <c r="S60" i="7"/>
  <c r="T60" i="7"/>
  <c r="U60" i="7"/>
  <c r="V60" i="7"/>
  <c r="AH60" i="7"/>
  <c r="AI60" i="7"/>
  <c r="AJ60" i="7"/>
  <c r="AK60" i="7"/>
  <c r="AL60" i="7"/>
  <c r="J61" i="7"/>
  <c r="K61" i="7"/>
  <c r="L61" i="7"/>
  <c r="M61" i="7"/>
  <c r="N61" i="7"/>
  <c r="O61" i="7"/>
  <c r="P61" i="7"/>
  <c r="Q61" i="7"/>
  <c r="R61" i="7"/>
  <c r="S61" i="7"/>
  <c r="T61" i="7"/>
  <c r="U61" i="7"/>
  <c r="V61" i="7"/>
  <c r="AH61" i="7"/>
  <c r="AI61" i="7"/>
  <c r="AJ61" i="7"/>
  <c r="AK61" i="7"/>
  <c r="AL61" i="7"/>
  <c r="J62" i="7"/>
  <c r="K62" i="7"/>
  <c r="L62" i="7"/>
  <c r="M62" i="7"/>
  <c r="N62" i="7"/>
  <c r="O62" i="7"/>
  <c r="P62" i="7"/>
  <c r="Q62" i="7"/>
  <c r="R62" i="7"/>
  <c r="S62" i="7"/>
  <c r="T62" i="7"/>
  <c r="U62" i="7"/>
  <c r="V62" i="7"/>
  <c r="AH62" i="7"/>
  <c r="AI62" i="7"/>
  <c r="AJ62" i="7"/>
  <c r="AK62" i="7"/>
  <c r="AL62" i="7"/>
  <c r="J63" i="7"/>
  <c r="K63" i="7"/>
  <c r="L63" i="7"/>
  <c r="M63" i="7"/>
  <c r="N63" i="7"/>
  <c r="O63" i="7"/>
  <c r="P63" i="7"/>
  <c r="Q63" i="7"/>
  <c r="R63" i="7"/>
  <c r="S63" i="7"/>
  <c r="T63" i="7"/>
  <c r="U63" i="7"/>
  <c r="V63" i="7"/>
  <c r="AH63" i="7"/>
  <c r="AI63" i="7"/>
  <c r="AJ63" i="7"/>
  <c r="AK63" i="7"/>
  <c r="AL63" i="7"/>
  <c r="J64" i="7"/>
  <c r="K64" i="7"/>
  <c r="L64" i="7"/>
  <c r="M64" i="7"/>
  <c r="N64" i="7"/>
  <c r="O64" i="7"/>
  <c r="P64" i="7"/>
  <c r="Q64" i="7"/>
  <c r="R64" i="7"/>
  <c r="S64" i="7"/>
  <c r="T64" i="7"/>
  <c r="U64" i="7"/>
  <c r="V64" i="7"/>
  <c r="AH64" i="7"/>
  <c r="AI64" i="7"/>
  <c r="AJ64" i="7"/>
  <c r="AK64" i="7"/>
  <c r="AL64" i="7"/>
  <c r="J65" i="7"/>
  <c r="K65" i="7"/>
  <c r="L65" i="7"/>
  <c r="M65" i="7"/>
  <c r="N65" i="7"/>
  <c r="O65" i="7"/>
  <c r="P65" i="7"/>
  <c r="Q65" i="7"/>
  <c r="R65" i="7"/>
  <c r="S65" i="7"/>
  <c r="T65" i="7"/>
  <c r="U65" i="7"/>
  <c r="V65" i="7"/>
  <c r="AH65" i="7"/>
  <c r="AI65" i="7"/>
  <c r="AJ65" i="7"/>
  <c r="AK65" i="7"/>
  <c r="AL65" i="7"/>
  <c r="J66" i="7"/>
  <c r="K66" i="7"/>
  <c r="L66" i="7"/>
  <c r="M66" i="7"/>
  <c r="N66" i="7"/>
  <c r="O66" i="7"/>
  <c r="P66" i="7"/>
  <c r="Q66" i="7"/>
  <c r="R66" i="7"/>
  <c r="S66" i="7"/>
  <c r="T66" i="7"/>
  <c r="U66" i="7"/>
  <c r="V66" i="7"/>
  <c r="AH66" i="7"/>
  <c r="AI66" i="7"/>
  <c r="AJ66" i="7"/>
  <c r="AK66" i="7"/>
  <c r="AL66" i="7"/>
  <c r="J67" i="7"/>
  <c r="K67" i="7"/>
  <c r="L67" i="7"/>
  <c r="M67" i="7"/>
  <c r="N67" i="7"/>
  <c r="O67" i="7"/>
  <c r="P67" i="7"/>
  <c r="Q67" i="7"/>
  <c r="R67" i="7"/>
  <c r="S67" i="7"/>
  <c r="T67" i="7"/>
  <c r="U67" i="7"/>
  <c r="V67" i="7"/>
  <c r="AH67" i="7"/>
  <c r="AI67" i="7"/>
  <c r="AJ67" i="7"/>
  <c r="AK67" i="7"/>
  <c r="AL67" i="7"/>
  <c r="J68" i="7"/>
  <c r="K68" i="7"/>
  <c r="L68" i="7"/>
  <c r="M68" i="7"/>
  <c r="N68" i="7"/>
  <c r="O68" i="7"/>
  <c r="P68" i="7"/>
  <c r="Q68" i="7"/>
  <c r="R68" i="7"/>
  <c r="S68" i="7"/>
  <c r="T68" i="7"/>
  <c r="U68" i="7"/>
  <c r="V68" i="7"/>
  <c r="AH68" i="7"/>
  <c r="AI68" i="7"/>
  <c r="AJ68" i="7"/>
  <c r="AK68" i="7"/>
  <c r="AL68" i="7"/>
  <c r="I69" i="7"/>
  <c r="J69" i="7"/>
  <c r="K69" i="7"/>
  <c r="L69" i="7"/>
  <c r="M69" i="7"/>
  <c r="N69" i="7"/>
  <c r="O69" i="7"/>
  <c r="P69" i="7"/>
  <c r="Q69" i="7"/>
  <c r="R69" i="7"/>
  <c r="S69" i="7"/>
  <c r="T69" i="7"/>
  <c r="U69" i="7"/>
  <c r="V69" i="7"/>
  <c r="AH69" i="7"/>
  <c r="AI69" i="7"/>
  <c r="AJ69" i="7"/>
  <c r="AK69" i="7"/>
  <c r="AL69" i="7"/>
  <c r="I70" i="7"/>
  <c r="J70" i="7"/>
  <c r="K70" i="7"/>
  <c r="L70" i="7"/>
  <c r="M70" i="7"/>
  <c r="N70" i="7"/>
  <c r="O70" i="7"/>
  <c r="P70" i="7"/>
  <c r="Q70" i="7"/>
  <c r="R70" i="7"/>
  <c r="S70" i="7"/>
  <c r="T70" i="7"/>
  <c r="U70" i="7"/>
  <c r="V70" i="7"/>
  <c r="AH70" i="7"/>
  <c r="AI70" i="7"/>
  <c r="AJ70" i="7"/>
  <c r="AK70" i="7"/>
  <c r="AL70" i="7"/>
  <c r="J71" i="7"/>
  <c r="K71" i="7"/>
  <c r="L71" i="7"/>
  <c r="M71" i="7"/>
  <c r="N71" i="7"/>
  <c r="O71" i="7"/>
  <c r="P71" i="7"/>
  <c r="Q71" i="7"/>
  <c r="R71" i="7"/>
  <c r="S71" i="7"/>
  <c r="T71" i="7"/>
  <c r="U71" i="7"/>
  <c r="V71" i="7"/>
  <c r="AH71" i="7"/>
  <c r="AI71" i="7"/>
  <c r="AJ71" i="7"/>
  <c r="AK71" i="7"/>
  <c r="AL71" i="7"/>
  <c r="I72" i="7"/>
  <c r="J72" i="7"/>
  <c r="K72" i="7"/>
  <c r="L72" i="7"/>
  <c r="M72" i="7"/>
  <c r="N72" i="7"/>
  <c r="O72" i="7"/>
  <c r="P72" i="7"/>
  <c r="Q72" i="7"/>
  <c r="R72" i="7"/>
  <c r="S72" i="7"/>
  <c r="T72" i="7"/>
  <c r="U72" i="7"/>
  <c r="V72" i="7"/>
  <c r="AH72" i="7"/>
  <c r="AI72" i="7"/>
  <c r="AJ72" i="7"/>
  <c r="AK72" i="7"/>
  <c r="AL72" i="7"/>
  <c r="J73" i="7"/>
  <c r="K73" i="7"/>
  <c r="L73" i="7"/>
  <c r="M73" i="7"/>
  <c r="N73" i="7"/>
  <c r="O73" i="7"/>
  <c r="P73" i="7"/>
  <c r="Q73" i="7"/>
  <c r="R73" i="7"/>
  <c r="S73" i="7"/>
  <c r="T73" i="7"/>
  <c r="U73" i="7"/>
  <c r="V73" i="7"/>
  <c r="AH73" i="7"/>
  <c r="AI73" i="7"/>
  <c r="AJ73" i="7"/>
  <c r="AK73" i="7"/>
  <c r="AL73" i="7"/>
  <c r="AT73" i="7"/>
  <c r="AU73" i="7"/>
  <c r="J74" i="7"/>
  <c r="K74" i="7"/>
  <c r="L74" i="7"/>
  <c r="M74" i="7"/>
  <c r="N74" i="7"/>
  <c r="O74" i="7"/>
  <c r="P74" i="7"/>
  <c r="Q74" i="7"/>
  <c r="R74" i="7"/>
  <c r="S74" i="7"/>
  <c r="T74" i="7"/>
  <c r="U74" i="7"/>
  <c r="V74" i="7"/>
  <c r="AH74" i="7"/>
  <c r="AI74" i="7"/>
  <c r="AJ74" i="7"/>
  <c r="AK74" i="7"/>
  <c r="AL74" i="7"/>
  <c r="J75" i="7"/>
  <c r="K75" i="7"/>
  <c r="L75" i="7"/>
  <c r="M75" i="7"/>
  <c r="N75" i="7"/>
  <c r="O75" i="7"/>
  <c r="P75" i="7"/>
  <c r="Q75" i="7"/>
  <c r="R75" i="7"/>
  <c r="S75" i="7"/>
  <c r="T75" i="7"/>
  <c r="U75" i="7"/>
  <c r="V75" i="7"/>
  <c r="AH75" i="7"/>
  <c r="AI75" i="7"/>
  <c r="AJ75" i="7"/>
  <c r="AK75" i="7"/>
  <c r="AL75" i="7"/>
  <c r="J76" i="7"/>
  <c r="K76" i="7"/>
  <c r="L76" i="7"/>
  <c r="M76" i="7"/>
  <c r="N76" i="7"/>
  <c r="O76" i="7"/>
  <c r="P76" i="7"/>
  <c r="Q76" i="7"/>
  <c r="R76" i="7"/>
  <c r="S76" i="7"/>
  <c r="T76" i="7"/>
  <c r="U76" i="7"/>
  <c r="V76" i="7"/>
  <c r="AH76" i="7"/>
  <c r="AI76" i="7"/>
  <c r="AJ76" i="7"/>
  <c r="AK76" i="7"/>
  <c r="AL76" i="7"/>
  <c r="J77" i="7"/>
  <c r="K77" i="7"/>
  <c r="L77" i="7"/>
  <c r="M77" i="7"/>
  <c r="N77" i="7"/>
  <c r="O77" i="7"/>
  <c r="P77" i="7"/>
  <c r="Q77" i="7"/>
  <c r="R77" i="7"/>
  <c r="S77" i="7"/>
  <c r="T77" i="7"/>
  <c r="U77" i="7"/>
  <c r="V77" i="7"/>
  <c r="AH77" i="7"/>
  <c r="AI77" i="7"/>
  <c r="AJ77" i="7"/>
  <c r="AK77" i="7"/>
  <c r="AL77" i="7"/>
  <c r="J78" i="7"/>
  <c r="K78" i="7"/>
  <c r="L78" i="7"/>
  <c r="M78" i="7"/>
  <c r="N78" i="7"/>
  <c r="O78" i="7"/>
  <c r="P78" i="7"/>
  <c r="Q78" i="7"/>
  <c r="R78" i="7"/>
  <c r="S78" i="7"/>
  <c r="T78" i="7"/>
  <c r="U78" i="7"/>
  <c r="V78" i="7"/>
  <c r="AH78" i="7"/>
  <c r="AI78" i="7"/>
  <c r="AJ78" i="7"/>
  <c r="AK78" i="7"/>
  <c r="AL78" i="7"/>
  <c r="J79" i="7"/>
  <c r="K79" i="7"/>
  <c r="L79" i="7"/>
  <c r="M79" i="7"/>
  <c r="N79" i="7"/>
  <c r="O79" i="7"/>
  <c r="P79" i="7"/>
  <c r="Q79" i="7"/>
  <c r="R79" i="7"/>
  <c r="S79" i="7"/>
  <c r="T79" i="7"/>
  <c r="U79" i="7"/>
  <c r="V79" i="7"/>
  <c r="AH79" i="7"/>
  <c r="AI79" i="7"/>
  <c r="AJ79" i="7"/>
  <c r="AK79" i="7"/>
  <c r="AL79" i="7"/>
  <c r="AT79" i="7"/>
  <c r="AU79" i="7"/>
  <c r="J80" i="7"/>
  <c r="K80" i="7"/>
  <c r="L80" i="7"/>
  <c r="M80" i="7"/>
  <c r="N80" i="7"/>
  <c r="O80" i="7"/>
  <c r="P80" i="7"/>
  <c r="Q80" i="7"/>
  <c r="R80" i="7"/>
  <c r="S80" i="7"/>
  <c r="T80" i="7"/>
  <c r="U80" i="7"/>
  <c r="V80" i="7"/>
  <c r="AH80" i="7"/>
  <c r="AI80" i="7"/>
  <c r="AJ80" i="7"/>
  <c r="AK80" i="7"/>
  <c r="AL80" i="7"/>
  <c r="AT80" i="7"/>
  <c r="AU80" i="7"/>
  <c r="J81" i="7"/>
  <c r="K81" i="7"/>
  <c r="L81" i="7"/>
  <c r="M81" i="7"/>
  <c r="N81" i="7"/>
  <c r="O81" i="7"/>
  <c r="P81" i="7"/>
  <c r="Q81" i="7"/>
  <c r="R81" i="7"/>
  <c r="S81" i="7"/>
  <c r="T81" i="7"/>
  <c r="U81" i="7"/>
  <c r="V81" i="7"/>
  <c r="AH81" i="7"/>
  <c r="AI81" i="7"/>
  <c r="AJ81" i="7"/>
  <c r="AK81" i="7"/>
  <c r="AL81" i="7"/>
  <c r="AT81" i="7"/>
  <c r="AU81" i="7"/>
  <c r="J82" i="7"/>
  <c r="K82" i="7"/>
  <c r="L82" i="7"/>
  <c r="M82" i="7"/>
  <c r="N82" i="7"/>
  <c r="O82" i="7"/>
  <c r="P82" i="7"/>
  <c r="Q82" i="7"/>
  <c r="R82" i="7"/>
  <c r="S82" i="7"/>
  <c r="T82" i="7"/>
  <c r="U82" i="7"/>
  <c r="V82" i="7"/>
  <c r="AH82" i="7"/>
  <c r="AI82" i="7"/>
  <c r="AJ82" i="7"/>
  <c r="AK82" i="7"/>
  <c r="AL82" i="7"/>
  <c r="J83" i="7"/>
  <c r="K83" i="7"/>
  <c r="L83" i="7"/>
  <c r="M83" i="7"/>
  <c r="N83" i="7"/>
  <c r="O83" i="7"/>
  <c r="P83" i="7"/>
  <c r="Q83" i="7"/>
  <c r="R83" i="7"/>
  <c r="S83" i="7"/>
  <c r="T83" i="7"/>
  <c r="U83" i="7"/>
  <c r="V83" i="7"/>
  <c r="AH83" i="7"/>
  <c r="AI83" i="7"/>
  <c r="AJ83" i="7"/>
  <c r="AK83" i="7"/>
  <c r="AL83" i="7"/>
  <c r="J84" i="7"/>
  <c r="K84" i="7"/>
  <c r="L84" i="7"/>
  <c r="M84" i="7"/>
  <c r="N84" i="7"/>
  <c r="O84" i="7"/>
  <c r="P84" i="7"/>
  <c r="Q84" i="7"/>
  <c r="R84" i="7"/>
  <c r="S84" i="7"/>
  <c r="T84" i="7"/>
  <c r="U84" i="7"/>
  <c r="V84" i="7"/>
  <c r="AH84" i="7"/>
  <c r="AI84" i="7"/>
  <c r="AJ84" i="7"/>
  <c r="AK84" i="7"/>
  <c r="AL84" i="7"/>
  <c r="AT84" i="7"/>
  <c r="AU84" i="7"/>
  <c r="J85" i="7"/>
  <c r="K85" i="7"/>
  <c r="L85" i="7"/>
  <c r="M85" i="7"/>
  <c r="N85" i="7"/>
  <c r="O85" i="7"/>
  <c r="P85" i="7"/>
  <c r="Q85" i="7"/>
  <c r="R85" i="7"/>
  <c r="S85" i="7"/>
  <c r="T85" i="7"/>
  <c r="U85" i="7"/>
  <c r="V85" i="7"/>
  <c r="AH85" i="7"/>
  <c r="AI85" i="7"/>
  <c r="AJ85" i="7"/>
  <c r="AK85" i="7"/>
  <c r="AL85" i="7"/>
  <c r="J86" i="7"/>
  <c r="K86" i="7"/>
  <c r="L86" i="7"/>
  <c r="M86" i="7"/>
  <c r="N86" i="7"/>
  <c r="O86" i="7"/>
  <c r="P86" i="7"/>
  <c r="Q86" i="7"/>
  <c r="R86" i="7"/>
  <c r="S86" i="7"/>
  <c r="T86" i="7"/>
  <c r="U86" i="7"/>
  <c r="V86" i="7"/>
  <c r="AH86" i="7"/>
  <c r="AI86" i="7"/>
  <c r="AJ86" i="7"/>
  <c r="AK86" i="7"/>
  <c r="AL86" i="7"/>
  <c r="J87" i="7"/>
  <c r="K87" i="7"/>
  <c r="L87" i="7"/>
  <c r="M87" i="7"/>
  <c r="N87" i="7"/>
  <c r="O87" i="7"/>
  <c r="P87" i="7"/>
  <c r="Q87" i="7"/>
  <c r="R87" i="7"/>
  <c r="S87" i="7"/>
  <c r="T87" i="7"/>
  <c r="U87" i="7"/>
  <c r="V87" i="7"/>
  <c r="AH87" i="7"/>
  <c r="AI87" i="7"/>
  <c r="AJ87" i="7"/>
  <c r="AK87" i="7"/>
  <c r="AL87" i="7"/>
  <c r="J88" i="7"/>
  <c r="K88" i="7"/>
  <c r="L88" i="7"/>
  <c r="M88" i="7"/>
  <c r="N88" i="7"/>
  <c r="O88" i="7"/>
  <c r="P88" i="7"/>
  <c r="Q88" i="7"/>
  <c r="R88" i="7"/>
  <c r="S88" i="7"/>
  <c r="T88" i="7"/>
  <c r="U88" i="7"/>
  <c r="V88" i="7"/>
  <c r="AH88" i="7"/>
  <c r="AI88" i="7"/>
  <c r="AJ88" i="7"/>
  <c r="AK88" i="7"/>
  <c r="AL88" i="7"/>
  <c r="J89" i="7"/>
  <c r="K89" i="7"/>
  <c r="L89" i="7"/>
  <c r="M89" i="7"/>
  <c r="N89" i="7"/>
  <c r="O89" i="7"/>
  <c r="P89" i="7"/>
  <c r="Q89" i="7"/>
  <c r="R89" i="7"/>
  <c r="S89" i="7"/>
  <c r="T89" i="7"/>
  <c r="U89" i="7"/>
  <c r="V89" i="7"/>
  <c r="AH89" i="7"/>
  <c r="AI89" i="7"/>
  <c r="AJ89" i="7"/>
  <c r="AK89" i="7"/>
  <c r="AL89" i="7"/>
  <c r="AT89" i="7"/>
  <c r="J90" i="7"/>
  <c r="K90" i="7"/>
  <c r="L90" i="7"/>
  <c r="M90" i="7"/>
  <c r="N90" i="7"/>
  <c r="O90" i="7"/>
  <c r="P90" i="7"/>
  <c r="Q90" i="7"/>
  <c r="R90" i="7"/>
  <c r="S90" i="7"/>
  <c r="T90" i="7"/>
  <c r="U90" i="7"/>
  <c r="V90" i="7"/>
  <c r="AH90" i="7"/>
  <c r="AI90" i="7"/>
  <c r="AJ90" i="7"/>
  <c r="AK90" i="7"/>
  <c r="AL90" i="7"/>
  <c r="AT90" i="7"/>
  <c r="J91" i="7"/>
  <c r="K91" i="7"/>
  <c r="L91" i="7"/>
  <c r="M91" i="7"/>
  <c r="N91" i="7"/>
  <c r="O91" i="7"/>
  <c r="P91" i="7"/>
  <c r="Q91" i="7"/>
  <c r="R91" i="7"/>
  <c r="S91" i="7"/>
  <c r="T91" i="7"/>
  <c r="U91" i="7"/>
  <c r="V91" i="7"/>
  <c r="AH91" i="7"/>
  <c r="AI91" i="7"/>
  <c r="AJ91" i="7"/>
  <c r="AK91" i="7"/>
  <c r="AL91" i="7"/>
  <c r="AT91" i="7"/>
  <c r="J92" i="7"/>
  <c r="K92" i="7"/>
  <c r="L92" i="7"/>
  <c r="M92" i="7"/>
  <c r="N92" i="7"/>
  <c r="O92" i="7"/>
  <c r="P92" i="7"/>
  <c r="Q92" i="7"/>
  <c r="R92" i="7"/>
  <c r="S92" i="7"/>
  <c r="T92" i="7"/>
  <c r="U92" i="7"/>
  <c r="V92" i="7"/>
  <c r="AH92" i="7"/>
  <c r="AI92" i="7"/>
  <c r="AJ92" i="7"/>
  <c r="AK92" i="7"/>
  <c r="AL92" i="7"/>
  <c r="AT92" i="7"/>
  <c r="J93" i="7"/>
  <c r="K93" i="7"/>
  <c r="L93" i="7"/>
  <c r="M93" i="7"/>
  <c r="N93" i="7"/>
  <c r="O93" i="7"/>
  <c r="P93" i="7"/>
  <c r="Q93" i="7"/>
  <c r="R93" i="7"/>
  <c r="S93" i="7"/>
  <c r="T93" i="7"/>
  <c r="U93" i="7"/>
  <c r="V93" i="7"/>
  <c r="AH93" i="7"/>
  <c r="AI93" i="7"/>
  <c r="AJ93" i="7"/>
  <c r="AK93" i="7"/>
  <c r="AL93" i="7"/>
  <c r="AT93" i="7"/>
  <c r="J94" i="7"/>
  <c r="K94" i="7"/>
  <c r="L94" i="7"/>
  <c r="M94" i="7"/>
  <c r="N94" i="7"/>
  <c r="O94" i="7"/>
  <c r="P94" i="7"/>
  <c r="Q94" i="7"/>
  <c r="R94" i="7"/>
  <c r="S94" i="7"/>
  <c r="T94" i="7"/>
  <c r="U94" i="7"/>
  <c r="V94" i="7"/>
  <c r="AH94" i="7"/>
  <c r="AI94" i="7"/>
  <c r="AJ94" i="7"/>
  <c r="AK94" i="7"/>
  <c r="AL94" i="7"/>
  <c r="AT94" i="7"/>
  <c r="J95" i="7"/>
  <c r="K95" i="7"/>
  <c r="L95" i="7"/>
  <c r="M95" i="7"/>
  <c r="N95" i="7"/>
  <c r="O95" i="7"/>
  <c r="P95" i="7"/>
  <c r="Q95" i="7"/>
  <c r="R95" i="7"/>
  <c r="S95" i="7"/>
  <c r="T95" i="7"/>
  <c r="U95" i="7"/>
  <c r="V95" i="7"/>
  <c r="AH95" i="7"/>
  <c r="AI95" i="7"/>
  <c r="AJ95" i="7"/>
  <c r="AK95" i="7"/>
  <c r="AL95" i="7"/>
  <c r="AT95" i="7"/>
  <c r="J96" i="7"/>
  <c r="K96" i="7"/>
  <c r="L96" i="7"/>
  <c r="M96" i="7"/>
  <c r="N96" i="7"/>
  <c r="O96" i="7"/>
  <c r="P96" i="7"/>
  <c r="Q96" i="7"/>
  <c r="R96" i="7"/>
  <c r="S96" i="7"/>
  <c r="T96" i="7"/>
  <c r="U96" i="7"/>
  <c r="V96" i="7"/>
  <c r="AH96" i="7"/>
  <c r="AI96" i="7"/>
  <c r="AJ96" i="7"/>
  <c r="AK96" i="7"/>
  <c r="AL96" i="7"/>
  <c r="AT96" i="7"/>
  <c r="J97" i="7"/>
  <c r="K97" i="7"/>
  <c r="L97" i="7"/>
  <c r="M97" i="7"/>
  <c r="N97" i="7"/>
  <c r="O97" i="7"/>
  <c r="P97" i="7"/>
  <c r="Q97" i="7"/>
  <c r="R97" i="7"/>
  <c r="S97" i="7"/>
  <c r="T97" i="7"/>
  <c r="U97" i="7"/>
  <c r="V97" i="7"/>
  <c r="AH97" i="7"/>
  <c r="AI97" i="7"/>
  <c r="AJ97" i="7"/>
  <c r="AK97" i="7"/>
  <c r="AL97" i="7"/>
  <c r="AT97" i="7"/>
  <c r="J98" i="7"/>
  <c r="K98" i="7"/>
  <c r="L98" i="7"/>
  <c r="M98" i="7"/>
  <c r="N98" i="7"/>
  <c r="O98" i="7"/>
  <c r="P98" i="7"/>
  <c r="Q98" i="7"/>
  <c r="R98" i="7"/>
  <c r="S98" i="7"/>
  <c r="T98" i="7"/>
  <c r="U98" i="7"/>
  <c r="V98" i="7"/>
  <c r="AH98" i="7"/>
  <c r="AI98" i="7"/>
  <c r="AJ98" i="7"/>
  <c r="AK98" i="7"/>
  <c r="AL98" i="7"/>
  <c r="AT98" i="7"/>
  <c r="J99" i="7"/>
  <c r="K99" i="7"/>
  <c r="L99" i="7"/>
  <c r="M99" i="7"/>
  <c r="N99" i="7"/>
  <c r="O99" i="7"/>
  <c r="P99" i="7"/>
  <c r="Q99" i="7"/>
  <c r="R99" i="7"/>
  <c r="S99" i="7"/>
  <c r="T99" i="7"/>
  <c r="U99" i="7"/>
  <c r="V99" i="7"/>
  <c r="AH99" i="7"/>
  <c r="AI99" i="7"/>
  <c r="AJ99" i="7"/>
  <c r="AK99" i="7"/>
  <c r="AL99" i="7"/>
  <c r="AT99" i="7"/>
  <c r="J100" i="7"/>
  <c r="K100" i="7"/>
  <c r="L100" i="7"/>
  <c r="M100" i="7"/>
  <c r="N100" i="7"/>
  <c r="O100" i="7"/>
  <c r="P100" i="7"/>
  <c r="Q100" i="7"/>
  <c r="R100" i="7"/>
  <c r="S100" i="7"/>
  <c r="T100" i="7"/>
  <c r="U100" i="7"/>
  <c r="V100" i="7"/>
  <c r="AH100" i="7"/>
  <c r="AI100" i="7"/>
  <c r="AJ100" i="7"/>
  <c r="AK100" i="7"/>
  <c r="AL100" i="7"/>
  <c r="AT100" i="7"/>
  <c r="J101" i="7"/>
  <c r="K101" i="7"/>
  <c r="L101" i="7"/>
  <c r="M101" i="7"/>
  <c r="N101" i="7"/>
  <c r="O101" i="7"/>
  <c r="P101" i="7"/>
  <c r="Q101" i="7"/>
  <c r="R101" i="7"/>
  <c r="S101" i="7"/>
  <c r="T101" i="7"/>
  <c r="U101" i="7"/>
  <c r="V101" i="7"/>
  <c r="AH101" i="7"/>
  <c r="AI101" i="7"/>
  <c r="AJ101" i="7"/>
  <c r="AK101" i="7"/>
  <c r="AL101" i="7"/>
  <c r="AT101" i="7"/>
  <c r="J102" i="7"/>
  <c r="K102" i="7"/>
  <c r="L102" i="7"/>
  <c r="M102" i="7"/>
  <c r="N102" i="7"/>
  <c r="O102" i="7"/>
  <c r="P102" i="7"/>
  <c r="Q102" i="7"/>
  <c r="R102" i="7"/>
  <c r="S102" i="7"/>
  <c r="T102" i="7"/>
  <c r="U102" i="7"/>
  <c r="V102" i="7"/>
  <c r="AH102" i="7"/>
  <c r="AI102" i="7"/>
  <c r="AJ102" i="7"/>
  <c r="AK102" i="7"/>
  <c r="AL102" i="7"/>
  <c r="AT102" i="7"/>
  <c r="J103" i="7"/>
  <c r="K103" i="7"/>
  <c r="L103" i="7"/>
  <c r="M103" i="7"/>
  <c r="N103" i="7"/>
  <c r="O103" i="7"/>
  <c r="P103" i="7"/>
  <c r="Q103" i="7"/>
  <c r="R103" i="7"/>
  <c r="S103" i="7"/>
  <c r="T103" i="7"/>
  <c r="U103" i="7"/>
  <c r="V103" i="7"/>
  <c r="AH103" i="7"/>
  <c r="AI103" i="7"/>
  <c r="AJ103" i="7"/>
  <c r="AK103" i="7"/>
  <c r="AL103" i="7"/>
  <c r="AT103" i="7"/>
  <c r="J104" i="7"/>
  <c r="K104" i="7"/>
  <c r="L104" i="7"/>
  <c r="M104" i="7"/>
  <c r="N104" i="7"/>
  <c r="O104" i="7"/>
  <c r="P104" i="7"/>
  <c r="Q104" i="7"/>
  <c r="R104" i="7"/>
  <c r="S104" i="7"/>
  <c r="T104" i="7"/>
  <c r="U104" i="7"/>
  <c r="V104" i="7"/>
  <c r="AH104" i="7"/>
  <c r="AI104" i="7"/>
  <c r="AJ104" i="7"/>
  <c r="AK104" i="7"/>
  <c r="AL104" i="7"/>
  <c r="AT104" i="7"/>
  <c r="J105" i="7"/>
  <c r="K105" i="7"/>
  <c r="L105" i="7"/>
  <c r="M105" i="7"/>
  <c r="N105" i="7"/>
  <c r="O105" i="7"/>
  <c r="P105" i="7"/>
  <c r="Q105" i="7"/>
  <c r="R105" i="7"/>
  <c r="S105" i="7"/>
  <c r="T105" i="7"/>
  <c r="U105" i="7"/>
  <c r="V105" i="7"/>
  <c r="Y105" i="7"/>
  <c r="AH105" i="7"/>
  <c r="AI105" i="7"/>
  <c r="AJ105" i="7"/>
  <c r="AK105" i="7"/>
  <c r="AL105" i="7"/>
  <c r="AT105" i="7"/>
  <c r="J106" i="7"/>
  <c r="K106" i="7"/>
  <c r="L106" i="7"/>
  <c r="M106" i="7"/>
  <c r="N106" i="7"/>
  <c r="O106" i="7"/>
  <c r="P106" i="7"/>
  <c r="Q106" i="7"/>
  <c r="R106" i="7"/>
  <c r="S106" i="7"/>
  <c r="T106" i="7"/>
  <c r="U106" i="7"/>
  <c r="V106" i="7"/>
  <c r="Y106" i="7"/>
  <c r="AH106" i="7"/>
  <c r="AI106" i="7"/>
  <c r="AJ106" i="7"/>
  <c r="AK106" i="7"/>
  <c r="AL106" i="7"/>
  <c r="AT106" i="7"/>
  <c r="J107" i="7"/>
  <c r="K107" i="7"/>
  <c r="L107" i="7"/>
  <c r="M107" i="7"/>
  <c r="N107" i="7"/>
  <c r="O107" i="7"/>
  <c r="P107" i="7"/>
  <c r="Q107" i="7"/>
  <c r="R107" i="7"/>
  <c r="S107" i="7"/>
  <c r="T107" i="7"/>
  <c r="U107" i="7"/>
  <c r="V107" i="7"/>
  <c r="AH107" i="7"/>
  <c r="AI107" i="7"/>
  <c r="AJ107" i="7"/>
  <c r="AK107" i="7"/>
  <c r="AL107" i="7"/>
  <c r="AT107" i="7"/>
  <c r="J108" i="7"/>
  <c r="K108" i="7"/>
  <c r="L108" i="7"/>
  <c r="M108" i="7"/>
  <c r="N108" i="7"/>
  <c r="O108" i="7"/>
  <c r="P108" i="7"/>
  <c r="Q108" i="7"/>
  <c r="R108" i="7"/>
  <c r="S108" i="7"/>
  <c r="T108" i="7"/>
  <c r="U108" i="7"/>
  <c r="V108" i="7"/>
  <c r="AH108" i="7"/>
  <c r="AI108" i="7"/>
  <c r="AJ108" i="7"/>
  <c r="AK108" i="7"/>
  <c r="AL108" i="7"/>
  <c r="AT108" i="7"/>
  <c r="J109" i="7"/>
  <c r="K109" i="7"/>
  <c r="L109" i="7"/>
  <c r="M109" i="7"/>
  <c r="N109" i="7"/>
  <c r="O109" i="7"/>
  <c r="P109" i="7"/>
  <c r="Q109" i="7"/>
  <c r="R109" i="7"/>
  <c r="S109" i="7"/>
  <c r="T109" i="7"/>
  <c r="U109" i="7"/>
  <c r="V109" i="7"/>
  <c r="AH109" i="7"/>
  <c r="AI109" i="7"/>
  <c r="AJ109" i="7"/>
  <c r="AK109" i="7"/>
  <c r="AL109" i="7"/>
  <c r="AT109" i="7"/>
  <c r="J110" i="7"/>
  <c r="K110" i="7"/>
  <c r="L110" i="7"/>
  <c r="M110" i="7"/>
  <c r="N110" i="7"/>
  <c r="O110" i="7"/>
  <c r="P110" i="7"/>
  <c r="Q110" i="7"/>
  <c r="R110" i="7"/>
  <c r="S110" i="7"/>
  <c r="T110" i="7"/>
  <c r="U110" i="7"/>
  <c r="V110" i="7"/>
  <c r="AH110" i="7"/>
  <c r="AI110" i="7"/>
  <c r="AJ110" i="7"/>
  <c r="AK110" i="7"/>
  <c r="AL110" i="7"/>
  <c r="AT110" i="7"/>
  <c r="J111" i="7"/>
  <c r="K111" i="7"/>
  <c r="L111" i="7"/>
  <c r="M111" i="7"/>
  <c r="N111" i="7"/>
  <c r="O111" i="7"/>
  <c r="P111" i="7"/>
  <c r="Q111" i="7"/>
  <c r="R111" i="7"/>
  <c r="S111" i="7"/>
  <c r="T111" i="7"/>
  <c r="U111" i="7"/>
  <c r="V111" i="7"/>
  <c r="AH111" i="7"/>
  <c r="AI111" i="7"/>
  <c r="AJ111" i="7"/>
  <c r="AK111" i="7"/>
  <c r="AL111" i="7"/>
  <c r="AT111" i="7"/>
  <c r="I112" i="7"/>
  <c r="J112" i="7"/>
  <c r="K112" i="7"/>
  <c r="L112" i="7"/>
  <c r="M112" i="7"/>
  <c r="N112" i="7"/>
  <c r="O112" i="7"/>
  <c r="P112" i="7"/>
  <c r="Q112" i="7"/>
  <c r="R112" i="7"/>
  <c r="S112" i="7"/>
  <c r="T112" i="7"/>
  <c r="U112" i="7"/>
  <c r="V112" i="7"/>
  <c r="AH112" i="7"/>
  <c r="AI112" i="7"/>
  <c r="AJ112" i="7"/>
  <c r="AK112" i="7"/>
  <c r="AL112" i="7"/>
  <c r="AT112" i="7"/>
  <c r="I113" i="7"/>
  <c r="J113" i="7"/>
  <c r="K113" i="7"/>
  <c r="L113" i="7"/>
  <c r="M113" i="7"/>
  <c r="N113" i="7"/>
  <c r="O113" i="7"/>
  <c r="P113" i="7"/>
  <c r="Q113" i="7"/>
  <c r="R113" i="7"/>
  <c r="S113" i="7"/>
  <c r="T113" i="7"/>
  <c r="U113" i="7"/>
  <c r="V113" i="7"/>
  <c r="AH113" i="7"/>
  <c r="AI113" i="7"/>
  <c r="AJ113" i="7"/>
  <c r="AK113" i="7"/>
  <c r="AL113" i="7"/>
  <c r="AT113" i="7"/>
  <c r="I114" i="7"/>
  <c r="J114" i="7"/>
  <c r="K114" i="7"/>
  <c r="L114" i="7"/>
  <c r="M114" i="7"/>
  <c r="N114" i="7"/>
  <c r="O114" i="7"/>
  <c r="P114" i="7"/>
  <c r="Q114" i="7"/>
  <c r="R114" i="7"/>
  <c r="S114" i="7"/>
  <c r="T114" i="7"/>
  <c r="U114" i="7"/>
  <c r="V114" i="7"/>
  <c r="AH114" i="7"/>
  <c r="AI114" i="7"/>
  <c r="AJ114" i="7"/>
  <c r="AK114" i="7"/>
  <c r="AL114" i="7"/>
  <c r="AT114" i="7"/>
  <c r="J115" i="7"/>
  <c r="K115" i="7"/>
  <c r="L115" i="7"/>
  <c r="M115" i="7"/>
  <c r="N115" i="7"/>
  <c r="O115" i="7"/>
  <c r="P115" i="7"/>
  <c r="Q115" i="7"/>
  <c r="R115" i="7"/>
  <c r="S115" i="7"/>
  <c r="T115" i="7"/>
  <c r="U115" i="7"/>
  <c r="V115" i="7"/>
  <c r="AH115" i="7"/>
  <c r="AI115" i="7"/>
  <c r="AJ115" i="7"/>
  <c r="AK115" i="7"/>
  <c r="AL115" i="7"/>
  <c r="AT115" i="7"/>
  <c r="J116" i="7"/>
  <c r="K116" i="7"/>
  <c r="L116" i="7"/>
  <c r="M116" i="7"/>
  <c r="N116" i="7"/>
  <c r="O116" i="7"/>
  <c r="P116" i="7"/>
  <c r="Q116" i="7"/>
  <c r="R116" i="7"/>
  <c r="S116" i="7"/>
  <c r="T116" i="7"/>
  <c r="U116" i="7"/>
  <c r="V116" i="7"/>
  <c r="AH116" i="7"/>
  <c r="AI116" i="7"/>
  <c r="AJ116" i="7"/>
  <c r="AK116" i="7"/>
  <c r="AL116" i="7"/>
  <c r="AT116" i="7"/>
  <c r="J117" i="7"/>
  <c r="K117" i="7"/>
  <c r="L117" i="7"/>
  <c r="M117" i="7"/>
  <c r="N117" i="7"/>
  <c r="O117" i="7"/>
  <c r="P117" i="7"/>
  <c r="Q117" i="7"/>
  <c r="R117" i="7"/>
  <c r="S117" i="7"/>
  <c r="T117" i="7"/>
  <c r="U117" i="7"/>
  <c r="V117" i="7"/>
  <c r="AH117" i="7"/>
  <c r="AI117" i="7"/>
  <c r="AJ117" i="7"/>
  <c r="AK117" i="7"/>
  <c r="AL117" i="7"/>
  <c r="AT117" i="7"/>
  <c r="J118" i="7"/>
  <c r="K118" i="7"/>
  <c r="L118" i="7"/>
  <c r="M118" i="7"/>
  <c r="N118" i="7"/>
  <c r="O118" i="7"/>
  <c r="P118" i="7"/>
  <c r="Q118" i="7"/>
  <c r="R118" i="7"/>
  <c r="S118" i="7"/>
  <c r="T118" i="7"/>
  <c r="U118" i="7"/>
  <c r="V118" i="7"/>
  <c r="AH118" i="7"/>
  <c r="AI118" i="7"/>
  <c r="AJ118" i="7"/>
  <c r="AK118" i="7"/>
  <c r="AL118" i="7"/>
  <c r="AT118" i="7"/>
  <c r="J119" i="7"/>
  <c r="K119" i="7"/>
  <c r="L119" i="7"/>
  <c r="M119" i="7"/>
  <c r="N119" i="7"/>
  <c r="O119" i="7"/>
  <c r="P119" i="7"/>
  <c r="Q119" i="7"/>
  <c r="R119" i="7"/>
  <c r="S119" i="7"/>
  <c r="T119" i="7"/>
  <c r="U119" i="7"/>
  <c r="V119" i="7"/>
  <c r="AH119" i="7"/>
  <c r="AI119" i="7"/>
  <c r="AJ119" i="7"/>
  <c r="AK119" i="7"/>
  <c r="AL119" i="7"/>
  <c r="AT119" i="7"/>
  <c r="J120" i="7"/>
  <c r="K120" i="7"/>
  <c r="L120" i="7"/>
  <c r="M120" i="7"/>
  <c r="N120" i="7"/>
  <c r="O120" i="7"/>
  <c r="P120" i="7"/>
  <c r="Q120" i="7"/>
  <c r="R120" i="7"/>
  <c r="S120" i="7"/>
  <c r="T120" i="7"/>
  <c r="U120" i="7"/>
  <c r="V120" i="7"/>
  <c r="AH120" i="7"/>
  <c r="AI120" i="7"/>
  <c r="AJ120" i="7"/>
  <c r="AK120" i="7"/>
  <c r="AL120" i="7"/>
  <c r="AT120" i="7"/>
  <c r="J121" i="7"/>
  <c r="K121" i="7"/>
  <c r="L121" i="7"/>
  <c r="M121" i="7"/>
  <c r="N121" i="7"/>
  <c r="O121" i="7"/>
  <c r="P121" i="7"/>
  <c r="Q121" i="7"/>
  <c r="R121" i="7"/>
  <c r="S121" i="7"/>
  <c r="T121" i="7"/>
  <c r="U121" i="7"/>
  <c r="V121" i="7"/>
  <c r="AH121" i="7"/>
  <c r="AI121" i="7"/>
  <c r="AJ121" i="7"/>
  <c r="AK121" i="7"/>
  <c r="AL121" i="7"/>
  <c r="AT121" i="7"/>
  <c r="J122" i="7"/>
  <c r="K122" i="7"/>
  <c r="L122" i="7"/>
  <c r="M122" i="7"/>
  <c r="N122" i="7"/>
  <c r="O122" i="7"/>
  <c r="P122" i="7"/>
  <c r="Q122" i="7"/>
  <c r="R122" i="7"/>
  <c r="S122" i="7"/>
  <c r="T122" i="7"/>
  <c r="U122" i="7"/>
  <c r="V122" i="7"/>
  <c r="AH122" i="7"/>
  <c r="AI122" i="7"/>
  <c r="AJ122" i="7"/>
  <c r="AK122" i="7"/>
  <c r="AL122" i="7"/>
  <c r="AT122" i="7"/>
  <c r="J123" i="7"/>
  <c r="K123" i="7"/>
  <c r="L123" i="7"/>
  <c r="M123" i="7"/>
  <c r="N123" i="7"/>
  <c r="O123" i="7"/>
  <c r="P123" i="7"/>
  <c r="Q123" i="7"/>
  <c r="R123" i="7"/>
  <c r="S123" i="7"/>
  <c r="T123" i="7"/>
  <c r="U123" i="7"/>
  <c r="V123" i="7"/>
  <c r="AH123" i="7"/>
  <c r="AI123" i="7"/>
  <c r="AJ123" i="7"/>
  <c r="AK123" i="7"/>
  <c r="AL123" i="7"/>
  <c r="AT123" i="7"/>
  <c r="J124" i="7"/>
  <c r="K124" i="7"/>
  <c r="L124" i="7"/>
  <c r="M124" i="7"/>
  <c r="N124" i="7"/>
  <c r="O124" i="7"/>
  <c r="P124" i="7"/>
  <c r="Q124" i="7"/>
  <c r="R124" i="7"/>
  <c r="S124" i="7"/>
  <c r="T124" i="7"/>
  <c r="U124" i="7"/>
  <c r="V124" i="7"/>
  <c r="AH124" i="7"/>
  <c r="AI124" i="7"/>
  <c r="AJ124" i="7"/>
  <c r="AK124" i="7"/>
  <c r="AL124" i="7"/>
  <c r="AT124" i="7"/>
  <c r="J125" i="7"/>
  <c r="K125" i="7"/>
  <c r="L125" i="7"/>
  <c r="M125" i="7"/>
  <c r="N125" i="7"/>
  <c r="O125" i="7"/>
  <c r="P125" i="7"/>
  <c r="Q125" i="7"/>
  <c r="R125" i="7"/>
  <c r="S125" i="7"/>
  <c r="T125" i="7"/>
  <c r="U125" i="7"/>
  <c r="V125" i="7"/>
  <c r="AH125" i="7"/>
  <c r="AI125" i="7"/>
  <c r="AJ125" i="7"/>
  <c r="AK125" i="7"/>
  <c r="AL125" i="7"/>
  <c r="AT125" i="7"/>
  <c r="J126" i="7"/>
  <c r="K126" i="7"/>
  <c r="L126" i="7"/>
  <c r="M126" i="7"/>
  <c r="N126" i="7"/>
  <c r="O126" i="7"/>
  <c r="P126" i="7"/>
  <c r="Q126" i="7"/>
  <c r="R126" i="7"/>
  <c r="S126" i="7"/>
  <c r="T126" i="7"/>
  <c r="U126" i="7"/>
  <c r="V126" i="7"/>
  <c r="AH126" i="7"/>
  <c r="AI126" i="7"/>
  <c r="AJ126" i="7"/>
  <c r="AK126" i="7"/>
  <c r="AL126" i="7"/>
  <c r="AT126" i="7"/>
  <c r="J127" i="7"/>
  <c r="K127" i="7"/>
  <c r="L127" i="7"/>
  <c r="M127" i="7"/>
  <c r="N127" i="7"/>
  <c r="O127" i="7"/>
  <c r="P127" i="7"/>
  <c r="Q127" i="7"/>
  <c r="R127" i="7"/>
  <c r="S127" i="7"/>
  <c r="T127" i="7"/>
  <c r="U127" i="7"/>
  <c r="V127" i="7"/>
  <c r="AH127" i="7"/>
  <c r="AI127" i="7"/>
  <c r="AJ127" i="7"/>
  <c r="AK127" i="7"/>
  <c r="AL127" i="7"/>
  <c r="AT127" i="7"/>
  <c r="J128" i="7"/>
  <c r="K128" i="7"/>
  <c r="L128" i="7"/>
  <c r="M128" i="7"/>
  <c r="N128" i="7"/>
  <c r="O128" i="7"/>
  <c r="P128" i="7"/>
  <c r="Q128" i="7"/>
  <c r="R128" i="7"/>
  <c r="S128" i="7"/>
  <c r="T128" i="7"/>
  <c r="U128" i="7"/>
  <c r="V128" i="7"/>
  <c r="AH128" i="7"/>
  <c r="AI128" i="7"/>
  <c r="AJ128" i="7"/>
  <c r="AK128" i="7"/>
  <c r="AL128" i="7"/>
  <c r="AT128" i="7"/>
  <c r="J129" i="7"/>
  <c r="K129" i="7"/>
  <c r="L129" i="7"/>
  <c r="M129" i="7"/>
  <c r="N129" i="7"/>
  <c r="O129" i="7"/>
  <c r="P129" i="7"/>
  <c r="Q129" i="7"/>
  <c r="R129" i="7"/>
  <c r="S129" i="7"/>
  <c r="T129" i="7"/>
  <c r="U129" i="7"/>
  <c r="V129" i="7"/>
  <c r="AH129" i="7"/>
  <c r="AI129" i="7"/>
  <c r="AJ129" i="7"/>
  <c r="AK129" i="7"/>
  <c r="AL129" i="7"/>
  <c r="AT129" i="7"/>
  <c r="J130" i="7"/>
  <c r="K130" i="7"/>
  <c r="L130" i="7"/>
  <c r="M130" i="7"/>
  <c r="N130" i="7"/>
  <c r="O130" i="7"/>
  <c r="P130" i="7"/>
  <c r="Q130" i="7"/>
  <c r="R130" i="7"/>
  <c r="S130" i="7"/>
  <c r="T130" i="7"/>
  <c r="U130" i="7"/>
  <c r="V130" i="7"/>
  <c r="AH130" i="7"/>
  <c r="AI130" i="7"/>
  <c r="AJ130" i="7"/>
  <c r="AK130" i="7"/>
  <c r="AL130" i="7"/>
  <c r="AT130" i="7"/>
  <c r="J131" i="7"/>
  <c r="K131" i="7"/>
  <c r="L131" i="7"/>
  <c r="M131" i="7"/>
  <c r="N131" i="7"/>
  <c r="O131" i="7"/>
  <c r="P131" i="7"/>
  <c r="Q131" i="7"/>
  <c r="R131" i="7"/>
  <c r="S131" i="7"/>
  <c r="T131" i="7"/>
  <c r="U131" i="7"/>
  <c r="V131" i="7"/>
  <c r="AH131" i="7"/>
  <c r="AI131" i="7"/>
  <c r="AJ131" i="7"/>
  <c r="AK131" i="7"/>
  <c r="AL131" i="7"/>
  <c r="AT131" i="7"/>
  <c r="J132" i="7"/>
  <c r="K132" i="7"/>
  <c r="L132" i="7"/>
  <c r="M132" i="7"/>
  <c r="N132" i="7"/>
  <c r="O132" i="7"/>
  <c r="P132" i="7"/>
  <c r="Q132" i="7"/>
  <c r="R132" i="7"/>
  <c r="S132" i="7"/>
  <c r="T132" i="7"/>
  <c r="U132" i="7"/>
  <c r="V132" i="7"/>
  <c r="AH132" i="7"/>
  <c r="AI132" i="7"/>
  <c r="AJ132" i="7"/>
  <c r="AK132" i="7"/>
  <c r="AL132" i="7"/>
  <c r="AT132" i="7"/>
  <c r="J133" i="7"/>
  <c r="K133" i="7"/>
  <c r="L133" i="7"/>
  <c r="M133" i="7"/>
  <c r="N133" i="7"/>
  <c r="O133" i="7"/>
  <c r="P133" i="7"/>
  <c r="Q133" i="7"/>
  <c r="R133" i="7"/>
  <c r="S133" i="7"/>
  <c r="T133" i="7"/>
  <c r="U133" i="7"/>
  <c r="V133" i="7"/>
  <c r="AH133" i="7"/>
  <c r="AI133" i="7"/>
  <c r="AJ133" i="7"/>
  <c r="AK133" i="7"/>
  <c r="AL133" i="7"/>
  <c r="AT133" i="7"/>
  <c r="J134" i="7"/>
  <c r="K134" i="7"/>
  <c r="L134" i="7"/>
  <c r="M134" i="7"/>
  <c r="N134" i="7"/>
  <c r="O134" i="7"/>
  <c r="P134" i="7"/>
  <c r="Q134" i="7"/>
  <c r="R134" i="7"/>
  <c r="S134" i="7"/>
  <c r="T134" i="7"/>
  <c r="U134" i="7"/>
  <c r="V134" i="7"/>
  <c r="AH134" i="7"/>
  <c r="AI134" i="7"/>
  <c r="AJ134" i="7"/>
  <c r="AK134" i="7"/>
  <c r="AL134" i="7"/>
  <c r="AT134" i="7"/>
  <c r="J135" i="7"/>
  <c r="K135" i="7"/>
  <c r="L135" i="7"/>
  <c r="M135" i="7"/>
  <c r="N135" i="7"/>
  <c r="O135" i="7"/>
  <c r="P135" i="7"/>
  <c r="Q135" i="7"/>
  <c r="R135" i="7"/>
  <c r="S135" i="7"/>
  <c r="T135" i="7"/>
  <c r="U135" i="7"/>
  <c r="V135" i="7"/>
  <c r="AH135" i="7"/>
  <c r="AI135" i="7"/>
  <c r="AJ135" i="7"/>
  <c r="AK135" i="7"/>
  <c r="AL135" i="7"/>
  <c r="AT135" i="7"/>
  <c r="J136" i="7"/>
  <c r="K136" i="7"/>
  <c r="L136" i="7"/>
  <c r="M136" i="7"/>
  <c r="N136" i="7"/>
  <c r="O136" i="7"/>
  <c r="P136" i="7"/>
  <c r="Q136" i="7"/>
  <c r="R136" i="7"/>
  <c r="S136" i="7"/>
  <c r="T136" i="7"/>
  <c r="U136" i="7"/>
  <c r="V136" i="7"/>
  <c r="AH136" i="7"/>
  <c r="AI136" i="7"/>
  <c r="AJ136" i="7"/>
  <c r="AK136" i="7"/>
  <c r="AL136" i="7"/>
  <c r="AT136" i="7"/>
  <c r="J137" i="7"/>
  <c r="K137" i="7"/>
  <c r="L137" i="7"/>
  <c r="M137" i="7"/>
  <c r="N137" i="7"/>
  <c r="O137" i="7"/>
  <c r="P137" i="7"/>
  <c r="Q137" i="7"/>
  <c r="R137" i="7"/>
  <c r="S137" i="7"/>
  <c r="T137" i="7"/>
  <c r="U137" i="7"/>
  <c r="V137" i="7"/>
  <c r="AH137" i="7"/>
  <c r="AI137" i="7"/>
  <c r="AJ137" i="7"/>
  <c r="AK137" i="7"/>
  <c r="AL137" i="7"/>
  <c r="AT137" i="7"/>
  <c r="J138" i="7"/>
  <c r="K138" i="7"/>
  <c r="L138" i="7"/>
  <c r="M138" i="7"/>
  <c r="N138" i="7"/>
  <c r="O138" i="7"/>
  <c r="P138" i="7"/>
  <c r="Q138" i="7"/>
  <c r="R138" i="7"/>
  <c r="S138" i="7"/>
  <c r="T138" i="7"/>
  <c r="U138" i="7"/>
  <c r="V138" i="7"/>
  <c r="AH138" i="7"/>
  <c r="AI138" i="7"/>
  <c r="AJ138" i="7"/>
  <c r="AK138" i="7"/>
  <c r="AL138" i="7"/>
  <c r="AT138" i="7"/>
  <c r="J139" i="7"/>
  <c r="K139" i="7"/>
  <c r="L139" i="7"/>
  <c r="M139" i="7"/>
  <c r="N139" i="7"/>
  <c r="O139" i="7"/>
  <c r="P139" i="7"/>
  <c r="Q139" i="7"/>
  <c r="R139" i="7"/>
  <c r="S139" i="7"/>
  <c r="T139" i="7"/>
  <c r="U139" i="7"/>
  <c r="V139" i="7"/>
  <c r="AH139" i="7"/>
  <c r="AI139" i="7"/>
  <c r="AJ139" i="7"/>
  <c r="AK139" i="7"/>
  <c r="AL139" i="7"/>
  <c r="AT139" i="7"/>
  <c r="J140" i="7"/>
  <c r="K140" i="7"/>
  <c r="L140" i="7"/>
  <c r="M140" i="7"/>
  <c r="N140" i="7"/>
  <c r="O140" i="7"/>
  <c r="P140" i="7"/>
  <c r="Q140" i="7"/>
  <c r="R140" i="7"/>
  <c r="S140" i="7"/>
  <c r="T140" i="7"/>
  <c r="U140" i="7"/>
  <c r="V140" i="7"/>
  <c r="AH140" i="7"/>
  <c r="AI140" i="7"/>
  <c r="AJ140" i="7"/>
  <c r="AK140" i="7"/>
  <c r="AL140" i="7"/>
  <c r="AT140" i="7"/>
  <c r="J141" i="7"/>
  <c r="K141" i="7"/>
  <c r="L141" i="7"/>
  <c r="M141" i="7"/>
  <c r="N141" i="7"/>
  <c r="O141" i="7"/>
  <c r="P141" i="7"/>
  <c r="Q141" i="7"/>
  <c r="R141" i="7"/>
  <c r="S141" i="7"/>
  <c r="T141" i="7"/>
  <c r="U141" i="7"/>
  <c r="V141" i="7"/>
  <c r="AC141" i="7"/>
  <c r="AH141" i="7"/>
  <c r="AI141" i="7"/>
  <c r="AJ141" i="7"/>
  <c r="AK141" i="7"/>
  <c r="AL141" i="7"/>
  <c r="AT141" i="7"/>
  <c r="J142" i="7"/>
  <c r="K142" i="7"/>
  <c r="L142" i="7"/>
  <c r="M142" i="7"/>
  <c r="N142" i="7"/>
  <c r="O142" i="7"/>
  <c r="P142" i="7"/>
  <c r="Q142" i="7"/>
  <c r="R142" i="7"/>
  <c r="S142" i="7"/>
  <c r="T142" i="7"/>
  <c r="U142" i="7"/>
  <c r="V142" i="7"/>
  <c r="AH142" i="7"/>
  <c r="AI142" i="7"/>
  <c r="AJ142" i="7"/>
  <c r="AK142" i="7"/>
  <c r="AL142" i="7"/>
  <c r="AT142" i="7"/>
  <c r="J143" i="7"/>
  <c r="K143" i="7"/>
  <c r="L143" i="7"/>
  <c r="M143" i="7"/>
  <c r="N143" i="7"/>
  <c r="O143" i="7"/>
  <c r="P143" i="7"/>
  <c r="Q143" i="7"/>
  <c r="R143" i="7"/>
  <c r="S143" i="7"/>
  <c r="T143" i="7"/>
  <c r="U143" i="7"/>
  <c r="V143" i="7"/>
  <c r="AH143" i="7"/>
  <c r="AI143" i="7"/>
  <c r="AJ143" i="7"/>
  <c r="AK143" i="7"/>
  <c r="AL143" i="7"/>
  <c r="AT143" i="7"/>
  <c r="J144" i="7"/>
  <c r="K144" i="7"/>
  <c r="L144" i="7"/>
  <c r="M144" i="7"/>
  <c r="N144" i="7"/>
  <c r="O144" i="7"/>
  <c r="P144" i="7"/>
  <c r="Q144" i="7"/>
  <c r="R144" i="7"/>
  <c r="S144" i="7"/>
  <c r="T144" i="7"/>
  <c r="U144" i="7"/>
  <c r="V144" i="7"/>
  <c r="AH144" i="7"/>
  <c r="AI144" i="7"/>
  <c r="AJ144" i="7"/>
  <c r="AK144" i="7"/>
  <c r="AL144" i="7"/>
  <c r="AT144" i="7"/>
  <c r="J145" i="7"/>
  <c r="K145" i="7"/>
  <c r="L145" i="7"/>
  <c r="M145" i="7"/>
  <c r="N145" i="7"/>
  <c r="O145" i="7"/>
  <c r="P145" i="7"/>
  <c r="Q145" i="7"/>
  <c r="R145" i="7"/>
  <c r="S145" i="7"/>
  <c r="T145" i="7"/>
  <c r="U145" i="7"/>
  <c r="V145" i="7"/>
  <c r="AH145" i="7"/>
  <c r="AI145" i="7"/>
  <c r="AJ145" i="7"/>
  <c r="AK145" i="7"/>
  <c r="AL145" i="7"/>
  <c r="AT145" i="7"/>
  <c r="J146" i="7"/>
  <c r="K146" i="7"/>
  <c r="L146" i="7"/>
  <c r="M146" i="7"/>
  <c r="N146" i="7"/>
  <c r="O146" i="7"/>
  <c r="P146" i="7"/>
  <c r="Q146" i="7"/>
  <c r="R146" i="7"/>
  <c r="S146" i="7"/>
  <c r="T146" i="7"/>
  <c r="U146" i="7"/>
  <c r="V146" i="7"/>
  <c r="AH146" i="7"/>
  <c r="AI146" i="7"/>
  <c r="AJ146" i="7"/>
  <c r="AK146" i="7"/>
  <c r="AL146" i="7"/>
  <c r="J147" i="7"/>
  <c r="K147" i="7"/>
  <c r="L147" i="7"/>
  <c r="M147" i="7"/>
  <c r="N147" i="7"/>
  <c r="O147" i="7"/>
  <c r="P147" i="7"/>
  <c r="Q147" i="7"/>
  <c r="R147" i="7"/>
  <c r="S147" i="7"/>
  <c r="T147" i="7"/>
  <c r="U147" i="7"/>
  <c r="V147" i="7"/>
  <c r="AH147" i="7"/>
  <c r="AI147" i="7"/>
  <c r="AJ147" i="7"/>
  <c r="AK147" i="7"/>
  <c r="AL147" i="7"/>
  <c r="J148" i="7"/>
  <c r="K148" i="7"/>
  <c r="L148" i="7"/>
  <c r="M148" i="7"/>
  <c r="N148" i="7"/>
  <c r="O148" i="7"/>
  <c r="P148" i="7"/>
  <c r="Q148" i="7"/>
  <c r="R148" i="7"/>
  <c r="S148" i="7"/>
  <c r="T148" i="7"/>
  <c r="U148" i="7"/>
  <c r="V148" i="7"/>
  <c r="AH148" i="7"/>
  <c r="AI148" i="7"/>
  <c r="AJ148" i="7"/>
  <c r="AK148" i="7"/>
  <c r="AL148" i="7"/>
  <c r="J149" i="7"/>
  <c r="K149" i="7"/>
  <c r="L149" i="7"/>
  <c r="M149" i="7"/>
  <c r="N149" i="7"/>
  <c r="O149" i="7"/>
  <c r="P149" i="7"/>
  <c r="Q149" i="7"/>
  <c r="R149" i="7"/>
  <c r="S149" i="7"/>
  <c r="T149" i="7"/>
  <c r="U149" i="7"/>
  <c r="V149" i="7"/>
  <c r="AH149" i="7"/>
  <c r="AI149" i="7"/>
  <c r="AJ149" i="7"/>
  <c r="AK149" i="7"/>
  <c r="AL149" i="7"/>
  <c r="AT149" i="7"/>
  <c r="J150" i="7"/>
  <c r="K150" i="7"/>
  <c r="L150" i="7"/>
  <c r="M150" i="7"/>
  <c r="N150" i="7"/>
  <c r="O150" i="7"/>
  <c r="P150" i="7"/>
  <c r="Q150" i="7"/>
  <c r="R150" i="7"/>
  <c r="S150" i="7"/>
  <c r="T150" i="7"/>
  <c r="U150" i="7"/>
  <c r="V150" i="7"/>
  <c r="AH150" i="7"/>
  <c r="AI150" i="7"/>
  <c r="AJ150" i="7"/>
  <c r="AK150" i="7"/>
  <c r="AL150" i="7"/>
  <c r="AT150" i="7"/>
  <c r="O1" i="7"/>
  <c r="P1" i="7"/>
  <c r="Q1" i="7"/>
  <c r="R1" i="7"/>
  <c r="S1" i="7"/>
  <c r="T1" i="7"/>
  <c r="U1" i="7"/>
  <c r="V1" i="7"/>
  <c r="W1" i="7"/>
  <c r="X1" i="7"/>
  <c r="Y1" i="7"/>
  <c r="Z1" i="7"/>
  <c r="AA1" i="7"/>
  <c r="AB1" i="7"/>
  <c r="AC1" i="7"/>
  <c r="AD1" i="7"/>
  <c r="AE1" i="7"/>
  <c r="AF1" i="7"/>
  <c r="AG1" i="7"/>
  <c r="AM1" i="7"/>
  <c r="AN1" i="7"/>
  <c r="AO1" i="7"/>
  <c r="AP1" i="7"/>
  <c r="AQ1" i="7"/>
  <c r="AR1" i="7"/>
  <c r="AS1" i="7"/>
  <c r="AT1" i="7"/>
  <c r="AU1" i="7"/>
  <c r="Y180" i="13" l="1"/>
  <c r="J180" i="13" s="1"/>
  <c r="Y304" i="13"/>
  <c r="J304" i="13" s="1"/>
  <c r="Y288" i="13"/>
  <c r="J288" i="13" s="1"/>
  <c r="Y272" i="13"/>
  <c r="J272" i="13" s="1"/>
  <c r="Y256" i="13"/>
  <c r="J256" i="13" s="1"/>
  <c r="Y224" i="13"/>
  <c r="J224" i="13" s="1"/>
  <c r="Y189" i="13"/>
  <c r="J189" i="13" s="1"/>
  <c r="Y181" i="13"/>
  <c r="J181" i="13" s="1"/>
  <c r="Y84" i="13"/>
  <c r="J84" i="13" s="1"/>
  <c r="Y30" i="13"/>
  <c r="J30" i="13" s="1"/>
  <c r="Y6" i="13"/>
  <c r="J6" i="13" s="1"/>
  <c r="Y188" i="13"/>
  <c r="J188" i="13" s="1"/>
  <c r="AF291" i="13"/>
  <c r="Y291" i="13" s="1"/>
  <c r="J291" i="13" s="1"/>
  <c r="AF277" i="13"/>
  <c r="Y116" i="13"/>
  <c r="J116" i="13" s="1"/>
  <c r="AF269" i="13"/>
  <c r="Y269" i="13" s="1"/>
  <c r="J269" i="13" s="1"/>
  <c r="Y300" i="13"/>
  <c r="J300" i="13" s="1"/>
  <c r="Y169" i="13"/>
  <c r="J169" i="13" s="1"/>
  <c r="Y137" i="13"/>
  <c r="J137" i="13" s="1"/>
  <c r="Y113" i="13"/>
  <c r="J113" i="13" s="1"/>
  <c r="Y88" i="13"/>
  <c r="J88" i="13" s="1"/>
  <c r="Y64" i="13"/>
  <c r="J64" i="13" s="1"/>
  <c r="AF226" i="13"/>
  <c r="AF235" i="13"/>
  <c r="Y297" i="13"/>
  <c r="J297" i="13" s="1"/>
  <c r="Y289" i="13"/>
  <c r="J289" i="13" s="1"/>
  <c r="Y281" i="13"/>
  <c r="J281" i="13" s="1"/>
  <c r="Y233" i="13"/>
  <c r="J233" i="13" s="1"/>
  <c r="Y225" i="13"/>
  <c r="J225" i="13" s="1"/>
  <c r="Y217" i="13"/>
  <c r="J217" i="13" s="1"/>
  <c r="Y209" i="13"/>
  <c r="J209" i="13" s="1"/>
  <c r="Y200" i="13"/>
  <c r="J200" i="13" s="1"/>
  <c r="Y192" i="13"/>
  <c r="J192" i="13" s="1"/>
  <c r="Y182" i="13"/>
  <c r="J182" i="13" s="1"/>
  <c r="Y174" i="13"/>
  <c r="J174" i="13" s="1"/>
  <c r="Y166" i="13"/>
  <c r="J166" i="13" s="1"/>
  <c r="Y158" i="13"/>
  <c r="J158" i="13" s="1"/>
  <c r="Y150" i="13"/>
  <c r="J150" i="13" s="1"/>
  <c r="Y142" i="13"/>
  <c r="J142" i="13" s="1"/>
  <c r="Y126" i="13"/>
  <c r="J126" i="13" s="1"/>
  <c r="Y118" i="13"/>
  <c r="J118" i="13" s="1"/>
  <c r="Y110" i="13"/>
  <c r="J110" i="13" s="1"/>
  <c r="Y102" i="13"/>
  <c r="J102" i="13" s="1"/>
  <c r="Y93" i="13"/>
  <c r="J93" i="13" s="1"/>
  <c r="Y85" i="13"/>
  <c r="J85" i="13" s="1"/>
  <c r="Y77" i="13"/>
  <c r="J77" i="13" s="1"/>
  <c r="Y69" i="13"/>
  <c r="J69" i="13" s="1"/>
  <c r="Y23" i="13"/>
  <c r="J23" i="13" s="1"/>
  <c r="Y7" i="13"/>
  <c r="J7" i="13" s="1"/>
  <c r="AF307" i="13"/>
  <c r="Y307" i="13" s="1"/>
  <c r="J307" i="13" s="1"/>
  <c r="AF243" i="13"/>
  <c r="Y243" i="13" s="1"/>
  <c r="J243" i="13" s="1"/>
  <c r="AF244" i="13"/>
  <c r="Y244" i="13" s="1"/>
  <c r="J244" i="13" s="1"/>
  <c r="AF137" i="13"/>
  <c r="AF206" i="13"/>
  <c r="AF144" i="13"/>
  <c r="Y144" i="13" s="1"/>
  <c r="J144" i="13" s="1"/>
  <c r="AF169" i="13"/>
  <c r="AF76" i="13"/>
  <c r="Y76" i="13" s="1"/>
  <c r="J76" i="13" s="1"/>
  <c r="AF57" i="13"/>
  <c r="Y57" i="13" s="1"/>
  <c r="J57" i="13" s="1"/>
  <c r="AF22" i="13"/>
  <c r="Y22" i="13" s="1"/>
  <c r="J22" i="13" s="1"/>
  <c r="AF8" i="13"/>
  <c r="AF110" i="13"/>
  <c r="AF13" i="13"/>
  <c r="Y13" i="13" s="1"/>
  <c r="J13" i="13" s="1"/>
  <c r="AF86" i="13"/>
  <c r="AF80" i="13"/>
  <c r="AF191" i="13"/>
  <c r="Y191" i="13" s="1"/>
  <c r="J191" i="13" s="1"/>
  <c r="AF104" i="13"/>
  <c r="Y104" i="13" s="1"/>
  <c r="J104" i="13" s="1"/>
  <c r="AF51" i="13"/>
  <c r="Y51" i="13" s="1"/>
  <c r="J51" i="13" s="1"/>
  <c r="AF180" i="13"/>
  <c r="AF189" i="13"/>
  <c r="AF157" i="13"/>
  <c r="Y157" i="13" s="1"/>
  <c r="J157" i="13" s="1"/>
  <c r="AF163" i="13"/>
  <c r="Y163" i="13" s="1"/>
  <c r="J163" i="13" s="1"/>
  <c r="AF25" i="13"/>
  <c r="AF201" i="13"/>
  <c r="Y201" i="13" s="1"/>
  <c r="J201" i="13" s="1"/>
  <c r="AF156" i="13"/>
  <c r="Y156" i="13" s="1"/>
  <c r="J156" i="13" s="1"/>
  <c r="AF313" i="13"/>
  <c r="Y313" i="13" s="1"/>
  <c r="J313" i="13" s="1"/>
  <c r="AF297" i="13"/>
  <c r="AF281" i="13"/>
  <c r="AF265" i="13"/>
  <c r="Y265" i="13" s="1"/>
  <c r="J265" i="13" s="1"/>
  <c r="AF249" i="13"/>
  <c r="Y249" i="13" s="1"/>
  <c r="J249" i="13" s="1"/>
  <c r="AF220" i="13"/>
  <c r="Y220" i="13" s="1"/>
  <c r="J220" i="13" s="1"/>
  <c r="AF177" i="13"/>
  <c r="Y177" i="13" s="1"/>
  <c r="J177" i="13" s="1"/>
  <c r="AF20" i="13"/>
  <c r="Y20" i="13" s="1"/>
  <c r="J20" i="13" s="1"/>
  <c r="AF129" i="13"/>
  <c r="Y129" i="13" s="1"/>
  <c r="J129" i="13" s="1"/>
  <c r="AF81" i="13"/>
  <c r="AF112" i="13"/>
  <c r="AF58" i="13"/>
  <c r="AF155" i="13"/>
  <c r="AF24" i="13"/>
  <c r="AF121" i="13"/>
  <c r="Y121" i="13" s="1"/>
  <c r="J121" i="13" s="1"/>
  <c r="AF105" i="13"/>
  <c r="Y105" i="13" s="1"/>
  <c r="J105" i="13" s="1"/>
  <c r="Y206" i="13"/>
  <c r="J206" i="13" s="1"/>
  <c r="Y58" i="13"/>
  <c r="J58" i="13" s="1"/>
  <c r="AF251" i="13"/>
  <c r="AF236" i="13"/>
  <c r="Y236" i="13" s="1"/>
  <c r="J236" i="13" s="1"/>
  <c r="AF15" i="13"/>
  <c r="Y15" i="13" s="1"/>
  <c r="J15" i="13" s="1"/>
  <c r="AF40" i="13"/>
  <c r="Y40" i="13" s="1"/>
  <c r="J40" i="13" s="1"/>
  <c r="AF131" i="13"/>
  <c r="Y131" i="13" s="1"/>
  <c r="J131" i="13" s="1"/>
  <c r="AF204" i="13"/>
  <c r="Y204" i="13" s="1"/>
  <c r="J204" i="13" s="1"/>
  <c r="AF184" i="13"/>
  <c r="AF168" i="13"/>
  <c r="Y286" i="13"/>
  <c r="J286" i="13" s="1"/>
  <c r="Y278" i="13"/>
  <c r="J278" i="13" s="1"/>
  <c r="Y262" i="13"/>
  <c r="J262" i="13" s="1"/>
  <c r="Y246" i="13"/>
  <c r="J246" i="13" s="1"/>
  <c r="Y230" i="13"/>
  <c r="J230" i="13" s="1"/>
  <c r="Y197" i="13"/>
  <c r="J197" i="13" s="1"/>
  <c r="Y155" i="13"/>
  <c r="J155" i="13" s="1"/>
  <c r="Y147" i="13"/>
  <c r="J147" i="13" s="1"/>
  <c r="Y139" i="13"/>
  <c r="J139" i="13" s="1"/>
  <c r="Y123" i="13"/>
  <c r="J123" i="13" s="1"/>
  <c r="Y115" i="13"/>
  <c r="J115" i="13" s="1"/>
  <c r="Y107" i="13"/>
  <c r="J107" i="13" s="1"/>
  <c r="Y98" i="13"/>
  <c r="J98" i="13" s="1"/>
  <c r="AF292" i="13"/>
  <c r="AF276" i="13"/>
  <c r="Y276" i="13" s="1"/>
  <c r="J276" i="13" s="1"/>
  <c r="AF214" i="13"/>
  <c r="Y214" i="13" s="1"/>
  <c r="J214" i="13" s="1"/>
  <c r="AF205" i="13"/>
  <c r="AF165" i="13"/>
  <c r="Y165" i="13" s="1"/>
  <c r="J165" i="13" s="1"/>
  <c r="Y317" i="13"/>
  <c r="J317" i="13" s="1"/>
  <c r="Y309" i="13"/>
  <c r="J309" i="13" s="1"/>
  <c r="Y301" i="13"/>
  <c r="J301" i="13" s="1"/>
  <c r="Y293" i="13"/>
  <c r="J293" i="13" s="1"/>
  <c r="Y285" i="13"/>
  <c r="J285" i="13" s="1"/>
  <c r="Y277" i="13"/>
  <c r="J277" i="13" s="1"/>
  <c r="Y261" i="13"/>
  <c r="J261" i="13" s="1"/>
  <c r="Y253" i="13"/>
  <c r="J253" i="13" s="1"/>
  <c r="Y245" i="13"/>
  <c r="J245" i="13" s="1"/>
  <c r="Y237" i="13"/>
  <c r="J237" i="13" s="1"/>
  <c r="Y229" i="13"/>
  <c r="J229" i="13" s="1"/>
  <c r="Y221" i="13"/>
  <c r="J221" i="13" s="1"/>
  <c r="Y213" i="13"/>
  <c r="J213" i="13" s="1"/>
  <c r="Y205" i="13"/>
  <c r="J205" i="13" s="1"/>
  <c r="Y186" i="13"/>
  <c r="J186" i="13" s="1"/>
  <c r="Y178" i="13"/>
  <c r="J178" i="13" s="1"/>
  <c r="Y170" i="13"/>
  <c r="J170" i="13" s="1"/>
  <c r="Y162" i="13"/>
  <c r="J162" i="13" s="1"/>
  <c r="Y154" i="13"/>
  <c r="J154" i="13" s="1"/>
  <c r="Y146" i="13"/>
  <c r="J146" i="13" s="1"/>
  <c r="Y122" i="13"/>
  <c r="J122" i="13" s="1"/>
  <c r="Y114" i="13"/>
  <c r="J114" i="13" s="1"/>
  <c r="Y97" i="13"/>
  <c r="J97" i="13" s="1"/>
  <c r="Y89" i="13"/>
  <c r="J89" i="13" s="1"/>
  <c r="Y81" i="13"/>
  <c r="J81" i="13" s="1"/>
  <c r="Y73" i="13"/>
  <c r="J73" i="13" s="1"/>
  <c r="Y65" i="13"/>
  <c r="J65" i="13" s="1"/>
  <c r="Y27" i="13"/>
  <c r="J27" i="13" s="1"/>
  <c r="Y3" i="13"/>
  <c r="J3" i="13" s="1"/>
  <c r="AF275" i="13"/>
  <c r="Y275" i="13" s="1"/>
  <c r="J275" i="13" s="1"/>
  <c r="AF208" i="13"/>
  <c r="Y208" i="13" s="1"/>
  <c r="J208" i="13" s="1"/>
  <c r="AF185" i="13"/>
  <c r="Y185" i="13" s="1"/>
  <c r="J185" i="13" s="1"/>
  <c r="AF153" i="13"/>
  <c r="AF123" i="13"/>
  <c r="AF103" i="13"/>
  <c r="AF79" i="13"/>
  <c r="AF135" i="13"/>
  <c r="Y135" i="13" s="1"/>
  <c r="J135" i="13" s="1"/>
  <c r="AF175" i="13"/>
  <c r="Y175" i="13" s="1"/>
  <c r="J175" i="13" s="1"/>
  <c r="AF164" i="13"/>
  <c r="Y164" i="13" s="1"/>
  <c r="J164" i="13" s="1"/>
  <c r="AF52" i="13"/>
  <c r="Y52" i="13" s="1"/>
  <c r="J52" i="13" s="1"/>
  <c r="AF44" i="13"/>
  <c r="Y44" i="13" s="1"/>
  <c r="J44" i="13" s="1"/>
  <c r="AF111" i="13"/>
  <c r="AF87" i="13"/>
  <c r="AF116" i="13"/>
  <c r="Y260" i="13"/>
  <c r="J260" i="13" s="1"/>
  <c r="AF217" i="13"/>
  <c r="AF173" i="13"/>
  <c r="Y173" i="13" s="1"/>
  <c r="J173" i="13" s="1"/>
  <c r="AF36" i="13"/>
  <c r="Y36" i="13" s="1"/>
  <c r="J36" i="13" s="1"/>
  <c r="AF176" i="13"/>
  <c r="AF23" i="13"/>
  <c r="Y308" i="13"/>
  <c r="J308" i="13" s="1"/>
  <c r="Y252" i="13"/>
  <c r="J252" i="13" s="1"/>
  <c r="Y228" i="13"/>
  <c r="J228" i="13" s="1"/>
  <c r="Y203" i="13"/>
  <c r="J203" i="13" s="1"/>
  <c r="Y153" i="13"/>
  <c r="J153" i="13" s="1"/>
  <c r="Y80" i="13"/>
  <c r="J80" i="13" s="1"/>
  <c r="AF252" i="13"/>
  <c r="AF216" i="13"/>
  <c r="Y216" i="13" s="1"/>
  <c r="J216" i="13" s="1"/>
  <c r="Y315" i="13"/>
  <c r="J315" i="13" s="1"/>
  <c r="Y267" i="13"/>
  <c r="J267" i="13" s="1"/>
  <c r="Y259" i="13"/>
  <c r="J259" i="13" s="1"/>
  <c r="Y251" i="13"/>
  <c r="J251" i="13" s="1"/>
  <c r="Y235" i="13"/>
  <c r="J235" i="13" s="1"/>
  <c r="Y202" i="13"/>
  <c r="J202" i="13" s="1"/>
  <c r="Y184" i="13"/>
  <c r="J184" i="13" s="1"/>
  <c r="Y176" i="13"/>
  <c r="J176" i="13" s="1"/>
  <c r="Y168" i="13"/>
  <c r="J168" i="13" s="1"/>
  <c r="Y160" i="13"/>
  <c r="J160" i="13" s="1"/>
  <c r="Y152" i="13"/>
  <c r="J152" i="13" s="1"/>
  <c r="Y128" i="13"/>
  <c r="J128" i="13" s="1"/>
  <c r="Y112" i="13"/>
  <c r="J112" i="13" s="1"/>
  <c r="Y95" i="13"/>
  <c r="J95" i="13" s="1"/>
  <c r="Y87" i="13"/>
  <c r="J87" i="13" s="1"/>
  <c r="Y79" i="13"/>
  <c r="J79" i="13" s="1"/>
  <c r="Y71" i="13"/>
  <c r="J71" i="13" s="1"/>
  <c r="Y63" i="13"/>
  <c r="J63" i="13" s="1"/>
  <c r="Y55" i="13"/>
  <c r="J55" i="13" s="1"/>
  <c r="Y33" i="13"/>
  <c r="J33" i="13" s="1"/>
  <c r="Y25" i="13"/>
  <c r="J25" i="13" s="1"/>
  <c r="Y17" i="13"/>
  <c r="J17" i="13" s="1"/>
  <c r="Y9" i="13"/>
  <c r="J9" i="13" s="1"/>
  <c r="AF233" i="13"/>
  <c r="AF225" i="13"/>
  <c r="AF259" i="13"/>
  <c r="AF305" i="13"/>
  <c r="Y305" i="13" s="1"/>
  <c r="J305" i="13" s="1"/>
  <c r="AF289" i="13"/>
  <c r="AF273" i="13"/>
  <c r="Y273" i="13" s="1"/>
  <c r="J273" i="13" s="1"/>
  <c r="AF257" i="13"/>
  <c r="Y257" i="13" s="1"/>
  <c r="J257" i="13" s="1"/>
  <c r="AF241" i="13"/>
  <c r="Y241" i="13" s="1"/>
  <c r="J241" i="13" s="1"/>
  <c r="AF207" i="13"/>
  <c r="Y207" i="13" s="1"/>
  <c r="J207" i="13" s="1"/>
  <c r="AF161" i="13"/>
  <c r="Y161" i="13" s="1"/>
  <c r="J161" i="13" s="1"/>
  <c r="AF45" i="13"/>
  <c r="Y45" i="13" s="1"/>
  <c r="J45" i="13" s="1"/>
  <c r="AF6" i="13"/>
  <c r="AF183" i="13"/>
  <c r="AF151" i="13"/>
  <c r="Y151" i="13" s="1"/>
  <c r="J151" i="13" s="1"/>
  <c r="AF16" i="13"/>
  <c r="Y16" i="13" s="1"/>
  <c r="J16" i="13" s="1"/>
  <c r="AF138" i="13"/>
  <c r="Y138" i="13" s="1"/>
  <c r="J138" i="13" s="1"/>
  <c r="AF136" i="13"/>
  <c r="Y136" i="13" s="1"/>
  <c r="J136" i="13" s="1"/>
  <c r="AF188" i="13"/>
  <c r="Y318" i="13"/>
  <c r="J318" i="13" s="1"/>
  <c r="Y310" i="13"/>
  <c r="J310" i="13" s="1"/>
  <c r="Y294" i="13"/>
  <c r="J294" i="13" s="1"/>
  <c r="Y316" i="13"/>
  <c r="J316" i="13" s="1"/>
  <c r="Y292" i="13"/>
  <c r="J292" i="13" s="1"/>
  <c r="Y72" i="13"/>
  <c r="J72" i="13" s="1"/>
  <c r="AF299" i="13"/>
  <c r="Y299" i="13" s="1"/>
  <c r="J299" i="13" s="1"/>
  <c r="Y314" i="13"/>
  <c r="J314" i="13" s="1"/>
  <c r="Y298" i="13"/>
  <c r="J298" i="13" s="1"/>
  <c r="Y290" i="13"/>
  <c r="J290" i="13" s="1"/>
  <c r="Y282" i="13"/>
  <c r="J282" i="13" s="1"/>
  <c r="Y266" i="13"/>
  <c r="J266" i="13" s="1"/>
  <c r="Y258" i="13"/>
  <c r="J258" i="13" s="1"/>
  <c r="Y250" i="13"/>
  <c r="J250" i="13" s="1"/>
  <c r="Y242" i="13"/>
  <c r="J242" i="13" s="1"/>
  <c r="Y234" i="13"/>
  <c r="J234" i="13" s="1"/>
  <c r="Y226" i="13"/>
  <c r="J226" i="13" s="1"/>
  <c r="Y210" i="13"/>
  <c r="J210" i="13" s="1"/>
  <c r="Y193" i="13"/>
  <c r="J193" i="13" s="1"/>
  <c r="Y183" i="13"/>
  <c r="J183" i="13" s="1"/>
  <c r="Y167" i="13"/>
  <c r="J167" i="13" s="1"/>
  <c r="Y159" i="13"/>
  <c r="J159" i="13" s="1"/>
  <c r="Y127" i="13"/>
  <c r="J127" i="13" s="1"/>
  <c r="Y111" i="13"/>
  <c r="J111" i="13" s="1"/>
  <c r="Y103" i="13"/>
  <c r="J103" i="13" s="1"/>
  <c r="Y94" i="13"/>
  <c r="J94" i="13" s="1"/>
  <c r="Y86" i="13"/>
  <c r="J86" i="13" s="1"/>
  <c r="Y78" i="13"/>
  <c r="J78" i="13" s="1"/>
  <c r="Y53" i="13"/>
  <c r="J53" i="13" s="1"/>
  <c r="Y32" i="13"/>
  <c r="J32" i="13" s="1"/>
  <c r="Y24" i="13"/>
  <c r="J24" i="13" s="1"/>
  <c r="Y8" i="13"/>
  <c r="J8" i="13" s="1"/>
  <c r="AF306" i="13"/>
  <c r="Y306" i="13" s="1"/>
  <c r="J306" i="13" s="1"/>
  <c r="AF274" i="13"/>
  <c r="Y274" i="13" s="1"/>
  <c r="J274" i="13" s="1"/>
  <c r="AF242" i="13"/>
  <c r="AF232" i="13"/>
  <c r="Y232" i="13" s="1"/>
  <c r="J232" i="13" s="1"/>
  <c r="AF224" i="13"/>
  <c r="AF283" i="13"/>
  <c r="Y283" i="13" s="1"/>
  <c r="J283" i="13" s="1"/>
  <c r="AF316" i="13"/>
  <c r="AF300" i="13"/>
  <c r="AF284" i="13"/>
  <c r="Y284" i="13" s="1"/>
  <c r="J284" i="13" s="1"/>
  <c r="AF268" i="13"/>
  <c r="Y268" i="13" s="1"/>
  <c r="J268" i="13" s="1"/>
  <c r="AF219" i="13"/>
  <c r="Y219" i="13" s="1"/>
  <c r="J219" i="13" s="1"/>
  <c r="AF222" i="13"/>
  <c r="Y222" i="13" s="1"/>
  <c r="J222" i="13" s="1"/>
  <c r="AF218" i="13"/>
  <c r="Y218" i="13" s="1"/>
  <c r="J218" i="13" s="1"/>
  <c r="AF215" i="13"/>
  <c r="Y215" i="13" s="1"/>
  <c r="J215" i="13" s="1"/>
  <c r="AF221" i="13"/>
  <c r="AF181" i="13"/>
  <c r="AF139" i="13"/>
  <c r="AF148" i="13"/>
  <c r="Y148" i="13" s="1"/>
  <c r="J148" i="13" s="1"/>
  <c r="AF130" i="13"/>
  <c r="Y130" i="13" s="1"/>
  <c r="J130" i="13" s="1"/>
  <c r="AF33" i="13"/>
  <c r="AF19" i="13"/>
  <c r="Y19" i="13" s="1"/>
  <c r="J19" i="13" s="1"/>
  <c r="AF160" i="13"/>
  <c r="AF84" i="13"/>
  <c r="AF171" i="13"/>
  <c r="Y171" i="13" s="1"/>
  <c r="J171" i="13" s="1"/>
  <c r="AF143" i="13"/>
  <c r="Y143" i="13" s="1"/>
  <c r="J143" i="13" s="1"/>
  <c r="AF4" i="13"/>
  <c r="Y4" i="13" s="1"/>
  <c r="J4" i="13" s="1"/>
  <c r="AF49" i="13"/>
  <c r="Y49" i="13" s="1"/>
  <c r="J49" i="13" s="1"/>
  <c r="AF167" i="13"/>
  <c r="AF152" i="13"/>
  <c r="AF88" i="13"/>
  <c r="AF31" i="13"/>
  <c r="Y31" i="13" s="1"/>
  <c r="J31" i="13" s="1"/>
  <c r="AF106" i="13"/>
  <c r="Y106" i="13" s="1"/>
  <c r="J106" i="13" s="1"/>
  <c r="AF40" i="1"/>
  <c r="F27" i="1"/>
  <c r="AQ27" i="1"/>
  <c r="AG27" i="1" s="1"/>
  <c r="F28" i="1"/>
  <c r="AQ28" i="1"/>
  <c r="AG28" i="1" s="1"/>
  <c r="AA28" i="1"/>
  <c r="AE27" i="1"/>
  <c r="Z27" i="1"/>
  <c r="AA27" i="1"/>
  <c r="AB27" i="1"/>
  <c r="AE28" i="1"/>
  <c r="Z28" i="1"/>
  <c r="AB28" i="1"/>
  <c r="D44" i="5"/>
  <c r="AX25" i="1"/>
  <c r="AU24" i="7" s="1"/>
  <c r="AW25" i="1"/>
  <c r="AT24" i="7" s="1"/>
  <c r="AU25" i="1"/>
  <c r="AR24" i="7" s="1"/>
  <c r="AT25" i="1"/>
  <c r="AS25" i="1"/>
  <c r="AP24" i="7" s="1"/>
  <c r="AR25" i="1"/>
  <c r="AO24" i="7" s="1"/>
  <c r="AP25" i="1"/>
  <c r="AM24" i="7" s="1"/>
  <c r="AJ25" i="1"/>
  <c r="AG24" i="7" s="1"/>
  <c r="AH25" i="1"/>
  <c r="K50" i="1"/>
  <c r="I47" i="7" s="1"/>
  <c r="AH50" i="1"/>
  <c r="AJ50" i="1"/>
  <c r="AG47" i="7" s="1"/>
  <c r="AP50" i="1"/>
  <c r="AM47" i="7" s="1"/>
  <c r="AW50" i="1"/>
  <c r="AT47" i="7" s="1"/>
  <c r="AX50" i="1"/>
  <c r="AU47" i="7" s="1"/>
  <c r="AT50" i="1"/>
  <c r="AU50" i="1"/>
  <c r="AR47" i="7" s="1"/>
  <c r="AS50" i="1"/>
  <c r="AP47" i="7" s="1"/>
  <c r="AR50" i="1"/>
  <c r="AO47" i="7" s="1"/>
  <c r="F40" i="1"/>
  <c r="AX49" i="1"/>
  <c r="AU46" i="7" s="1"/>
  <c r="AW49" i="1"/>
  <c r="AT46" i="7" s="1"/>
  <c r="AU49" i="1"/>
  <c r="AR46" i="7" s="1"/>
  <c r="AT49" i="1"/>
  <c r="AS49" i="1"/>
  <c r="AP46" i="7" s="1"/>
  <c r="AR49" i="1"/>
  <c r="AO46" i="7" s="1"/>
  <c r="AP49" i="1"/>
  <c r="AM46" i="7" s="1"/>
  <c r="AJ49" i="1"/>
  <c r="AG46" i="7" s="1"/>
  <c r="AH49" i="1"/>
  <c r="K49" i="1"/>
  <c r="I46" i="7" s="1"/>
  <c r="AX48" i="1"/>
  <c r="AU45" i="7" s="1"/>
  <c r="AW48" i="1"/>
  <c r="AT45" i="7" s="1"/>
  <c r="AU48" i="1"/>
  <c r="AR45" i="7" s="1"/>
  <c r="AT48" i="1"/>
  <c r="AS48" i="1"/>
  <c r="AP45" i="7" s="1"/>
  <c r="AR48" i="1"/>
  <c r="AO45" i="7" s="1"/>
  <c r="AP48" i="1"/>
  <c r="AM45" i="7" s="1"/>
  <c r="AJ48" i="1"/>
  <c r="AG45" i="7" s="1"/>
  <c r="AH48" i="1"/>
  <c r="AE45" i="7" s="1"/>
  <c r="K48" i="1"/>
  <c r="I45" i="7" s="1"/>
  <c r="AX51" i="1"/>
  <c r="AU48" i="7" s="1"/>
  <c r="AW51" i="1"/>
  <c r="AT48" i="7" s="1"/>
  <c r="AU51" i="1"/>
  <c r="AR48" i="7" s="1"/>
  <c r="AT51" i="1"/>
  <c r="AS51" i="1"/>
  <c r="AP48" i="7" s="1"/>
  <c r="AR51" i="1"/>
  <c r="AO48" i="7" s="1"/>
  <c r="AP51" i="1"/>
  <c r="AM48" i="7" s="1"/>
  <c r="AJ51" i="1"/>
  <c r="AG48" i="7" s="1"/>
  <c r="AH51" i="1"/>
  <c r="AE48" i="7" s="1"/>
  <c r="K51" i="1"/>
  <c r="I48" i="7" s="1"/>
  <c r="AH41" i="1"/>
  <c r="AE38" i="7" s="1"/>
  <c r="AR47" i="1"/>
  <c r="AO44" i="7" s="1"/>
  <c r="AS47" i="1"/>
  <c r="AP44" i="7" s="1"/>
  <c r="AT47" i="1"/>
  <c r="AU47" i="1"/>
  <c r="AR44" i="7" s="1"/>
  <c r="AW47" i="1"/>
  <c r="AT44" i="7" s="1"/>
  <c r="AX47" i="1"/>
  <c r="AU44" i="7" s="1"/>
  <c r="AP47" i="1"/>
  <c r="AM44" i="7" s="1"/>
  <c r="AH47" i="1"/>
  <c r="AE44" i="7" s="1"/>
  <c r="AJ47" i="1"/>
  <c r="AG44" i="7" s="1"/>
  <c r="K47" i="1"/>
  <c r="I44" i="7" s="1"/>
  <c r="Y40" i="1" l="1"/>
  <c r="AC37" i="7"/>
  <c r="AF27" i="1"/>
  <c r="Y27" i="1" s="1"/>
  <c r="J27" i="1" s="1"/>
  <c r="AF28" i="1"/>
  <c r="Y28" i="1" s="1"/>
  <c r="J28" i="1" s="1"/>
  <c r="B25" i="1"/>
  <c r="AQ24" i="7"/>
  <c r="B47" i="1"/>
  <c r="AQ44" i="7"/>
  <c r="AB49" i="1"/>
  <c r="Z46" i="7" s="1"/>
  <c r="AE46" i="7"/>
  <c r="Z50" i="1"/>
  <c r="X47" i="7" s="1"/>
  <c r="AE47" i="7"/>
  <c r="B48" i="1"/>
  <c r="AQ45" i="7"/>
  <c r="AE25" i="1"/>
  <c r="AB24" i="7" s="1"/>
  <c r="AE24" i="7"/>
  <c r="B51" i="1"/>
  <c r="AQ48" i="7"/>
  <c r="B49" i="1"/>
  <c r="AQ46" i="7"/>
  <c r="B50" i="1"/>
  <c r="AQ47" i="7"/>
  <c r="F47" i="1"/>
  <c r="F25" i="1"/>
  <c r="AA25" i="1"/>
  <c r="Y24" i="7" s="1"/>
  <c r="AB25" i="1"/>
  <c r="Z24" i="7" s="1"/>
  <c r="AC25" i="1"/>
  <c r="AA24" i="7" s="1"/>
  <c r="Z25" i="1"/>
  <c r="X24" i="7" s="1"/>
  <c r="AV25" i="1"/>
  <c r="AQ25" i="1"/>
  <c r="F50" i="1"/>
  <c r="AV50" i="1"/>
  <c r="AE50" i="1"/>
  <c r="AB47" i="7" s="1"/>
  <c r="AC50" i="1"/>
  <c r="AA47" i="7" s="1"/>
  <c r="AG50" i="1"/>
  <c r="AD47" i="7" s="1"/>
  <c r="AA50" i="1"/>
  <c r="Y47" i="7" s="1"/>
  <c r="AB50" i="1"/>
  <c r="Z47" i="7" s="1"/>
  <c r="AV51" i="1"/>
  <c r="AV48" i="1"/>
  <c r="AV49" i="1"/>
  <c r="F51" i="1"/>
  <c r="F48" i="1"/>
  <c r="F49" i="1"/>
  <c r="AC51" i="1"/>
  <c r="AA48" i="7" s="1"/>
  <c r="AC48" i="1"/>
  <c r="AA45" i="7" s="1"/>
  <c r="AC49" i="1"/>
  <c r="AA46" i="7" s="1"/>
  <c r="Z51" i="1"/>
  <c r="X48" i="7" s="1"/>
  <c r="AE51" i="1"/>
  <c r="AB48" i="7" s="1"/>
  <c r="Z48" i="1"/>
  <c r="X45" i="7" s="1"/>
  <c r="AE48" i="1"/>
  <c r="AB45" i="7" s="1"/>
  <c r="Z49" i="1"/>
  <c r="X46" i="7" s="1"/>
  <c r="AE49" i="1"/>
  <c r="AB46" i="7" s="1"/>
  <c r="AB51" i="1"/>
  <c r="Z48" i="7" s="1"/>
  <c r="AB48" i="1"/>
  <c r="Z45" i="7" s="1"/>
  <c r="AA51" i="1"/>
  <c r="Y48" i="7" s="1"/>
  <c r="AG51" i="1"/>
  <c r="AD48" i="7" s="1"/>
  <c r="AA48" i="1"/>
  <c r="Y45" i="7" s="1"/>
  <c r="AG48" i="1"/>
  <c r="AD45" i="7" s="1"/>
  <c r="AA49" i="1"/>
  <c r="Y46" i="7" s="1"/>
  <c r="AG49" i="1"/>
  <c r="AD46" i="7" s="1"/>
  <c r="AV47" i="1"/>
  <c r="Z47" i="1"/>
  <c r="X44" i="7" s="1"/>
  <c r="AA47" i="1"/>
  <c r="Y44" i="7" s="1"/>
  <c r="AB47" i="1"/>
  <c r="Z44" i="7" s="1"/>
  <c r="AC47" i="1"/>
  <c r="AA44" i="7" s="1"/>
  <c r="AE47" i="1"/>
  <c r="AB44" i="7" s="1"/>
  <c r="AG47" i="1"/>
  <c r="AD44" i="7" s="1"/>
  <c r="AR46" i="1"/>
  <c r="AO43" i="7" s="1"/>
  <c r="AS46" i="1"/>
  <c r="AP43" i="7" s="1"/>
  <c r="AT46" i="1"/>
  <c r="AU46" i="1"/>
  <c r="AR43" i="7" s="1"/>
  <c r="AW46" i="1"/>
  <c r="AT43" i="7" s="1"/>
  <c r="AX46" i="1"/>
  <c r="AU43" i="7" s="1"/>
  <c r="AP46" i="1"/>
  <c r="AM43" i="7" s="1"/>
  <c r="AH46" i="1"/>
  <c r="AE43" i="7" s="1"/>
  <c r="AJ46" i="1"/>
  <c r="AG43" i="7" s="1"/>
  <c r="K46" i="1"/>
  <c r="I43" i="7" s="1"/>
  <c r="AR45" i="1"/>
  <c r="AO42" i="7" s="1"/>
  <c r="AS45" i="1"/>
  <c r="AP42" i="7" s="1"/>
  <c r="AT45" i="1"/>
  <c r="AU45" i="1"/>
  <c r="AR42" i="7" s="1"/>
  <c r="AW45" i="1"/>
  <c r="AT42" i="7" s="1"/>
  <c r="AX45" i="1"/>
  <c r="AU42" i="7" s="1"/>
  <c r="AP45" i="1"/>
  <c r="AM42" i="7" s="1"/>
  <c r="AH45" i="1"/>
  <c r="AE42" i="7" s="1"/>
  <c r="AJ45" i="1"/>
  <c r="AG42" i="7" s="1"/>
  <c r="K45" i="1"/>
  <c r="I42" i="7" s="1"/>
  <c r="AR44" i="1"/>
  <c r="AO41" i="7" s="1"/>
  <c r="AS44" i="1"/>
  <c r="AP41" i="7" s="1"/>
  <c r="AT44" i="1"/>
  <c r="AU44" i="1"/>
  <c r="AR41" i="7" s="1"/>
  <c r="AW44" i="1"/>
  <c r="AT41" i="7" s="1"/>
  <c r="AX44" i="1"/>
  <c r="AU41" i="7" s="1"/>
  <c r="AP44" i="1"/>
  <c r="AM41" i="7" s="1"/>
  <c r="AH44" i="1"/>
  <c r="AJ44" i="1"/>
  <c r="AG41" i="7" s="1"/>
  <c r="K44" i="1"/>
  <c r="I41" i="7" s="1"/>
  <c r="AR43" i="1"/>
  <c r="AO40" i="7" s="1"/>
  <c r="AS43" i="1"/>
  <c r="AP40" i="7" s="1"/>
  <c r="AT43" i="1"/>
  <c r="AU43" i="1"/>
  <c r="AR40" i="7" s="1"/>
  <c r="AW43" i="1"/>
  <c r="AT40" i="7" s="1"/>
  <c r="AX43" i="1"/>
  <c r="AU40" i="7" s="1"/>
  <c r="AP43" i="1"/>
  <c r="AM40" i="7" s="1"/>
  <c r="AH43" i="1"/>
  <c r="AE40" i="7" s="1"/>
  <c r="AJ43" i="1"/>
  <c r="AG40" i="7" s="1"/>
  <c r="K43" i="1"/>
  <c r="I40" i="7" s="1"/>
  <c r="AR42" i="1"/>
  <c r="AO39" i="7" s="1"/>
  <c r="AS42" i="1"/>
  <c r="AP39" i="7" s="1"/>
  <c r="AT42" i="1"/>
  <c r="AU42" i="1"/>
  <c r="AR39" i="7" s="1"/>
  <c r="AW42" i="1"/>
  <c r="AT39" i="7" s="1"/>
  <c r="AX42" i="1"/>
  <c r="AU39" i="7" s="1"/>
  <c r="AP42" i="1"/>
  <c r="AM39" i="7" s="1"/>
  <c r="AH42" i="1"/>
  <c r="AE39" i="7" s="1"/>
  <c r="AJ42" i="1"/>
  <c r="AG39" i="7" s="1"/>
  <c r="K42" i="1"/>
  <c r="I39" i="7" s="1"/>
  <c r="AR41" i="1"/>
  <c r="AO38" i="7" s="1"/>
  <c r="AS41" i="1"/>
  <c r="AP38" i="7" s="1"/>
  <c r="AT41" i="1"/>
  <c r="AU41" i="1"/>
  <c r="AR38" i="7" s="1"/>
  <c r="AW41" i="1"/>
  <c r="AT38" i="7" s="1"/>
  <c r="AX41" i="1"/>
  <c r="AU38" i="7" s="1"/>
  <c r="K41" i="1"/>
  <c r="I38" i="7" s="1"/>
  <c r="AJ41" i="1"/>
  <c r="AG38" i="7" s="1"/>
  <c r="AP41" i="1"/>
  <c r="AM38" i="7" s="1"/>
  <c r="J40" i="1" l="1"/>
  <c r="W37" i="7"/>
  <c r="B44" i="1"/>
  <c r="AQ41" i="7"/>
  <c r="B43" i="1"/>
  <c r="AQ40" i="7"/>
  <c r="B41" i="1"/>
  <c r="AQ38" i="7"/>
  <c r="B45" i="1"/>
  <c r="AQ42" i="7"/>
  <c r="AI49" i="1"/>
  <c r="AF46" i="7" s="1"/>
  <c r="AS46" i="7"/>
  <c r="AI50" i="1"/>
  <c r="AF47" i="7" s="1"/>
  <c r="AS47" i="7"/>
  <c r="AB44" i="1"/>
  <c r="Z41" i="7" s="1"/>
  <c r="AE41" i="7"/>
  <c r="AI48" i="1"/>
  <c r="AF45" i="7" s="1"/>
  <c r="AS45" i="7"/>
  <c r="B42" i="1"/>
  <c r="AQ39" i="7"/>
  <c r="B46" i="1"/>
  <c r="AQ43" i="7"/>
  <c r="AI51" i="1"/>
  <c r="AF48" i="7" s="1"/>
  <c r="AS48" i="7"/>
  <c r="AG25" i="1"/>
  <c r="AD24" i="7" s="1"/>
  <c r="AN24" i="7"/>
  <c r="AI47" i="1"/>
  <c r="AF44" i="7" s="1"/>
  <c r="AS44" i="7"/>
  <c r="AI25" i="1"/>
  <c r="AF24" i="7" s="1"/>
  <c r="AS24" i="7"/>
  <c r="AF25" i="1"/>
  <c r="AF50" i="1"/>
  <c r="AV43" i="1"/>
  <c r="AF51" i="1"/>
  <c r="AF49" i="1"/>
  <c r="AF48" i="1"/>
  <c r="AV42" i="1"/>
  <c r="F46" i="1"/>
  <c r="AV41" i="1"/>
  <c r="AV45" i="1"/>
  <c r="AV46" i="1"/>
  <c r="AE46" i="1"/>
  <c r="AB43" i="7" s="1"/>
  <c r="AF47" i="1"/>
  <c r="AG44" i="1"/>
  <c r="AD41" i="7" s="1"/>
  <c r="F44" i="1"/>
  <c r="F45" i="1"/>
  <c r="AB46" i="1"/>
  <c r="Z43" i="7" s="1"/>
  <c r="AB45" i="1"/>
  <c r="Z42" i="7" s="1"/>
  <c r="AA46" i="1"/>
  <c r="Y43" i="7" s="1"/>
  <c r="AG46" i="1"/>
  <c r="AD43" i="7" s="1"/>
  <c r="Z46" i="1"/>
  <c r="X43" i="7" s="1"/>
  <c r="AA45" i="1"/>
  <c r="Y42" i="7" s="1"/>
  <c r="F42" i="1"/>
  <c r="AG45" i="1"/>
  <c r="AD42" i="7" s="1"/>
  <c r="F41" i="1"/>
  <c r="F43" i="1"/>
  <c r="AE45" i="1"/>
  <c r="AB42" i="7" s="1"/>
  <c r="AC46" i="1"/>
  <c r="AA43" i="7" s="1"/>
  <c r="AG43" i="1"/>
  <c r="AD40" i="7" s="1"/>
  <c r="Z45" i="1"/>
  <c r="X42" i="7" s="1"/>
  <c r="AB43" i="1"/>
  <c r="Z40" i="7" s="1"/>
  <c r="AV44" i="1"/>
  <c r="AC45" i="1"/>
  <c r="AA42" i="7" s="1"/>
  <c r="AA44" i="1"/>
  <c r="Y41" i="7" s="1"/>
  <c r="AE44" i="1"/>
  <c r="AB41" i="7" s="1"/>
  <c r="Z44" i="1"/>
  <c r="X41" i="7" s="1"/>
  <c r="AB42" i="1"/>
  <c r="Z39" i="7" s="1"/>
  <c r="AC44" i="1"/>
  <c r="AA41" i="7" s="1"/>
  <c r="Z41" i="1"/>
  <c r="X38" i="7" s="1"/>
  <c r="AA42" i="1"/>
  <c r="Y39" i="7" s="1"/>
  <c r="AA43" i="1"/>
  <c r="Y40" i="7" s="1"/>
  <c r="AE43" i="1"/>
  <c r="AB40" i="7" s="1"/>
  <c r="Z43" i="1"/>
  <c r="X40" i="7" s="1"/>
  <c r="AG42" i="1"/>
  <c r="AD39" i="7" s="1"/>
  <c r="AC43" i="1"/>
  <c r="AA40" i="7" s="1"/>
  <c r="AE42" i="1"/>
  <c r="AB39" i="7" s="1"/>
  <c r="Z42" i="1"/>
  <c r="X39" i="7" s="1"/>
  <c r="AE41" i="1"/>
  <c r="AB38" i="7" s="1"/>
  <c r="AC42" i="1"/>
  <c r="AA39" i="7" s="1"/>
  <c r="AC41" i="1"/>
  <c r="AA38" i="7" s="1"/>
  <c r="AG41" i="1"/>
  <c r="AD38" i="7" s="1"/>
  <c r="AB41" i="1"/>
  <c r="Z38" i="7" s="1"/>
  <c r="AA41" i="1"/>
  <c r="Y38" i="7" s="1"/>
  <c r="AI41" i="1" l="1"/>
  <c r="AF38" i="7" s="1"/>
  <c r="AS38" i="7"/>
  <c r="Y25" i="1"/>
  <c r="AC24" i="7"/>
  <c r="Y51" i="1"/>
  <c r="AC48" i="7"/>
  <c r="AI46" i="1"/>
  <c r="AF43" i="7" s="1"/>
  <c r="AS43" i="7"/>
  <c r="Y50" i="1"/>
  <c r="AC47" i="7"/>
  <c r="AI43" i="1"/>
  <c r="AF40" i="7" s="1"/>
  <c r="AS40" i="7"/>
  <c r="AI45" i="1"/>
  <c r="AF42" i="7" s="1"/>
  <c r="AS42" i="7"/>
  <c r="AI44" i="1"/>
  <c r="AF41" i="7" s="1"/>
  <c r="AS41" i="7"/>
  <c r="AI42" i="1"/>
  <c r="AF39" i="7" s="1"/>
  <c r="AS39" i="7"/>
  <c r="Y48" i="1"/>
  <c r="AC45" i="7"/>
  <c r="Y47" i="1"/>
  <c r="AC44" i="7"/>
  <c r="Y49" i="1"/>
  <c r="AC46" i="7"/>
  <c r="AF44" i="1"/>
  <c r="AF46" i="1"/>
  <c r="AF45" i="1"/>
  <c r="AF41" i="1"/>
  <c r="AF43" i="1"/>
  <c r="AF42" i="1"/>
  <c r="J49" i="1" l="1"/>
  <c r="W46" i="7"/>
  <c r="Y42" i="1"/>
  <c r="AC39" i="7"/>
  <c r="Y45" i="1"/>
  <c r="AC42" i="7"/>
  <c r="J48" i="1"/>
  <c r="W45" i="7"/>
  <c r="J25" i="1"/>
  <c r="W24" i="7"/>
  <c r="Y46" i="1"/>
  <c r="AC43" i="7"/>
  <c r="Y43" i="1"/>
  <c r="AC40" i="7"/>
  <c r="J47" i="1"/>
  <c r="W44" i="7"/>
  <c r="J51" i="1"/>
  <c r="W48" i="7"/>
  <c r="Y41" i="1"/>
  <c r="AC38" i="7"/>
  <c r="Y44" i="1"/>
  <c r="AC41" i="7"/>
  <c r="J50" i="1"/>
  <c r="W47" i="7"/>
  <c r="AX147" i="1"/>
  <c r="AU143" i="7" s="1"/>
  <c r="AU147" i="1"/>
  <c r="AR143" i="7" s="1"/>
  <c r="AT147" i="1"/>
  <c r="AS147" i="1"/>
  <c r="AP143" i="7" s="1"/>
  <c r="AR147" i="1"/>
  <c r="AO143" i="7" s="1"/>
  <c r="AP147" i="1"/>
  <c r="AM143" i="7" s="1"/>
  <c r="AJ147" i="1"/>
  <c r="AG143" i="7" s="1"/>
  <c r="AH147" i="1"/>
  <c r="AE143" i="7" s="1"/>
  <c r="K147" i="1"/>
  <c r="I143" i="7" s="1"/>
  <c r="AR26" i="1"/>
  <c r="AO25" i="7" s="1"/>
  <c r="AS26" i="1"/>
  <c r="AP25" i="7" s="1"/>
  <c r="AT26" i="1"/>
  <c r="AU26" i="1"/>
  <c r="AR25" i="7" s="1"/>
  <c r="AW152" i="1"/>
  <c r="AT148" i="7" s="1"/>
  <c r="AX152" i="1"/>
  <c r="AU148" i="7" s="1"/>
  <c r="AP26" i="1"/>
  <c r="AM25" i="7" s="1"/>
  <c r="AH26" i="1"/>
  <c r="AJ26" i="1"/>
  <c r="AG25" i="7" s="1"/>
  <c r="AR24" i="1"/>
  <c r="AO23" i="7" s="1"/>
  <c r="AS24" i="1"/>
  <c r="AP23" i="7" s="1"/>
  <c r="AT24" i="1"/>
  <c r="AU24" i="1"/>
  <c r="AR23" i="7" s="1"/>
  <c r="AW151" i="1"/>
  <c r="AT147" i="7" s="1"/>
  <c r="AX151" i="1"/>
  <c r="AU147" i="7" s="1"/>
  <c r="AP24" i="1"/>
  <c r="AM23" i="7" s="1"/>
  <c r="AH24" i="1"/>
  <c r="AJ24" i="1"/>
  <c r="AG23" i="7" s="1"/>
  <c r="AR34" i="1"/>
  <c r="AO31" i="7" s="1"/>
  <c r="AS34" i="1"/>
  <c r="AP31" i="7" s="1"/>
  <c r="AT34" i="1"/>
  <c r="AU34" i="1"/>
  <c r="AR31" i="7" s="1"/>
  <c r="AW150" i="1"/>
  <c r="AT146" i="7" s="1"/>
  <c r="AX150" i="1"/>
  <c r="AU146" i="7" s="1"/>
  <c r="AH34" i="1"/>
  <c r="AJ34" i="1"/>
  <c r="AG31" i="7" s="1"/>
  <c r="AP34" i="1"/>
  <c r="AM31" i="7" s="1"/>
  <c r="J34" i="1"/>
  <c r="I5" i="2"/>
  <c r="I6" i="2" s="1"/>
  <c r="J6" i="2" s="1"/>
  <c r="I4" i="2"/>
  <c r="I3" i="2"/>
  <c r="AX145" i="1"/>
  <c r="AU141" i="7" s="1"/>
  <c r="AR54" i="1"/>
  <c r="AO51" i="7" s="1"/>
  <c r="AS54" i="1"/>
  <c r="AP51" i="7" s="1"/>
  <c r="AT54" i="1"/>
  <c r="AU54" i="1"/>
  <c r="AP54" i="1"/>
  <c r="AM51" i="7" s="1"/>
  <c r="Z54" i="1"/>
  <c r="X51" i="7" s="1"/>
  <c r="AA54" i="1"/>
  <c r="Y51" i="7" s="1"/>
  <c r="AB54" i="1"/>
  <c r="Z51" i="7" s="1"/>
  <c r="AC54" i="1"/>
  <c r="AA51" i="7" s="1"/>
  <c r="AE54" i="1"/>
  <c r="AB51" i="7" s="1"/>
  <c r="K54" i="1"/>
  <c r="I51" i="7" s="1"/>
  <c r="AA35" i="1"/>
  <c r="Y32" i="7" s="1"/>
  <c r="AB35" i="1"/>
  <c r="Z32" i="7" s="1"/>
  <c r="AC35" i="1"/>
  <c r="AA32" i="7" s="1"/>
  <c r="AE35" i="1"/>
  <c r="AB32" i="7" s="1"/>
  <c r="AX130" i="1"/>
  <c r="AU126" i="7" s="1"/>
  <c r="AU23" i="1"/>
  <c r="AR22" i="7" s="1"/>
  <c r="AT23" i="1"/>
  <c r="AS23" i="1"/>
  <c r="AP22" i="7" s="1"/>
  <c r="AR23" i="1"/>
  <c r="AO22" i="7" s="1"/>
  <c r="AP23" i="1"/>
  <c r="AM22" i="7" s="1"/>
  <c r="AJ23" i="1"/>
  <c r="AG22" i="7" s="1"/>
  <c r="AH23" i="1"/>
  <c r="AE22" i="7" s="1"/>
  <c r="K23" i="1"/>
  <c r="I22" i="7" s="1"/>
  <c r="AX129" i="1"/>
  <c r="AU125" i="7" s="1"/>
  <c r="AU22" i="1"/>
  <c r="AR21" i="7" s="1"/>
  <c r="AT22" i="1"/>
  <c r="AS22" i="1"/>
  <c r="AP21" i="7" s="1"/>
  <c r="AR22" i="1"/>
  <c r="AO21" i="7" s="1"/>
  <c r="AP22" i="1"/>
  <c r="AM21" i="7" s="1"/>
  <c r="AJ22" i="1"/>
  <c r="AG21" i="7" s="1"/>
  <c r="AH22" i="1"/>
  <c r="K22" i="1"/>
  <c r="I21" i="7" s="1"/>
  <c r="K120" i="1"/>
  <c r="I116" i="7" s="1"/>
  <c r="K121" i="1"/>
  <c r="I117" i="7" s="1"/>
  <c r="K111" i="1"/>
  <c r="I107" i="7" s="1"/>
  <c r="K79" i="1"/>
  <c r="I76" i="7" s="1"/>
  <c r="J44" i="1" l="1"/>
  <c r="W41" i="7"/>
  <c r="J45" i="1"/>
  <c r="W42" i="7"/>
  <c r="B22" i="1"/>
  <c r="AQ21" i="7"/>
  <c r="B147" i="1"/>
  <c r="AQ143" i="7"/>
  <c r="J41" i="1"/>
  <c r="W38" i="7"/>
  <c r="J46" i="1"/>
  <c r="W43" i="7"/>
  <c r="J42" i="1"/>
  <c r="W39" i="7"/>
  <c r="B34" i="1"/>
  <c r="AQ31" i="7"/>
  <c r="B24" i="1"/>
  <c r="AQ23" i="7"/>
  <c r="J43" i="1"/>
  <c r="W40" i="7"/>
  <c r="B54" i="1"/>
  <c r="AQ51" i="7"/>
  <c r="B23" i="1"/>
  <c r="AQ22" i="7"/>
  <c r="AB34" i="1"/>
  <c r="Z31" i="7" s="1"/>
  <c r="AE31" i="7"/>
  <c r="AC24" i="1"/>
  <c r="AA23" i="7" s="1"/>
  <c r="AE23" i="7"/>
  <c r="AV54" i="1"/>
  <c r="AS51" i="7" s="1"/>
  <c r="AR51" i="7"/>
  <c r="B26" i="1"/>
  <c r="AQ25" i="7"/>
  <c r="AB22" i="1"/>
  <c r="Z21" i="7" s="1"/>
  <c r="AE21" i="7"/>
  <c r="AE26" i="1"/>
  <c r="AB25" i="7" s="1"/>
  <c r="AE25" i="7"/>
  <c r="AV147" i="1"/>
  <c r="F147" i="1"/>
  <c r="AA147" i="1"/>
  <c r="Y143" i="7" s="1"/>
  <c r="AB147" i="1"/>
  <c r="Z143" i="7" s="1"/>
  <c r="AC147" i="1"/>
  <c r="AA143" i="7" s="1"/>
  <c r="Z147" i="1"/>
  <c r="X143" i="7" s="1"/>
  <c r="AE147" i="1"/>
  <c r="AB143" i="7" s="1"/>
  <c r="AQ147" i="1"/>
  <c r="F26" i="1"/>
  <c r="AA22" i="1"/>
  <c r="Y21" i="7" s="1"/>
  <c r="F54" i="1"/>
  <c r="F24" i="1"/>
  <c r="F34" i="1"/>
  <c r="AQ34" i="1"/>
  <c r="Z24" i="1"/>
  <c r="X23" i="7" s="1"/>
  <c r="AQ26" i="1"/>
  <c r="Z34" i="1"/>
  <c r="X31" i="7" s="1"/>
  <c r="AV26" i="1"/>
  <c r="Z26" i="1"/>
  <c r="X25" i="7" s="1"/>
  <c r="AE34" i="1"/>
  <c r="AB31" i="7" s="1"/>
  <c r="AQ24" i="1"/>
  <c r="AA34" i="1"/>
  <c r="Y31" i="7" s="1"/>
  <c r="AV34" i="1"/>
  <c r="AE24" i="1"/>
  <c r="AB23" i="7" s="1"/>
  <c r="AA24" i="1"/>
  <c r="Y23" i="7" s="1"/>
  <c r="AC34" i="1"/>
  <c r="AA31" i="7" s="1"/>
  <c r="AB24" i="1"/>
  <c r="Z23" i="7" s="1"/>
  <c r="AV24" i="1"/>
  <c r="AA26" i="1"/>
  <c r="Y25" i="7" s="1"/>
  <c r="AC26" i="1"/>
  <c r="AA25" i="7" s="1"/>
  <c r="AB26" i="1"/>
  <c r="Z25" i="7" s="1"/>
  <c r="F22" i="1"/>
  <c r="F23" i="1"/>
  <c r="AV23" i="1"/>
  <c r="AF54" i="1"/>
  <c r="AC51" i="7" s="1"/>
  <c r="AQ54" i="1"/>
  <c r="AC22" i="1"/>
  <c r="AA21" i="7" s="1"/>
  <c r="Z22" i="1"/>
  <c r="X21" i="7" s="1"/>
  <c r="AE22" i="1"/>
  <c r="AB21" i="7" s="1"/>
  <c r="Z23" i="1"/>
  <c r="X22" i="7" s="1"/>
  <c r="AA23" i="1"/>
  <c r="Y22" i="7" s="1"/>
  <c r="AE23" i="1"/>
  <c r="AB22" i="7" s="1"/>
  <c r="AV22" i="1"/>
  <c r="AB23" i="1"/>
  <c r="Z22" i="7" s="1"/>
  <c r="AC23" i="1"/>
  <c r="AA22" i="7" s="1"/>
  <c r="AQ23" i="1"/>
  <c r="AQ22" i="1"/>
  <c r="AX4" i="1"/>
  <c r="AU3" i="7" s="1"/>
  <c r="AX5" i="1"/>
  <c r="AU4" i="7" s="1"/>
  <c r="AX6" i="1"/>
  <c r="AU5" i="7" s="1"/>
  <c r="AX7" i="1"/>
  <c r="AU6" i="7" s="1"/>
  <c r="AX8" i="1"/>
  <c r="AU7" i="7" s="1"/>
  <c r="AX9" i="1"/>
  <c r="AU8" i="7" s="1"/>
  <c r="AX10" i="1"/>
  <c r="AU9" i="7" s="1"/>
  <c r="AX11" i="1"/>
  <c r="AU10" i="7" s="1"/>
  <c r="AX12" i="1"/>
  <c r="AU11" i="7" s="1"/>
  <c r="AX13" i="1"/>
  <c r="AU12" i="7" s="1"/>
  <c r="AX14" i="1"/>
  <c r="AU13" i="7" s="1"/>
  <c r="AX15" i="1"/>
  <c r="AU14" i="7" s="1"/>
  <c r="AX16" i="1"/>
  <c r="AU15" i="7" s="1"/>
  <c r="AX17" i="1"/>
  <c r="AU16" i="7" s="1"/>
  <c r="AX18" i="1"/>
  <c r="AU17" i="7" s="1"/>
  <c r="AX19" i="1"/>
  <c r="AU18" i="7" s="1"/>
  <c r="AX20" i="1"/>
  <c r="AU19" i="7" s="1"/>
  <c r="AX21" i="1"/>
  <c r="AU20" i="7" s="1"/>
  <c r="AX22" i="1"/>
  <c r="AU21" i="7" s="1"/>
  <c r="AX23" i="1"/>
  <c r="AU22" i="7" s="1"/>
  <c r="AX24" i="1"/>
  <c r="AU23" i="7" s="1"/>
  <c r="AX26" i="1"/>
  <c r="AU25" i="7" s="1"/>
  <c r="AX29" i="1"/>
  <c r="AU26" i="7" s="1"/>
  <c r="AX30" i="1"/>
  <c r="AU27" i="7" s="1"/>
  <c r="AX31" i="1"/>
  <c r="AU28" i="7" s="1"/>
  <c r="AX32" i="1"/>
  <c r="AU29" i="7" s="1"/>
  <c r="AX33" i="1"/>
  <c r="AU30" i="7" s="1"/>
  <c r="AX34" i="1"/>
  <c r="AU31" i="7" s="1"/>
  <c r="AX35" i="1"/>
  <c r="AU32" i="7" s="1"/>
  <c r="AX36" i="1"/>
  <c r="AU33" i="7" s="1"/>
  <c r="AX37" i="1"/>
  <c r="AU34" i="7" s="1"/>
  <c r="AX38" i="1"/>
  <c r="AU35" i="7" s="1"/>
  <c r="AX39" i="1"/>
  <c r="AU36" i="7" s="1"/>
  <c r="AX52" i="1"/>
  <c r="AU49" i="7" s="1"/>
  <c r="AX53" i="1"/>
  <c r="AU50" i="7" s="1"/>
  <c r="AX54" i="1"/>
  <c r="AU51" i="7" s="1"/>
  <c r="AX55" i="1"/>
  <c r="AU52" i="7" s="1"/>
  <c r="AX56" i="1"/>
  <c r="AU53" i="7" s="1"/>
  <c r="AX57" i="1"/>
  <c r="AU54" i="7" s="1"/>
  <c r="AX58" i="1"/>
  <c r="AU55" i="7" s="1"/>
  <c r="AX59" i="1"/>
  <c r="AU56" i="7" s="1"/>
  <c r="AX60" i="1"/>
  <c r="AU57" i="7" s="1"/>
  <c r="AX61" i="1"/>
  <c r="AU58" i="7" s="1"/>
  <c r="AX62" i="1"/>
  <c r="AU59" i="7" s="1"/>
  <c r="AX63" i="1"/>
  <c r="AU60" i="7" s="1"/>
  <c r="AX64" i="1"/>
  <c r="AU61" i="7" s="1"/>
  <c r="AX65" i="1"/>
  <c r="AU62" i="7" s="1"/>
  <c r="AX66" i="1"/>
  <c r="AU63" i="7" s="1"/>
  <c r="AX67" i="1"/>
  <c r="AU64" i="7" s="1"/>
  <c r="AX68" i="1"/>
  <c r="AU65" i="7" s="1"/>
  <c r="AX69" i="1"/>
  <c r="AU66" i="7" s="1"/>
  <c r="AX70" i="1"/>
  <c r="AU67" i="7" s="1"/>
  <c r="AX71" i="1"/>
  <c r="AU68" i="7" s="1"/>
  <c r="AX72" i="1"/>
  <c r="AU69" i="7" s="1"/>
  <c r="AX73" i="1"/>
  <c r="AU70" i="7" s="1"/>
  <c r="AX74" i="1"/>
  <c r="AU71" i="7" s="1"/>
  <c r="AX75" i="1"/>
  <c r="AU72" i="7" s="1"/>
  <c r="AX77" i="1"/>
  <c r="AU74" i="7" s="1"/>
  <c r="AX78" i="1"/>
  <c r="AU75" i="7" s="1"/>
  <c r="AX79" i="1"/>
  <c r="AU76" i="7" s="1"/>
  <c r="AX80" i="1"/>
  <c r="AU77" i="7" s="1"/>
  <c r="AX81" i="1"/>
  <c r="AU78" i="7" s="1"/>
  <c r="AX85" i="1"/>
  <c r="AU82" i="7" s="1"/>
  <c r="AX86" i="1"/>
  <c r="AU83" i="7" s="1"/>
  <c r="AX88" i="1"/>
  <c r="AU85" i="7" s="1"/>
  <c r="AX89" i="1"/>
  <c r="AU86" i="7" s="1"/>
  <c r="AX90" i="1"/>
  <c r="AU87" i="7" s="1"/>
  <c r="AX91" i="1"/>
  <c r="AU88" i="7" s="1"/>
  <c r="AX92" i="1"/>
  <c r="AU89" i="7" s="1"/>
  <c r="AX93" i="1"/>
  <c r="AU90" i="7" s="1"/>
  <c r="AX94" i="1"/>
  <c r="AU91" i="7" s="1"/>
  <c r="AX95" i="1"/>
  <c r="AU92" i="7" s="1"/>
  <c r="AX96" i="1"/>
  <c r="AU93" i="7" s="1"/>
  <c r="AX97" i="1"/>
  <c r="AU94" i="7" s="1"/>
  <c r="AX98" i="1"/>
  <c r="AU95" i="7" s="1"/>
  <c r="AX99" i="1"/>
  <c r="AU96" i="7" s="1"/>
  <c r="AX101" i="1"/>
  <c r="AU97" i="7" s="1"/>
  <c r="AX102" i="1"/>
  <c r="AU98" i="7" s="1"/>
  <c r="AX103" i="1"/>
  <c r="AU99" i="7" s="1"/>
  <c r="AX104" i="1"/>
  <c r="AU100" i="7" s="1"/>
  <c r="AX105" i="1"/>
  <c r="AU101" i="7" s="1"/>
  <c r="AX106" i="1"/>
  <c r="AU102" i="7" s="1"/>
  <c r="AX107" i="1"/>
  <c r="AU103" i="7" s="1"/>
  <c r="AX108" i="1"/>
  <c r="AU104" i="7" s="1"/>
  <c r="AX109" i="1"/>
  <c r="AU105" i="7" s="1"/>
  <c r="AX110" i="1"/>
  <c r="AU106" i="7" s="1"/>
  <c r="AX111" i="1"/>
  <c r="AU107" i="7" s="1"/>
  <c r="AX112" i="1"/>
  <c r="AU108" i="7" s="1"/>
  <c r="AX113" i="1"/>
  <c r="AU109" i="7" s="1"/>
  <c r="AX114" i="1"/>
  <c r="AU110" i="7" s="1"/>
  <c r="AX115" i="1"/>
  <c r="AU111" i="7" s="1"/>
  <c r="AX116" i="1"/>
  <c r="AU112" i="7" s="1"/>
  <c r="AX117" i="1"/>
  <c r="AU113" i="7" s="1"/>
  <c r="AX118" i="1"/>
  <c r="AU114" i="7" s="1"/>
  <c r="AX119" i="1"/>
  <c r="AU115" i="7" s="1"/>
  <c r="AX120" i="1"/>
  <c r="AU116" i="7" s="1"/>
  <c r="AX121" i="1"/>
  <c r="AU117" i="7" s="1"/>
  <c r="AX122" i="1"/>
  <c r="AU118" i="7" s="1"/>
  <c r="AX123" i="1"/>
  <c r="AU119" i="7" s="1"/>
  <c r="AX124" i="1"/>
  <c r="AU120" i="7" s="1"/>
  <c r="AX125" i="1"/>
  <c r="AU121" i="7" s="1"/>
  <c r="AX126" i="1"/>
  <c r="AU122" i="7" s="1"/>
  <c r="AX127" i="1"/>
  <c r="AU123" i="7" s="1"/>
  <c r="AX128" i="1"/>
  <c r="AU124" i="7" s="1"/>
  <c r="AX131" i="1"/>
  <c r="AU127" i="7" s="1"/>
  <c r="AX132" i="1"/>
  <c r="AU128" i="7" s="1"/>
  <c r="AX133" i="1"/>
  <c r="AU129" i="7" s="1"/>
  <c r="AX134" i="1"/>
  <c r="AU130" i="7" s="1"/>
  <c r="AX135" i="1"/>
  <c r="AU131" i="7" s="1"/>
  <c r="AX136" i="1"/>
  <c r="AU132" i="7" s="1"/>
  <c r="AX137" i="1"/>
  <c r="AU133" i="7" s="1"/>
  <c r="AX138" i="1"/>
  <c r="AU134" i="7" s="1"/>
  <c r="AX139" i="1"/>
  <c r="AU135" i="7" s="1"/>
  <c r="AX140" i="1"/>
  <c r="AU136" i="7" s="1"/>
  <c r="AX141" i="1"/>
  <c r="AU137" i="7" s="1"/>
  <c r="AX142" i="1"/>
  <c r="AU138" i="7" s="1"/>
  <c r="AX143" i="1"/>
  <c r="AU139" i="7" s="1"/>
  <c r="AX144" i="1"/>
  <c r="AU140" i="7" s="1"/>
  <c r="AX146" i="1"/>
  <c r="AU142" i="7" s="1"/>
  <c r="AX148" i="1"/>
  <c r="AU144" i="7" s="1"/>
  <c r="AX149" i="1"/>
  <c r="AU145" i="7" s="1"/>
  <c r="AX153" i="1"/>
  <c r="AU149" i="7" s="1"/>
  <c r="AX154" i="1"/>
  <c r="AU150" i="7" s="1"/>
  <c r="AX155" i="1"/>
  <c r="AX156" i="1"/>
  <c r="AX157" i="1"/>
  <c r="AX158" i="1"/>
  <c r="AX159" i="1"/>
  <c r="AX160" i="1"/>
  <c r="AX161" i="1"/>
  <c r="AX162" i="1"/>
  <c r="AX163" i="1"/>
  <c r="AX164" i="1"/>
  <c r="AX165" i="1"/>
  <c r="AX166" i="1"/>
  <c r="AX167" i="1"/>
  <c r="AX168" i="1"/>
  <c r="AX169" i="1"/>
  <c r="AX170" i="1"/>
  <c r="AX171" i="1"/>
  <c r="AX172" i="1"/>
  <c r="AX173" i="1"/>
  <c r="AX174" i="1"/>
  <c r="AX175" i="1"/>
  <c r="AX176" i="1"/>
  <c r="AX177" i="1"/>
  <c r="AX178" i="1"/>
  <c r="AX179" i="1"/>
  <c r="AX180" i="1"/>
  <c r="AX181" i="1"/>
  <c r="AX182" i="1"/>
  <c r="AX183" i="1"/>
  <c r="AX184"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6" i="1"/>
  <c r="AX217" i="1"/>
  <c r="AX218" i="1"/>
  <c r="AX219" i="1"/>
  <c r="AX220" i="1"/>
  <c r="AX221"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X250" i="1"/>
  <c r="AX251" i="1"/>
  <c r="AX252" i="1"/>
  <c r="AX253" i="1"/>
  <c r="AX254" i="1"/>
  <c r="AX255" i="1"/>
  <c r="AX256" i="1"/>
  <c r="AX257" i="1"/>
  <c r="AX258" i="1"/>
  <c r="AX259" i="1"/>
  <c r="AX260" i="1"/>
  <c r="AX261" i="1"/>
  <c r="AX262" i="1"/>
  <c r="AX263" i="1"/>
  <c r="AX264" i="1"/>
  <c r="AX265" i="1"/>
  <c r="AX266" i="1"/>
  <c r="AX267" i="1"/>
  <c r="AX268" i="1"/>
  <c r="AX269" i="1"/>
  <c r="AX270" i="1"/>
  <c r="AX271" i="1"/>
  <c r="AX272" i="1"/>
  <c r="AX273" i="1"/>
  <c r="AX274" i="1"/>
  <c r="AX275" i="1"/>
  <c r="AX276" i="1"/>
  <c r="AX277" i="1"/>
  <c r="AX278" i="1"/>
  <c r="AX279" i="1"/>
  <c r="AX280" i="1"/>
  <c r="AX281" i="1"/>
  <c r="AX282" i="1"/>
  <c r="AX283" i="1"/>
  <c r="AX284" i="1"/>
  <c r="AX285" i="1"/>
  <c r="AX286" i="1"/>
  <c r="AX287" i="1"/>
  <c r="AX288" i="1"/>
  <c r="AX289" i="1"/>
  <c r="AX290" i="1"/>
  <c r="AX291" i="1"/>
  <c r="AX292" i="1"/>
  <c r="AX293" i="1"/>
  <c r="AX294" i="1"/>
  <c r="AX295" i="1"/>
  <c r="AX296" i="1"/>
  <c r="AX297" i="1"/>
  <c r="AX298" i="1"/>
  <c r="AX299" i="1"/>
  <c r="AX300" i="1"/>
  <c r="AX301" i="1"/>
  <c r="AX302" i="1"/>
  <c r="AX303" i="1"/>
  <c r="AX304" i="1"/>
  <c r="AX305" i="1"/>
  <c r="AX306" i="1"/>
  <c r="AX307" i="1"/>
  <c r="AX308" i="1"/>
  <c r="AX309" i="1"/>
  <c r="AX310" i="1"/>
  <c r="AX311" i="1"/>
  <c r="AX312" i="1"/>
  <c r="AX313" i="1"/>
  <c r="AX314" i="1"/>
  <c r="AX315" i="1"/>
  <c r="AX316" i="1"/>
  <c r="AX317" i="1"/>
  <c r="AX318" i="1"/>
  <c r="AX3" i="1"/>
  <c r="AU2" i="7" s="1"/>
  <c r="AW3" i="1"/>
  <c r="AT2" i="7" s="1"/>
  <c r="AW4" i="1"/>
  <c r="AT3" i="7" s="1"/>
  <c r="AW5" i="1"/>
  <c r="AT4" i="7" s="1"/>
  <c r="AW6" i="1"/>
  <c r="AT5" i="7" s="1"/>
  <c r="AW7" i="1"/>
  <c r="AT6" i="7" s="1"/>
  <c r="AW8" i="1"/>
  <c r="AT7" i="7" s="1"/>
  <c r="AW9" i="1"/>
  <c r="AT8" i="7" s="1"/>
  <c r="AW10" i="1"/>
  <c r="AT9" i="7" s="1"/>
  <c r="AW11" i="1"/>
  <c r="AT10" i="7" s="1"/>
  <c r="AW12" i="1"/>
  <c r="AT11" i="7" s="1"/>
  <c r="AW13" i="1"/>
  <c r="AT12" i="7" s="1"/>
  <c r="AW14" i="1"/>
  <c r="AT13" i="7" s="1"/>
  <c r="AW15" i="1"/>
  <c r="AT14" i="7" s="1"/>
  <c r="AW16" i="1"/>
  <c r="AT15" i="7" s="1"/>
  <c r="AW17" i="1"/>
  <c r="AT16" i="7" s="1"/>
  <c r="AW18" i="1"/>
  <c r="AT17" i="7" s="1"/>
  <c r="AW19" i="1"/>
  <c r="AT18" i="7" s="1"/>
  <c r="AW20" i="1"/>
  <c r="AT19" i="7" s="1"/>
  <c r="AW21" i="1"/>
  <c r="AT20" i="7" s="1"/>
  <c r="AW22" i="1"/>
  <c r="AT21" i="7" s="1"/>
  <c r="AW23" i="1"/>
  <c r="AT22" i="7" s="1"/>
  <c r="AW24" i="1"/>
  <c r="AT23" i="7" s="1"/>
  <c r="AW26" i="1"/>
  <c r="AT25" i="7" s="1"/>
  <c r="AW29" i="1"/>
  <c r="AT26" i="7" s="1"/>
  <c r="AW30" i="1"/>
  <c r="AT27" i="7" s="1"/>
  <c r="AW31" i="1"/>
  <c r="AT28" i="7" s="1"/>
  <c r="AW32" i="1"/>
  <c r="AT29" i="7" s="1"/>
  <c r="AW33" i="1"/>
  <c r="AT30" i="7" s="1"/>
  <c r="AW34" i="1"/>
  <c r="AT31" i="7" s="1"/>
  <c r="AW35" i="1"/>
  <c r="AT32" i="7" s="1"/>
  <c r="AW36" i="1"/>
  <c r="AT33" i="7" s="1"/>
  <c r="AW37" i="1"/>
  <c r="AT34" i="7" s="1"/>
  <c r="AW38" i="1"/>
  <c r="AT35" i="7" s="1"/>
  <c r="AW39" i="1"/>
  <c r="AT36" i="7" s="1"/>
  <c r="AW52" i="1"/>
  <c r="AT49" i="7" s="1"/>
  <c r="AW53" i="1"/>
  <c r="AT50" i="7" s="1"/>
  <c r="AW54" i="1"/>
  <c r="AT51" i="7" s="1"/>
  <c r="AW55" i="1"/>
  <c r="AT52" i="7" s="1"/>
  <c r="AW56" i="1"/>
  <c r="AT53" i="7" s="1"/>
  <c r="AW57" i="1"/>
  <c r="AT54" i="7" s="1"/>
  <c r="AW58" i="1"/>
  <c r="AT55" i="7" s="1"/>
  <c r="AW59" i="1"/>
  <c r="AT56" i="7" s="1"/>
  <c r="AW60" i="1"/>
  <c r="AT57" i="7" s="1"/>
  <c r="AW61" i="1"/>
  <c r="AT58" i="7" s="1"/>
  <c r="AW62" i="1"/>
  <c r="AT59" i="7" s="1"/>
  <c r="AW63" i="1"/>
  <c r="AT60" i="7" s="1"/>
  <c r="AW64" i="1"/>
  <c r="AT61" i="7" s="1"/>
  <c r="AW65" i="1"/>
  <c r="AT62" i="7" s="1"/>
  <c r="AW66" i="1"/>
  <c r="AT63" i="7" s="1"/>
  <c r="AW67" i="1"/>
  <c r="AT64" i="7" s="1"/>
  <c r="AW68" i="1"/>
  <c r="AT65" i="7" s="1"/>
  <c r="AW70" i="1"/>
  <c r="AT67" i="7" s="1"/>
  <c r="AW71" i="1"/>
  <c r="AT68" i="7" s="1"/>
  <c r="AW72" i="1"/>
  <c r="AT69" i="7" s="1"/>
  <c r="AW73" i="1"/>
  <c r="AT70" i="7" s="1"/>
  <c r="AW74" i="1"/>
  <c r="AT71" i="7" s="1"/>
  <c r="AW75" i="1"/>
  <c r="AT72" i="7" s="1"/>
  <c r="AW77" i="1"/>
  <c r="AT74" i="7" s="1"/>
  <c r="AW78" i="1"/>
  <c r="AT75" i="7" s="1"/>
  <c r="AW79" i="1"/>
  <c r="AT76" i="7" s="1"/>
  <c r="AW80" i="1"/>
  <c r="AT77" i="7" s="1"/>
  <c r="AW81" i="1"/>
  <c r="AT78" i="7" s="1"/>
  <c r="AW85" i="1"/>
  <c r="AT82" i="7" s="1"/>
  <c r="AW86" i="1"/>
  <c r="AT83" i="7" s="1"/>
  <c r="AW88" i="1"/>
  <c r="AT85" i="7" s="1"/>
  <c r="AW89" i="1"/>
  <c r="AT86" i="7" s="1"/>
  <c r="AW90" i="1"/>
  <c r="AT87" i="7" s="1"/>
  <c r="AW91" i="1"/>
  <c r="AT88" i="7" s="1"/>
  <c r="AW69" i="1"/>
  <c r="AT66" i="7" s="1"/>
  <c r="C2" i="9"/>
  <c r="B2" i="9"/>
  <c r="H4" i="8"/>
  <c r="E4" i="8"/>
  <c r="N14" i="8"/>
  <c r="N8" i="8" s="1"/>
  <c r="D8" i="8" s="1"/>
  <c r="V18" i="8" s="1"/>
  <c r="Q13" i="8"/>
  <c r="O14" i="8" s="1"/>
  <c r="O8" i="8" s="1"/>
  <c r="E8" i="8" s="1"/>
  <c r="V19" i="8" s="1"/>
  <c r="K119" i="1"/>
  <c r="I115" i="7" s="1"/>
  <c r="AI24" i="1" l="1"/>
  <c r="AF23" i="7" s="1"/>
  <c r="AS23" i="7"/>
  <c r="AI22" i="1"/>
  <c r="AF21" i="7" s="1"/>
  <c r="AS21" i="7"/>
  <c r="AI26" i="1"/>
  <c r="AF25" i="7" s="1"/>
  <c r="AS25" i="7"/>
  <c r="AI147" i="1"/>
  <c r="AF143" i="7" s="1"/>
  <c r="AS143" i="7"/>
  <c r="AG22" i="1"/>
  <c r="AD21" i="7" s="1"/>
  <c r="AN21" i="7"/>
  <c r="AI34" i="1"/>
  <c r="AF31" i="7" s="1"/>
  <c r="AS31" i="7"/>
  <c r="AG26" i="1"/>
  <c r="AD25" i="7" s="1"/>
  <c r="AN25" i="7"/>
  <c r="AG23" i="1"/>
  <c r="AD22" i="7" s="1"/>
  <c r="AN22" i="7"/>
  <c r="AG34" i="1"/>
  <c r="AD31" i="7" s="1"/>
  <c r="AN31" i="7"/>
  <c r="AG54" i="1"/>
  <c r="AD51" i="7" s="1"/>
  <c r="AN51" i="7"/>
  <c r="AI23" i="1"/>
  <c r="AF22" i="7" s="1"/>
  <c r="AS22" i="7"/>
  <c r="AG147" i="1"/>
  <c r="AD143" i="7" s="1"/>
  <c r="AN143" i="7"/>
  <c r="AG24" i="1"/>
  <c r="AD23" i="7" s="1"/>
  <c r="AN23" i="7"/>
  <c r="AF147" i="1"/>
  <c r="AF24" i="1"/>
  <c r="AF34" i="1"/>
  <c r="AC31" i="7" s="1"/>
  <c r="AF22" i="1"/>
  <c r="AF23" i="1"/>
  <c r="P14" i="8"/>
  <c r="P8" i="8" s="1"/>
  <c r="F8" i="8" s="1"/>
  <c r="V20" i="8" s="1"/>
  <c r="L14" i="8"/>
  <c r="L8" i="8" s="1"/>
  <c r="B8" i="8" s="1"/>
  <c r="V16" i="8" s="1"/>
  <c r="M14" i="8"/>
  <c r="M8" i="8" s="1"/>
  <c r="C8" i="8" s="1"/>
  <c r="V17" i="8" s="1"/>
  <c r="E11" i="8"/>
  <c r="W19" i="8" s="1"/>
  <c r="D11" i="8"/>
  <c r="W18" i="8" s="1"/>
  <c r="Q8" i="8"/>
  <c r="K103" i="1"/>
  <c r="I99" i="7" s="1"/>
  <c r="Y54" i="1" l="1"/>
  <c r="W51" i="7" s="1"/>
  <c r="Y26" i="1"/>
  <c r="J26" i="1" s="1"/>
  <c r="Y22" i="1"/>
  <c r="AC21" i="7"/>
  <c r="Y147" i="1"/>
  <c r="AC143" i="7"/>
  <c r="Y24" i="1"/>
  <c r="AC23" i="7"/>
  <c r="Y23" i="1"/>
  <c r="AC22" i="7"/>
  <c r="G8" i="8"/>
  <c r="H8" i="8" s="1"/>
  <c r="V22" i="8" s="1"/>
  <c r="V21" i="8"/>
  <c r="C11" i="8"/>
  <c r="W17" i="8" s="1"/>
  <c r="F11" i="8"/>
  <c r="W20" i="8" s="1"/>
  <c r="B11" i="8"/>
  <c r="W16" i="8" s="1"/>
  <c r="H11" i="8"/>
  <c r="W22" i="8" s="1"/>
  <c r="E3" i="7"/>
  <c r="AV3" i="7"/>
  <c r="AW3" i="7"/>
  <c r="AX3" i="7"/>
  <c r="AY3" i="7"/>
  <c r="AZ3" i="7"/>
  <c r="BA3" i="7"/>
  <c r="BB3" i="7"/>
  <c r="BC3" i="7"/>
  <c r="BD3" i="7"/>
  <c r="BE3" i="7"/>
  <c r="BF3" i="7"/>
  <c r="BG3" i="7"/>
  <c r="E4" i="7"/>
  <c r="AV4" i="7"/>
  <c r="AW4" i="7"/>
  <c r="AX4" i="7"/>
  <c r="AY4" i="7"/>
  <c r="AZ4" i="7"/>
  <c r="BA4" i="7"/>
  <c r="BB4" i="7"/>
  <c r="BC4" i="7"/>
  <c r="BD4" i="7"/>
  <c r="BE4" i="7"/>
  <c r="BF4" i="7"/>
  <c r="BG4" i="7"/>
  <c r="E5" i="7"/>
  <c r="AV5" i="7"/>
  <c r="AW5" i="7"/>
  <c r="AX5" i="7"/>
  <c r="AY5" i="7"/>
  <c r="AZ5" i="7"/>
  <c r="BA5" i="7"/>
  <c r="BB5" i="7"/>
  <c r="BC5" i="7"/>
  <c r="BD5" i="7"/>
  <c r="BE5" i="7"/>
  <c r="BF5" i="7"/>
  <c r="BG5" i="7"/>
  <c r="E6" i="7"/>
  <c r="AV6" i="7"/>
  <c r="AW6" i="7"/>
  <c r="AX6" i="7"/>
  <c r="AY6" i="7"/>
  <c r="AZ6" i="7"/>
  <c r="BA6" i="7"/>
  <c r="BB6" i="7"/>
  <c r="BC6" i="7"/>
  <c r="BD6" i="7"/>
  <c r="BE6" i="7"/>
  <c r="BF6" i="7"/>
  <c r="BG6" i="7"/>
  <c r="E7" i="7"/>
  <c r="AV7" i="7"/>
  <c r="AW7" i="7"/>
  <c r="AX7" i="7"/>
  <c r="AY7" i="7"/>
  <c r="AZ7" i="7"/>
  <c r="BA7" i="7"/>
  <c r="BB7" i="7"/>
  <c r="BC7" i="7"/>
  <c r="BD7" i="7"/>
  <c r="BE7" i="7"/>
  <c r="BF7" i="7"/>
  <c r="BG7" i="7"/>
  <c r="E8" i="7"/>
  <c r="AV8" i="7"/>
  <c r="AW8" i="7"/>
  <c r="AX8" i="7"/>
  <c r="AY8" i="7"/>
  <c r="AZ8" i="7"/>
  <c r="BA8" i="7"/>
  <c r="BB8" i="7"/>
  <c r="BC8" i="7"/>
  <c r="BD8" i="7"/>
  <c r="BE8" i="7"/>
  <c r="BF8" i="7"/>
  <c r="BG8" i="7"/>
  <c r="E9" i="7"/>
  <c r="AV9" i="7"/>
  <c r="AW9" i="7"/>
  <c r="AX9" i="7"/>
  <c r="AY9" i="7"/>
  <c r="AZ9" i="7"/>
  <c r="BA9" i="7"/>
  <c r="BB9" i="7"/>
  <c r="BC9" i="7"/>
  <c r="BD9" i="7"/>
  <c r="BE9" i="7"/>
  <c r="BF9" i="7"/>
  <c r="BG9" i="7"/>
  <c r="E10" i="7"/>
  <c r="AV10" i="7"/>
  <c r="AW10" i="7"/>
  <c r="AX10" i="7"/>
  <c r="AY10" i="7"/>
  <c r="AZ10" i="7"/>
  <c r="BA10" i="7"/>
  <c r="BB10" i="7"/>
  <c r="BC10" i="7"/>
  <c r="BD10" i="7"/>
  <c r="BE10" i="7"/>
  <c r="BF10" i="7"/>
  <c r="BG10" i="7"/>
  <c r="E11" i="7"/>
  <c r="AV11" i="7"/>
  <c r="AW11" i="7"/>
  <c r="AX11" i="7"/>
  <c r="AY11" i="7"/>
  <c r="AZ11" i="7"/>
  <c r="BA11" i="7"/>
  <c r="BB11" i="7"/>
  <c r="BC11" i="7"/>
  <c r="BD11" i="7"/>
  <c r="BE11" i="7"/>
  <c r="BF11" i="7"/>
  <c r="BG11" i="7"/>
  <c r="E12" i="7"/>
  <c r="AV12" i="7"/>
  <c r="AW12" i="7"/>
  <c r="AX12" i="7"/>
  <c r="AY12" i="7"/>
  <c r="AZ12" i="7"/>
  <c r="BA12" i="7"/>
  <c r="BB12" i="7"/>
  <c r="BC12" i="7"/>
  <c r="BD12" i="7"/>
  <c r="BE12" i="7"/>
  <c r="BF12" i="7"/>
  <c r="BG12" i="7"/>
  <c r="E13" i="7"/>
  <c r="AV13" i="7"/>
  <c r="AW13" i="7"/>
  <c r="AX13" i="7"/>
  <c r="AY13" i="7"/>
  <c r="AZ13" i="7"/>
  <c r="BA13" i="7"/>
  <c r="BB13" i="7"/>
  <c r="BC13" i="7"/>
  <c r="BD13" i="7"/>
  <c r="BE13" i="7"/>
  <c r="BF13" i="7"/>
  <c r="BG13" i="7"/>
  <c r="E14" i="7"/>
  <c r="AV14" i="7"/>
  <c r="AW14" i="7"/>
  <c r="AX14" i="7"/>
  <c r="AY14" i="7"/>
  <c r="AZ14" i="7"/>
  <c r="BA14" i="7"/>
  <c r="BB14" i="7"/>
  <c r="BC14" i="7"/>
  <c r="BD14" i="7"/>
  <c r="BE14" i="7"/>
  <c r="BF14" i="7"/>
  <c r="BG14" i="7"/>
  <c r="E15" i="7"/>
  <c r="AV15" i="7"/>
  <c r="AW15" i="7"/>
  <c r="AX15" i="7"/>
  <c r="AY15" i="7"/>
  <c r="AZ15" i="7"/>
  <c r="BA15" i="7"/>
  <c r="BB15" i="7"/>
  <c r="BC15" i="7"/>
  <c r="BD15" i="7"/>
  <c r="BE15" i="7"/>
  <c r="BF15" i="7"/>
  <c r="BG15" i="7"/>
  <c r="E16" i="7"/>
  <c r="AV16" i="7"/>
  <c r="AW16" i="7"/>
  <c r="AX16" i="7"/>
  <c r="AY16" i="7"/>
  <c r="AZ16" i="7"/>
  <c r="BA16" i="7"/>
  <c r="BB16" i="7"/>
  <c r="BC16" i="7"/>
  <c r="BD16" i="7"/>
  <c r="BE16" i="7"/>
  <c r="BF16" i="7"/>
  <c r="BG16" i="7"/>
  <c r="E17" i="7"/>
  <c r="AV17" i="7"/>
  <c r="AW17" i="7"/>
  <c r="AX17" i="7"/>
  <c r="AY17" i="7"/>
  <c r="AZ17" i="7"/>
  <c r="BA17" i="7"/>
  <c r="BB17" i="7"/>
  <c r="BC17" i="7"/>
  <c r="BD17" i="7"/>
  <c r="BE17" i="7"/>
  <c r="BF17" i="7"/>
  <c r="BG17" i="7"/>
  <c r="E18" i="7"/>
  <c r="AV18" i="7"/>
  <c r="AW18" i="7"/>
  <c r="AX18" i="7"/>
  <c r="AY18" i="7"/>
  <c r="AZ18" i="7"/>
  <c r="BA18" i="7"/>
  <c r="BB18" i="7"/>
  <c r="BC18" i="7"/>
  <c r="BD18" i="7"/>
  <c r="BE18" i="7"/>
  <c r="BF18" i="7"/>
  <c r="BG18" i="7"/>
  <c r="E19" i="7"/>
  <c r="AV19" i="7"/>
  <c r="AW19" i="7"/>
  <c r="AX19" i="7"/>
  <c r="AY19" i="7"/>
  <c r="AZ19" i="7"/>
  <c r="BA19" i="7"/>
  <c r="BB19" i="7"/>
  <c r="BC19" i="7"/>
  <c r="BD19" i="7"/>
  <c r="BE19" i="7"/>
  <c r="BF19" i="7"/>
  <c r="BG19" i="7"/>
  <c r="E20" i="7"/>
  <c r="AV20" i="7"/>
  <c r="AW20" i="7"/>
  <c r="AX20" i="7"/>
  <c r="AY20" i="7"/>
  <c r="AZ20" i="7"/>
  <c r="BA20" i="7"/>
  <c r="BB20" i="7"/>
  <c r="BC20" i="7"/>
  <c r="BD20" i="7"/>
  <c r="BE20" i="7"/>
  <c r="BF20" i="7"/>
  <c r="BG20" i="7"/>
  <c r="E21" i="7"/>
  <c r="AV21" i="7"/>
  <c r="AW21" i="7"/>
  <c r="AX21" i="7"/>
  <c r="AY21" i="7"/>
  <c r="AZ21" i="7"/>
  <c r="BA21" i="7"/>
  <c r="BB21" i="7"/>
  <c r="BC21" i="7"/>
  <c r="BD21" i="7"/>
  <c r="BE21" i="7"/>
  <c r="BF21" i="7"/>
  <c r="BG21" i="7"/>
  <c r="E22" i="7"/>
  <c r="AV22" i="7"/>
  <c r="AW22" i="7"/>
  <c r="AX22" i="7"/>
  <c r="AY22" i="7"/>
  <c r="AZ22" i="7"/>
  <c r="BA22" i="7"/>
  <c r="BB22" i="7"/>
  <c r="BC22" i="7"/>
  <c r="BD22" i="7"/>
  <c r="BE22" i="7"/>
  <c r="BF22" i="7"/>
  <c r="BG22" i="7"/>
  <c r="E23" i="7"/>
  <c r="AV23" i="7"/>
  <c r="AW23" i="7"/>
  <c r="AX23" i="7"/>
  <c r="AY23" i="7"/>
  <c r="AZ23" i="7"/>
  <c r="BA23" i="7"/>
  <c r="BB23" i="7"/>
  <c r="BC23" i="7"/>
  <c r="BD23" i="7"/>
  <c r="BE23" i="7"/>
  <c r="BF23" i="7"/>
  <c r="BG23" i="7"/>
  <c r="E24" i="7"/>
  <c r="AV24" i="7"/>
  <c r="AW24" i="7"/>
  <c r="AX24" i="7"/>
  <c r="AY24" i="7"/>
  <c r="AZ24" i="7"/>
  <c r="BA24" i="7"/>
  <c r="BB24" i="7"/>
  <c r="BC24" i="7"/>
  <c r="BD24" i="7"/>
  <c r="BE24" i="7"/>
  <c r="BF24" i="7"/>
  <c r="BG24" i="7"/>
  <c r="E25" i="7"/>
  <c r="AV25" i="7"/>
  <c r="AW25" i="7"/>
  <c r="AX25" i="7"/>
  <c r="AY25" i="7"/>
  <c r="AZ25" i="7"/>
  <c r="BA25" i="7"/>
  <c r="BB25" i="7"/>
  <c r="BC25" i="7"/>
  <c r="BD25" i="7"/>
  <c r="BE25" i="7"/>
  <c r="BF25" i="7"/>
  <c r="BG25" i="7"/>
  <c r="E26" i="7"/>
  <c r="AV26" i="7"/>
  <c r="AW26" i="7"/>
  <c r="AX26" i="7"/>
  <c r="AY26" i="7"/>
  <c r="AZ26" i="7"/>
  <c r="BA26" i="7"/>
  <c r="BB26" i="7"/>
  <c r="BC26" i="7"/>
  <c r="BD26" i="7"/>
  <c r="BE26" i="7"/>
  <c r="BF26" i="7"/>
  <c r="BG26" i="7"/>
  <c r="E27" i="7"/>
  <c r="AV27" i="7"/>
  <c r="AW27" i="7"/>
  <c r="AX27" i="7"/>
  <c r="AY27" i="7"/>
  <c r="AZ27" i="7"/>
  <c r="BA27" i="7"/>
  <c r="BB27" i="7"/>
  <c r="BC27" i="7"/>
  <c r="BD27" i="7"/>
  <c r="BE27" i="7"/>
  <c r="BF27" i="7"/>
  <c r="BG27" i="7"/>
  <c r="E28" i="7"/>
  <c r="AV28" i="7"/>
  <c r="AW28" i="7"/>
  <c r="AX28" i="7"/>
  <c r="AY28" i="7"/>
  <c r="AZ28" i="7"/>
  <c r="BA28" i="7"/>
  <c r="BB28" i="7"/>
  <c r="BC28" i="7"/>
  <c r="BD28" i="7"/>
  <c r="BE28" i="7"/>
  <c r="BF28" i="7"/>
  <c r="BG28" i="7"/>
  <c r="E29" i="7"/>
  <c r="AV29" i="7"/>
  <c r="AW29" i="7"/>
  <c r="AX29" i="7"/>
  <c r="AY29" i="7"/>
  <c r="AZ29" i="7"/>
  <c r="BA29" i="7"/>
  <c r="BB29" i="7"/>
  <c r="BC29" i="7"/>
  <c r="BD29" i="7"/>
  <c r="BE29" i="7"/>
  <c r="BF29" i="7"/>
  <c r="BG29" i="7"/>
  <c r="E30" i="7"/>
  <c r="AV30" i="7"/>
  <c r="AW30" i="7"/>
  <c r="AX30" i="7"/>
  <c r="AY30" i="7"/>
  <c r="AZ30" i="7"/>
  <c r="BA30" i="7"/>
  <c r="BB30" i="7"/>
  <c r="BC30" i="7"/>
  <c r="BD30" i="7"/>
  <c r="BE30" i="7"/>
  <c r="BF30" i="7"/>
  <c r="BG30" i="7"/>
  <c r="E31" i="7"/>
  <c r="AV31" i="7"/>
  <c r="AW31" i="7"/>
  <c r="AX31" i="7"/>
  <c r="AY31" i="7"/>
  <c r="AZ31" i="7"/>
  <c r="BA31" i="7"/>
  <c r="BB31" i="7"/>
  <c r="BC31" i="7"/>
  <c r="BD31" i="7"/>
  <c r="BE31" i="7"/>
  <c r="BF31" i="7"/>
  <c r="BG31" i="7"/>
  <c r="E32" i="7"/>
  <c r="AV32" i="7"/>
  <c r="AW32" i="7"/>
  <c r="AX32" i="7"/>
  <c r="AY32" i="7"/>
  <c r="AZ32" i="7"/>
  <c r="BA32" i="7"/>
  <c r="BB32" i="7"/>
  <c r="BC32" i="7"/>
  <c r="BD32" i="7"/>
  <c r="BE32" i="7"/>
  <c r="BF32" i="7"/>
  <c r="BG32" i="7"/>
  <c r="E33" i="7"/>
  <c r="AV33" i="7"/>
  <c r="AW33" i="7"/>
  <c r="AX33" i="7"/>
  <c r="AY33" i="7"/>
  <c r="AZ33" i="7"/>
  <c r="BA33" i="7"/>
  <c r="BB33" i="7"/>
  <c r="BC33" i="7"/>
  <c r="BD33" i="7"/>
  <c r="BE33" i="7"/>
  <c r="BF33" i="7"/>
  <c r="BG33" i="7"/>
  <c r="E34" i="7"/>
  <c r="AV34" i="7"/>
  <c r="AW34" i="7"/>
  <c r="AX34" i="7"/>
  <c r="AY34" i="7"/>
  <c r="AZ34" i="7"/>
  <c r="BA34" i="7"/>
  <c r="BB34" i="7"/>
  <c r="BC34" i="7"/>
  <c r="BD34" i="7"/>
  <c r="BE34" i="7"/>
  <c r="BF34" i="7"/>
  <c r="BG34" i="7"/>
  <c r="E35" i="7"/>
  <c r="AV35" i="7"/>
  <c r="AW35" i="7"/>
  <c r="AX35" i="7"/>
  <c r="AY35" i="7"/>
  <c r="AZ35" i="7"/>
  <c r="BA35" i="7"/>
  <c r="BB35" i="7"/>
  <c r="BC35" i="7"/>
  <c r="BD35" i="7"/>
  <c r="BE35" i="7"/>
  <c r="BF35" i="7"/>
  <c r="BG35" i="7"/>
  <c r="E36" i="7"/>
  <c r="AV36" i="7"/>
  <c r="AW36" i="7"/>
  <c r="AX36" i="7"/>
  <c r="AY36" i="7"/>
  <c r="AZ36" i="7"/>
  <c r="BA36" i="7"/>
  <c r="BB36" i="7"/>
  <c r="BC36" i="7"/>
  <c r="BD36" i="7"/>
  <c r="BE36" i="7"/>
  <c r="BF36" i="7"/>
  <c r="BG36" i="7"/>
  <c r="E37" i="7"/>
  <c r="AV37" i="7"/>
  <c r="AW37" i="7"/>
  <c r="AX37" i="7"/>
  <c r="AY37" i="7"/>
  <c r="AZ37" i="7"/>
  <c r="BA37" i="7"/>
  <c r="BB37" i="7"/>
  <c r="BC37" i="7"/>
  <c r="BD37" i="7"/>
  <c r="BE37" i="7"/>
  <c r="BF37" i="7"/>
  <c r="BG37" i="7"/>
  <c r="E38" i="7"/>
  <c r="AV38" i="7"/>
  <c r="AW38" i="7"/>
  <c r="AX38" i="7"/>
  <c r="AY38" i="7"/>
  <c r="AZ38" i="7"/>
  <c r="BA38" i="7"/>
  <c r="BB38" i="7"/>
  <c r="BC38" i="7"/>
  <c r="BD38" i="7"/>
  <c r="BE38" i="7"/>
  <c r="BF38" i="7"/>
  <c r="BG38" i="7"/>
  <c r="E39" i="7"/>
  <c r="AV39" i="7"/>
  <c r="AW39" i="7"/>
  <c r="AX39" i="7"/>
  <c r="AY39" i="7"/>
  <c r="AZ39" i="7"/>
  <c r="BA39" i="7"/>
  <c r="BB39" i="7"/>
  <c r="BC39" i="7"/>
  <c r="BD39" i="7"/>
  <c r="BE39" i="7"/>
  <c r="BF39" i="7"/>
  <c r="BG39" i="7"/>
  <c r="E40" i="7"/>
  <c r="AV40" i="7"/>
  <c r="AW40" i="7"/>
  <c r="AX40" i="7"/>
  <c r="AY40" i="7"/>
  <c r="AZ40" i="7"/>
  <c r="BA40" i="7"/>
  <c r="BB40" i="7"/>
  <c r="BC40" i="7"/>
  <c r="BD40" i="7"/>
  <c r="BE40" i="7"/>
  <c r="BF40" i="7"/>
  <c r="BG40" i="7"/>
  <c r="E41" i="7"/>
  <c r="AV41" i="7"/>
  <c r="AW41" i="7"/>
  <c r="AX41" i="7"/>
  <c r="AY41" i="7"/>
  <c r="AZ41" i="7"/>
  <c r="BA41" i="7"/>
  <c r="BB41" i="7"/>
  <c r="BC41" i="7"/>
  <c r="BD41" i="7"/>
  <c r="BE41" i="7"/>
  <c r="BF41" i="7"/>
  <c r="BG41" i="7"/>
  <c r="E42" i="7"/>
  <c r="AV42" i="7"/>
  <c r="AW42" i="7"/>
  <c r="AX42" i="7"/>
  <c r="AY42" i="7"/>
  <c r="AZ42" i="7"/>
  <c r="BA42" i="7"/>
  <c r="BB42" i="7"/>
  <c r="BC42" i="7"/>
  <c r="BD42" i="7"/>
  <c r="BE42" i="7"/>
  <c r="BF42" i="7"/>
  <c r="BG42" i="7"/>
  <c r="E43" i="7"/>
  <c r="AV43" i="7"/>
  <c r="AW43" i="7"/>
  <c r="AX43" i="7"/>
  <c r="AY43" i="7"/>
  <c r="AZ43" i="7"/>
  <c r="BA43" i="7"/>
  <c r="BB43" i="7"/>
  <c r="BC43" i="7"/>
  <c r="BD43" i="7"/>
  <c r="BE43" i="7"/>
  <c r="BF43" i="7"/>
  <c r="BG43" i="7"/>
  <c r="E44" i="7"/>
  <c r="AV44" i="7"/>
  <c r="AW44" i="7"/>
  <c r="AX44" i="7"/>
  <c r="AY44" i="7"/>
  <c r="AZ44" i="7"/>
  <c r="BA44" i="7"/>
  <c r="BB44" i="7"/>
  <c r="BC44" i="7"/>
  <c r="BD44" i="7"/>
  <c r="BE44" i="7"/>
  <c r="BF44" i="7"/>
  <c r="BG44" i="7"/>
  <c r="E45" i="7"/>
  <c r="AV45" i="7"/>
  <c r="AW45" i="7"/>
  <c r="AX45" i="7"/>
  <c r="AY45" i="7"/>
  <c r="AZ45" i="7"/>
  <c r="BA45" i="7"/>
  <c r="BB45" i="7"/>
  <c r="BC45" i="7"/>
  <c r="BD45" i="7"/>
  <c r="BE45" i="7"/>
  <c r="BF45" i="7"/>
  <c r="BG45" i="7"/>
  <c r="E46" i="7"/>
  <c r="AV46" i="7"/>
  <c r="AW46" i="7"/>
  <c r="AX46" i="7"/>
  <c r="AY46" i="7"/>
  <c r="AZ46" i="7"/>
  <c r="BA46" i="7"/>
  <c r="BB46" i="7"/>
  <c r="BC46" i="7"/>
  <c r="BD46" i="7"/>
  <c r="BE46" i="7"/>
  <c r="BF46" i="7"/>
  <c r="BG46" i="7"/>
  <c r="E47" i="7"/>
  <c r="AV47" i="7"/>
  <c r="AW47" i="7"/>
  <c r="AX47" i="7"/>
  <c r="AY47" i="7"/>
  <c r="AZ47" i="7"/>
  <c r="BA47" i="7"/>
  <c r="BB47" i="7"/>
  <c r="BC47" i="7"/>
  <c r="BD47" i="7"/>
  <c r="BE47" i="7"/>
  <c r="BF47" i="7"/>
  <c r="BG47" i="7"/>
  <c r="E48" i="7"/>
  <c r="AV48" i="7"/>
  <c r="AW48" i="7"/>
  <c r="AX48" i="7"/>
  <c r="AY48" i="7"/>
  <c r="AZ48" i="7"/>
  <c r="BA48" i="7"/>
  <c r="BB48" i="7"/>
  <c r="BC48" i="7"/>
  <c r="BD48" i="7"/>
  <c r="BE48" i="7"/>
  <c r="BF48" i="7"/>
  <c r="BG48" i="7"/>
  <c r="E49" i="7"/>
  <c r="AV49" i="7"/>
  <c r="AW49" i="7"/>
  <c r="AX49" i="7"/>
  <c r="AY49" i="7"/>
  <c r="AZ49" i="7"/>
  <c r="BA49" i="7"/>
  <c r="BB49" i="7"/>
  <c r="BC49" i="7"/>
  <c r="BD49" i="7"/>
  <c r="BE49" i="7"/>
  <c r="BF49" i="7"/>
  <c r="BG49" i="7"/>
  <c r="E50" i="7"/>
  <c r="AV50" i="7"/>
  <c r="AW50" i="7"/>
  <c r="AX50" i="7"/>
  <c r="AY50" i="7"/>
  <c r="AZ50" i="7"/>
  <c r="BA50" i="7"/>
  <c r="BB50" i="7"/>
  <c r="BC50" i="7"/>
  <c r="BD50" i="7"/>
  <c r="BE50" i="7"/>
  <c r="BF50" i="7"/>
  <c r="BG50" i="7"/>
  <c r="E51" i="7"/>
  <c r="AV51" i="7"/>
  <c r="AW51" i="7"/>
  <c r="AX51" i="7"/>
  <c r="AY51" i="7"/>
  <c r="AZ51" i="7"/>
  <c r="BA51" i="7"/>
  <c r="BB51" i="7"/>
  <c r="BC51" i="7"/>
  <c r="BD51" i="7"/>
  <c r="BE51" i="7"/>
  <c r="BF51" i="7"/>
  <c r="BG51" i="7"/>
  <c r="E52" i="7"/>
  <c r="AV52" i="7"/>
  <c r="AW52" i="7"/>
  <c r="AX52" i="7"/>
  <c r="AY52" i="7"/>
  <c r="AZ52" i="7"/>
  <c r="BA52" i="7"/>
  <c r="BB52" i="7"/>
  <c r="BC52" i="7"/>
  <c r="BD52" i="7"/>
  <c r="BE52" i="7"/>
  <c r="BF52" i="7"/>
  <c r="BG52" i="7"/>
  <c r="E53" i="7"/>
  <c r="AV53" i="7"/>
  <c r="AW53" i="7"/>
  <c r="AX53" i="7"/>
  <c r="AY53" i="7"/>
  <c r="AZ53" i="7"/>
  <c r="BA53" i="7"/>
  <c r="BB53" i="7"/>
  <c r="BC53" i="7"/>
  <c r="BD53" i="7"/>
  <c r="BE53" i="7"/>
  <c r="BF53" i="7"/>
  <c r="BG53" i="7"/>
  <c r="E54" i="7"/>
  <c r="AV54" i="7"/>
  <c r="AW54" i="7"/>
  <c r="AX54" i="7"/>
  <c r="AY54" i="7"/>
  <c r="AZ54" i="7"/>
  <c r="BA54" i="7"/>
  <c r="BB54" i="7"/>
  <c r="BC54" i="7"/>
  <c r="BD54" i="7"/>
  <c r="BE54" i="7"/>
  <c r="BF54" i="7"/>
  <c r="BG54" i="7"/>
  <c r="E55" i="7"/>
  <c r="AV55" i="7"/>
  <c r="AW55" i="7"/>
  <c r="AX55" i="7"/>
  <c r="AY55" i="7"/>
  <c r="AZ55" i="7"/>
  <c r="BA55" i="7"/>
  <c r="BB55" i="7"/>
  <c r="BC55" i="7"/>
  <c r="BD55" i="7"/>
  <c r="BE55" i="7"/>
  <c r="BF55" i="7"/>
  <c r="BG55" i="7"/>
  <c r="E56" i="7"/>
  <c r="AV56" i="7"/>
  <c r="AW56" i="7"/>
  <c r="AX56" i="7"/>
  <c r="AY56" i="7"/>
  <c r="AZ56" i="7"/>
  <c r="BA56" i="7"/>
  <c r="BB56" i="7"/>
  <c r="BC56" i="7"/>
  <c r="BD56" i="7"/>
  <c r="BE56" i="7"/>
  <c r="BF56" i="7"/>
  <c r="BG56" i="7"/>
  <c r="E57" i="7"/>
  <c r="AV57" i="7"/>
  <c r="AW57" i="7"/>
  <c r="AX57" i="7"/>
  <c r="AY57" i="7"/>
  <c r="AZ57" i="7"/>
  <c r="BA57" i="7"/>
  <c r="BB57" i="7"/>
  <c r="BC57" i="7"/>
  <c r="BD57" i="7"/>
  <c r="BE57" i="7"/>
  <c r="BF57" i="7"/>
  <c r="BG57" i="7"/>
  <c r="E58" i="7"/>
  <c r="AV58" i="7"/>
  <c r="AW58" i="7"/>
  <c r="AX58" i="7"/>
  <c r="AY58" i="7"/>
  <c r="AZ58" i="7"/>
  <c r="BA58" i="7"/>
  <c r="BB58" i="7"/>
  <c r="BC58" i="7"/>
  <c r="BD58" i="7"/>
  <c r="BE58" i="7"/>
  <c r="BF58" i="7"/>
  <c r="BG58" i="7"/>
  <c r="E59" i="7"/>
  <c r="AV59" i="7"/>
  <c r="AW59" i="7"/>
  <c r="AX59" i="7"/>
  <c r="AY59" i="7"/>
  <c r="AZ59" i="7"/>
  <c r="BA59" i="7"/>
  <c r="BB59" i="7"/>
  <c r="BC59" i="7"/>
  <c r="BD59" i="7"/>
  <c r="BE59" i="7"/>
  <c r="BF59" i="7"/>
  <c r="BG59" i="7"/>
  <c r="E60" i="7"/>
  <c r="AV60" i="7"/>
  <c r="AW60" i="7"/>
  <c r="AX60" i="7"/>
  <c r="AY60" i="7"/>
  <c r="AZ60" i="7"/>
  <c r="BA60" i="7"/>
  <c r="BB60" i="7"/>
  <c r="BC60" i="7"/>
  <c r="BD60" i="7"/>
  <c r="BE60" i="7"/>
  <c r="BF60" i="7"/>
  <c r="BG60" i="7"/>
  <c r="E61" i="7"/>
  <c r="AV61" i="7"/>
  <c r="AW61" i="7"/>
  <c r="AX61" i="7"/>
  <c r="AY61" i="7"/>
  <c r="AZ61" i="7"/>
  <c r="BA61" i="7"/>
  <c r="BB61" i="7"/>
  <c r="BC61" i="7"/>
  <c r="BD61" i="7"/>
  <c r="BE61" i="7"/>
  <c r="BF61" i="7"/>
  <c r="BG61" i="7"/>
  <c r="E62" i="7"/>
  <c r="AV62" i="7"/>
  <c r="AW62" i="7"/>
  <c r="AX62" i="7"/>
  <c r="AY62" i="7"/>
  <c r="AZ62" i="7"/>
  <c r="BA62" i="7"/>
  <c r="BB62" i="7"/>
  <c r="BC62" i="7"/>
  <c r="BD62" i="7"/>
  <c r="BE62" i="7"/>
  <c r="BF62" i="7"/>
  <c r="BG62" i="7"/>
  <c r="E63" i="7"/>
  <c r="AV63" i="7"/>
  <c r="AW63" i="7"/>
  <c r="AX63" i="7"/>
  <c r="AY63" i="7"/>
  <c r="AZ63" i="7"/>
  <c r="BA63" i="7"/>
  <c r="BB63" i="7"/>
  <c r="BC63" i="7"/>
  <c r="BD63" i="7"/>
  <c r="BE63" i="7"/>
  <c r="BF63" i="7"/>
  <c r="BG63" i="7"/>
  <c r="E64" i="7"/>
  <c r="AV64" i="7"/>
  <c r="AW64" i="7"/>
  <c r="AX64" i="7"/>
  <c r="AY64" i="7"/>
  <c r="AZ64" i="7"/>
  <c r="BA64" i="7"/>
  <c r="BB64" i="7"/>
  <c r="BC64" i="7"/>
  <c r="BD64" i="7"/>
  <c r="BE64" i="7"/>
  <c r="BF64" i="7"/>
  <c r="BG64" i="7"/>
  <c r="E65" i="7"/>
  <c r="AV65" i="7"/>
  <c r="AW65" i="7"/>
  <c r="AX65" i="7"/>
  <c r="AY65" i="7"/>
  <c r="AZ65" i="7"/>
  <c r="BA65" i="7"/>
  <c r="BB65" i="7"/>
  <c r="BC65" i="7"/>
  <c r="BD65" i="7"/>
  <c r="BE65" i="7"/>
  <c r="BF65" i="7"/>
  <c r="BG65" i="7"/>
  <c r="E66" i="7"/>
  <c r="AV66" i="7"/>
  <c r="AW66" i="7"/>
  <c r="AX66" i="7"/>
  <c r="AY66" i="7"/>
  <c r="AZ66" i="7"/>
  <c r="BA66" i="7"/>
  <c r="BB66" i="7"/>
  <c r="BC66" i="7"/>
  <c r="BD66" i="7"/>
  <c r="BE66" i="7"/>
  <c r="BF66" i="7"/>
  <c r="BG66" i="7"/>
  <c r="E67" i="7"/>
  <c r="AV67" i="7"/>
  <c r="AW67" i="7"/>
  <c r="AX67" i="7"/>
  <c r="AY67" i="7"/>
  <c r="AZ67" i="7"/>
  <c r="BA67" i="7"/>
  <c r="BB67" i="7"/>
  <c r="BC67" i="7"/>
  <c r="BD67" i="7"/>
  <c r="BE67" i="7"/>
  <c r="BF67" i="7"/>
  <c r="BG67" i="7"/>
  <c r="E68" i="7"/>
  <c r="AV68" i="7"/>
  <c r="AW68" i="7"/>
  <c r="AX68" i="7"/>
  <c r="AY68" i="7"/>
  <c r="AZ68" i="7"/>
  <c r="BA68" i="7"/>
  <c r="BB68" i="7"/>
  <c r="BC68" i="7"/>
  <c r="BD68" i="7"/>
  <c r="BE68" i="7"/>
  <c r="BF68" i="7"/>
  <c r="BG68" i="7"/>
  <c r="E69" i="7"/>
  <c r="AV69" i="7"/>
  <c r="AW69" i="7"/>
  <c r="AX69" i="7"/>
  <c r="AY69" i="7"/>
  <c r="AZ69" i="7"/>
  <c r="BA69" i="7"/>
  <c r="BB69" i="7"/>
  <c r="BC69" i="7"/>
  <c r="BD69" i="7"/>
  <c r="BE69" i="7"/>
  <c r="BF69" i="7"/>
  <c r="BG69" i="7"/>
  <c r="E70" i="7"/>
  <c r="AV70" i="7"/>
  <c r="AW70" i="7"/>
  <c r="AX70" i="7"/>
  <c r="AY70" i="7"/>
  <c r="AZ70" i="7"/>
  <c r="BA70" i="7"/>
  <c r="BB70" i="7"/>
  <c r="BC70" i="7"/>
  <c r="BD70" i="7"/>
  <c r="BE70" i="7"/>
  <c r="BF70" i="7"/>
  <c r="BG70" i="7"/>
  <c r="E71" i="7"/>
  <c r="AV71" i="7"/>
  <c r="AW71" i="7"/>
  <c r="AX71" i="7"/>
  <c r="AY71" i="7"/>
  <c r="AZ71" i="7"/>
  <c r="BA71" i="7"/>
  <c r="BB71" i="7"/>
  <c r="BC71" i="7"/>
  <c r="BD71" i="7"/>
  <c r="BE71" i="7"/>
  <c r="BF71" i="7"/>
  <c r="BG71" i="7"/>
  <c r="E72" i="7"/>
  <c r="AV72" i="7"/>
  <c r="AW72" i="7"/>
  <c r="AX72" i="7"/>
  <c r="AY72" i="7"/>
  <c r="AZ72" i="7"/>
  <c r="BA72" i="7"/>
  <c r="BB72" i="7"/>
  <c r="BC72" i="7"/>
  <c r="BD72" i="7"/>
  <c r="BE72" i="7"/>
  <c r="BF72" i="7"/>
  <c r="BG72" i="7"/>
  <c r="E73" i="7"/>
  <c r="AV73" i="7"/>
  <c r="AW73" i="7"/>
  <c r="AX73" i="7"/>
  <c r="AY73" i="7"/>
  <c r="AZ73" i="7"/>
  <c r="BA73" i="7"/>
  <c r="BB73" i="7"/>
  <c r="BC73" i="7"/>
  <c r="BD73" i="7"/>
  <c r="BE73" i="7"/>
  <c r="BF73" i="7"/>
  <c r="BG73" i="7"/>
  <c r="E74" i="7"/>
  <c r="AV74" i="7"/>
  <c r="AW74" i="7"/>
  <c r="AX74" i="7"/>
  <c r="AY74" i="7"/>
  <c r="AZ74" i="7"/>
  <c r="BA74" i="7"/>
  <c r="BB74" i="7"/>
  <c r="BC74" i="7"/>
  <c r="BD74" i="7"/>
  <c r="BE74" i="7"/>
  <c r="BF74" i="7"/>
  <c r="BG74" i="7"/>
  <c r="E75" i="7"/>
  <c r="AV75" i="7"/>
  <c r="AW75" i="7"/>
  <c r="AX75" i="7"/>
  <c r="AY75" i="7"/>
  <c r="AZ75" i="7"/>
  <c r="BA75" i="7"/>
  <c r="BB75" i="7"/>
  <c r="BC75" i="7"/>
  <c r="BD75" i="7"/>
  <c r="BE75" i="7"/>
  <c r="BF75" i="7"/>
  <c r="BG75" i="7"/>
  <c r="E76" i="7"/>
  <c r="AV76" i="7"/>
  <c r="AW76" i="7"/>
  <c r="AX76" i="7"/>
  <c r="AY76" i="7"/>
  <c r="AZ76" i="7"/>
  <c r="BA76" i="7"/>
  <c r="BB76" i="7"/>
  <c r="BC76" i="7"/>
  <c r="BD76" i="7"/>
  <c r="BE76" i="7"/>
  <c r="BF76" i="7"/>
  <c r="BG76" i="7"/>
  <c r="E77" i="7"/>
  <c r="AV77" i="7"/>
  <c r="AW77" i="7"/>
  <c r="AX77" i="7"/>
  <c r="AY77" i="7"/>
  <c r="AZ77" i="7"/>
  <c r="BA77" i="7"/>
  <c r="BB77" i="7"/>
  <c r="BC77" i="7"/>
  <c r="BD77" i="7"/>
  <c r="BE77" i="7"/>
  <c r="BF77" i="7"/>
  <c r="BG77" i="7"/>
  <c r="E78" i="7"/>
  <c r="AV78" i="7"/>
  <c r="AW78" i="7"/>
  <c r="AX78" i="7"/>
  <c r="AY78" i="7"/>
  <c r="AZ78" i="7"/>
  <c r="BA78" i="7"/>
  <c r="BB78" i="7"/>
  <c r="BC78" i="7"/>
  <c r="BD78" i="7"/>
  <c r="BE78" i="7"/>
  <c r="BF78" i="7"/>
  <c r="BG78" i="7"/>
  <c r="E79" i="7"/>
  <c r="AV79" i="7"/>
  <c r="AW79" i="7"/>
  <c r="AX79" i="7"/>
  <c r="AY79" i="7"/>
  <c r="AZ79" i="7"/>
  <c r="BA79" i="7"/>
  <c r="BB79" i="7"/>
  <c r="BC79" i="7"/>
  <c r="BD79" i="7"/>
  <c r="BE79" i="7"/>
  <c r="BF79" i="7"/>
  <c r="BG79" i="7"/>
  <c r="E80" i="7"/>
  <c r="AV80" i="7"/>
  <c r="AW80" i="7"/>
  <c r="AX80" i="7"/>
  <c r="AY80" i="7"/>
  <c r="AZ80" i="7"/>
  <c r="BA80" i="7"/>
  <c r="BB80" i="7"/>
  <c r="BC80" i="7"/>
  <c r="BD80" i="7"/>
  <c r="BE80" i="7"/>
  <c r="BF80" i="7"/>
  <c r="BG80" i="7"/>
  <c r="E81" i="7"/>
  <c r="AV81" i="7"/>
  <c r="AW81" i="7"/>
  <c r="AX81" i="7"/>
  <c r="AY81" i="7"/>
  <c r="AZ81" i="7"/>
  <c r="BA81" i="7"/>
  <c r="BB81" i="7"/>
  <c r="BC81" i="7"/>
  <c r="BD81" i="7"/>
  <c r="BE81" i="7"/>
  <c r="BF81" i="7"/>
  <c r="BG81" i="7"/>
  <c r="E82" i="7"/>
  <c r="AV82" i="7"/>
  <c r="AW82" i="7"/>
  <c r="AX82" i="7"/>
  <c r="AY82" i="7"/>
  <c r="AZ82" i="7"/>
  <c r="BA82" i="7"/>
  <c r="BB82" i="7"/>
  <c r="BC82" i="7"/>
  <c r="BD82" i="7"/>
  <c r="BE82" i="7"/>
  <c r="BF82" i="7"/>
  <c r="BG82" i="7"/>
  <c r="E83" i="7"/>
  <c r="AV83" i="7"/>
  <c r="AW83" i="7"/>
  <c r="AX83" i="7"/>
  <c r="AY83" i="7"/>
  <c r="AZ83" i="7"/>
  <c r="BA83" i="7"/>
  <c r="BB83" i="7"/>
  <c r="BC83" i="7"/>
  <c r="BD83" i="7"/>
  <c r="BE83" i="7"/>
  <c r="BF83" i="7"/>
  <c r="BG83" i="7"/>
  <c r="E84" i="7"/>
  <c r="AV84" i="7"/>
  <c r="AW84" i="7"/>
  <c r="AX84" i="7"/>
  <c r="AY84" i="7"/>
  <c r="AZ84" i="7"/>
  <c r="BA84" i="7"/>
  <c r="BB84" i="7"/>
  <c r="BC84" i="7"/>
  <c r="BD84" i="7"/>
  <c r="BE84" i="7"/>
  <c r="BF84" i="7"/>
  <c r="BG84" i="7"/>
  <c r="E85" i="7"/>
  <c r="AV85" i="7"/>
  <c r="AW85" i="7"/>
  <c r="AX85" i="7"/>
  <c r="AY85" i="7"/>
  <c r="AZ85" i="7"/>
  <c r="BA85" i="7"/>
  <c r="BB85" i="7"/>
  <c r="BC85" i="7"/>
  <c r="BD85" i="7"/>
  <c r="BE85" i="7"/>
  <c r="BF85" i="7"/>
  <c r="BG85" i="7"/>
  <c r="E86" i="7"/>
  <c r="AV86" i="7"/>
  <c r="AW86" i="7"/>
  <c r="AX86" i="7"/>
  <c r="AY86" i="7"/>
  <c r="AZ86" i="7"/>
  <c r="BA86" i="7"/>
  <c r="BB86" i="7"/>
  <c r="BC86" i="7"/>
  <c r="BD86" i="7"/>
  <c r="BE86" i="7"/>
  <c r="BF86" i="7"/>
  <c r="BG86" i="7"/>
  <c r="E87" i="7"/>
  <c r="AV87" i="7"/>
  <c r="AW87" i="7"/>
  <c r="AX87" i="7"/>
  <c r="AY87" i="7"/>
  <c r="AZ87" i="7"/>
  <c r="BA87" i="7"/>
  <c r="BB87" i="7"/>
  <c r="BC87" i="7"/>
  <c r="BD87" i="7"/>
  <c r="BE87" i="7"/>
  <c r="BF87" i="7"/>
  <c r="BG87" i="7"/>
  <c r="E88" i="7"/>
  <c r="AV88" i="7"/>
  <c r="AW88" i="7"/>
  <c r="AX88" i="7"/>
  <c r="AY88" i="7"/>
  <c r="AZ88" i="7"/>
  <c r="BA88" i="7"/>
  <c r="BB88" i="7"/>
  <c r="BC88" i="7"/>
  <c r="BD88" i="7"/>
  <c r="BE88" i="7"/>
  <c r="BF88" i="7"/>
  <c r="BG88" i="7"/>
  <c r="E89" i="7"/>
  <c r="AV89" i="7"/>
  <c r="AW89" i="7"/>
  <c r="AX89" i="7"/>
  <c r="AY89" i="7"/>
  <c r="AZ89" i="7"/>
  <c r="BA89" i="7"/>
  <c r="BB89" i="7"/>
  <c r="BC89" i="7"/>
  <c r="BD89" i="7"/>
  <c r="BE89" i="7"/>
  <c r="BF89" i="7"/>
  <c r="BG89" i="7"/>
  <c r="E90" i="7"/>
  <c r="AV90" i="7"/>
  <c r="AW90" i="7"/>
  <c r="AX90" i="7"/>
  <c r="AY90" i="7"/>
  <c r="AZ90" i="7"/>
  <c r="BA90" i="7"/>
  <c r="BB90" i="7"/>
  <c r="BC90" i="7"/>
  <c r="BD90" i="7"/>
  <c r="BE90" i="7"/>
  <c r="BF90" i="7"/>
  <c r="BG90" i="7"/>
  <c r="E91" i="7"/>
  <c r="AV91" i="7"/>
  <c r="AW91" i="7"/>
  <c r="AX91" i="7"/>
  <c r="AY91" i="7"/>
  <c r="AZ91" i="7"/>
  <c r="BA91" i="7"/>
  <c r="BB91" i="7"/>
  <c r="BC91" i="7"/>
  <c r="BD91" i="7"/>
  <c r="BE91" i="7"/>
  <c r="BF91" i="7"/>
  <c r="BG91" i="7"/>
  <c r="E92" i="7"/>
  <c r="AV92" i="7"/>
  <c r="AW92" i="7"/>
  <c r="AX92" i="7"/>
  <c r="AY92" i="7"/>
  <c r="AZ92" i="7"/>
  <c r="BA92" i="7"/>
  <c r="BB92" i="7"/>
  <c r="BC92" i="7"/>
  <c r="BD92" i="7"/>
  <c r="BE92" i="7"/>
  <c r="BF92" i="7"/>
  <c r="BG92" i="7"/>
  <c r="E93" i="7"/>
  <c r="AV93" i="7"/>
  <c r="AW93" i="7"/>
  <c r="AX93" i="7"/>
  <c r="AY93" i="7"/>
  <c r="AZ93" i="7"/>
  <c r="BA93" i="7"/>
  <c r="BB93" i="7"/>
  <c r="BC93" i="7"/>
  <c r="BD93" i="7"/>
  <c r="BE93" i="7"/>
  <c r="BF93" i="7"/>
  <c r="BG93" i="7"/>
  <c r="E94" i="7"/>
  <c r="AV94" i="7"/>
  <c r="AW94" i="7"/>
  <c r="AX94" i="7"/>
  <c r="AY94" i="7"/>
  <c r="AZ94" i="7"/>
  <c r="BA94" i="7"/>
  <c r="BB94" i="7"/>
  <c r="BC94" i="7"/>
  <c r="BD94" i="7"/>
  <c r="BE94" i="7"/>
  <c r="BF94" i="7"/>
  <c r="BG94" i="7"/>
  <c r="E95" i="7"/>
  <c r="AV95" i="7"/>
  <c r="AW95" i="7"/>
  <c r="AX95" i="7"/>
  <c r="AY95" i="7"/>
  <c r="AZ95" i="7"/>
  <c r="BA95" i="7"/>
  <c r="BB95" i="7"/>
  <c r="BC95" i="7"/>
  <c r="BD95" i="7"/>
  <c r="BE95" i="7"/>
  <c r="BF95" i="7"/>
  <c r="BG95" i="7"/>
  <c r="E96" i="7"/>
  <c r="AV96" i="7"/>
  <c r="AW96" i="7"/>
  <c r="AX96" i="7"/>
  <c r="AY96" i="7"/>
  <c r="AZ96" i="7"/>
  <c r="BA96" i="7"/>
  <c r="BB96" i="7"/>
  <c r="BC96" i="7"/>
  <c r="BD96" i="7"/>
  <c r="BE96" i="7"/>
  <c r="BF96" i="7"/>
  <c r="BG96" i="7"/>
  <c r="E97" i="7"/>
  <c r="AV97" i="7"/>
  <c r="AW97" i="7"/>
  <c r="AX97" i="7"/>
  <c r="AY97" i="7"/>
  <c r="AZ97" i="7"/>
  <c r="BA97" i="7"/>
  <c r="BB97" i="7"/>
  <c r="BC97" i="7"/>
  <c r="BD97" i="7"/>
  <c r="BE97" i="7"/>
  <c r="BF97" i="7"/>
  <c r="BG97" i="7"/>
  <c r="E98" i="7"/>
  <c r="AV98" i="7"/>
  <c r="AW98" i="7"/>
  <c r="AX98" i="7"/>
  <c r="AY98" i="7"/>
  <c r="AZ98" i="7"/>
  <c r="BA98" i="7"/>
  <c r="BB98" i="7"/>
  <c r="BC98" i="7"/>
  <c r="BD98" i="7"/>
  <c r="BE98" i="7"/>
  <c r="BF98" i="7"/>
  <c r="BG98" i="7"/>
  <c r="E99" i="7"/>
  <c r="AV99" i="7"/>
  <c r="AW99" i="7"/>
  <c r="AX99" i="7"/>
  <c r="AY99" i="7"/>
  <c r="AZ99" i="7"/>
  <c r="BA99" i="7"/>
  <c r="BB99" i="7"/>
  <c r="BC99" i="7"/>
  <c r="BD99" i="7"/>
  <c r="BE99" i="7"/>
  <c r="BF99" i="7"/>
  <c r="BG99" i="7"/>
  <c r="E100" i="7"/>
  <c r="AV100" i="7"/>
  <c r="AW100" i="7"/>
  <c r="AX100" i="7"/>
  <c r="AY100" i="7"/>
  <c r="AZ100" i="7"/>
  <c r="BA100" i="7"/>
  <c r="BB100" i="7"/>
  <c r="BC100" i="7"/>
  <c r="BD100" i="7"/>
  <c r="BE100" i="7"/>
  <c r="BF100" i="7"/>
  <c r="BG100" i="7"/>
  <c r="E101" i="7"/>
  <c r="AV101" i="7"/>
  <c r="AW101" i="7"/>
  <c r="AX101" i="7"/>
  <c r="AY101" i="7"/>
  <c r="AZ101" i="7"/>
  <c r="BA101" i="7"/>
  <c r="BB101" i="7"/>
  <c r="BC101" i="7"/>
  <c r="BD101" i="7"/>
  <c r="BE101" i="7"/>
  <c r="BF101" i="7"/>
  <c r="BG101" i="7"/>
  <c r="E102" i="7"/>
  <c r="AV102" i="7"/>
  <c r="AW102" i="7"/>
  <c r="AX102" i="7"/>
  <c r="AY102" i="7"/>
  <c r="AZ102" i="7"/>
  <c r="BA102" i="7"/>
  <c r="BB102" i="7"/>
  <c r="BC102" i="7"/>
  <c r="BD102" i="7"/>
  <c r="BE102" i="7"/>
  <c r="BF102" i="7"/>
  <c r="BG102" i="7"/>
  <c r="E103" i="7"/>
  <c r="AV103" i="7"/>
  <c r="AW103" i="7"/>
  <c r="AX103" i="7"/>
  <c r="AY103" i="7"/>
  <c r="AZ103" i="7"/>
  <c r="BA103" i="7"/>
  <c r="BB103" i="7"/>
  <c r="BC103" i="7"/>
  <c r="BD103" i="7"/>
  <c r="BE103" i="7"/>
  <c r="BF103" i="7"/>
  <c r="BG103" i="7"/>
  <c r="E104" i="7"/>
  <c r="AV104" i="7"/>
  <c r="AW104" i="7"/>
  <c r="AX104" i="7"/>
  <c r="AY104" i="7"/>
  <c r="AZ104" i="7"/>
  <c r="BA104" i="7"/>
  <c r="BB104" i="7"/>
  <c r="BC104" i="7"/>
  <c r="BD104" i="7"/>
  <c r="BE104" i="7"/>
  <c r="BF104" i="7"/>
  <c r="BG104" i="7"/>
  <c r="E105" i="7"/>
  <c r="AV105" i="7"/>
  <c r="AW105" i="7"/>
  <c r="AX105" i="7"/>
  <c r="AY105" i="7"/>
  <c r="AZ105" i="7"/>
  <c r="BA105" i="7"/>
  <c r="BB105" i="7"/>
  <c r="BC105" i="7"/>
  <c r="BD105" i="7"/>
  <c r="BE105" i="7"/>
  <c r="BF105" i="7"/>
  <c r="BG105" i="7"/>
  <c r="E106" i="7"/>
  <c r="AV106" i="7"/>
  <c r="AW106" i="7"/>
  <c r="AX106" i="7"/>
  <c r="AY106" i="7"/>
  <c r="AZ106" i="7"/>
  <c r="BA106" i="7"/>
  <c r="BB106" i="7"/>
  <c r="BC106" i="7"/>
  <c r="BD106" i="7"/>
  <c r="BE106" i="7"/>
  <c r="BF106" i="7"/>
  <c r="BG106" i="7"/>
  <c r="E107" i="7"/>
  <c r="AV107" i="7"/>
  <c r="AW107" i="7"/>
  <c r="AX107" i="7"/>
  <c r="AY107" i="7"/>
  <c r="AZ107" i="7"/>
  <c r="BA107" i="7"/>
  <c r="BB107" i="7"/>
  <c r="BC107" i="7"/>
  <c r="BD107" i="7"/>
  <c r="BE107" i="7"/>
  <c r="BF107" i="7"/>
  <c r="BG107" i="7"/>
  <c r="E108" i="7"/>
  <c r="AV108" i="7"/>
  <c r="AW108" i="7"/>
  <c r="AX108" i="7"/>
  <c r="AY108" i="7"/>
  <c r="AZ108" i="7"/>
  <c r="BA108" i="7"/>
  <c r="BB108" i="7"/>
  <c r="BC108" i="7"/>
  <c r="BD108" i="7"/>
  <c r="BE108" i="7"/>
  <c r="BF108" i="7"/>
  <c r="BG108" i="7"/>
  <c r="E109" i="7"/>
  <c r="AV109" i="7"/>
  <c r="AW109" i="7"/>
  <c r="AX109" i="7"/>
  <c r="AY109" i="7"/>
  <c r="AZ109" i="7"/>
  <c r="BA109" i="7"/>
  <c r="BB109" i="7"/>
  <c r="BC109" i="7"/>
  <c r="BD109" i="7"/>
  <c r="BE109" i="7"/>
  <c r="BF109" i="7"/>
  <c r="BG109" i="7"/>
  <c r="E110" i="7"/>
  <c r="AV110" i="7"/>
  <c r="AW110" i="7"/>
  <c r="AX110" i="7"/>
  <c r="AY110" i="7"/>
  <c r="AZ110" i="7"/>
  <c r="BA110" i="7"/>
  <c r="BB110" i="7"/>
  <c r="BC110" i="7"/>
  <c r="BD110" i="7"/>
  <c r="BE110" i="7"/>
  <c r="BF110" i="7"/>
  <c r="BG110" i="7"/>
  <c r="E111" i="7"/>
  <c r="AV111" i="7"/>
  <c r="AW111" i="7"/>
  <c r="AX111" i="7"/>
  <c r="AY111" i="7"/>
  <c r="AZ111" i="7"/>
  <c r="BA111" i="7"/>
  <c r="BB111" i="7"/>
  <c r="BC111" i="7"/>
  <c r="BD111" i="7"/>
  <c r="BE111" i="7"/>
  <c r="BF111" i="7"/>
  <c r="BG111" i="7"/>
  <c r="E112" i="7"/>
  <c r="AV112" i="7"/>
  <c r="AW112" i="7"/>
  <c r="AX112" i="7"/>
  <c r="AY112" i="7"/>
  <c r="AZ112" i="7"/>
  <c r="BA112" i="7"/>
  <c r="BB112" i="7"/>
  <c r="BC112" i="7"/>
  <c r="BD112" i="7"/>
  <c r="BE112" i="7"/>
  <c r="BF112" i="7"/>
  <c r="BG112" i="7"/>
  <c r="E113" i="7"/>
  <c r="AV113" i="7"/>
  <c r="AW113" i="7"/>
  <c r="AX113" i="7"/>
  <c r="AY113" i="7"/>
  <c r="AZ113" i="7"/>
  <c r="BA113" i="7"/>
  <c r="BB113" i="7"/>
  <c r="BC113" i="7"/>
  <c r="BD113" i="7"/>
  <c r="BE113" i="7"/>
  <c r="BF113" i="7"/>
  <c r="BG113" i="7"/>
  <c r="E114" i="7"/>
  <c r="AV114" i="7"/>
  <c r="AW114" i="7"/>
  <c r="AX114" i="7"/>
  <c r="AY114" i="7"/>
  <c r="AZ114" i="7"/>
  <c r="BA114" i="7"/>
  <c r="BB114" i="7"/>
  <c r="BC114" i="7"/>
  <c r="BD114" i="7"/>
  <c r="BE114" i="7"/>
  <c r="BF114" i="7"/>
  <c r="BG114" i="7"/>
  <c r="E115" i="7"/>
  <c r="AV115" i="7"/>
  <c r="AW115" i="7"/>
  <c r="AX115" i="7"/>
  <c r="AY115" i="7"/>
  <c r="AZ115" i="7"/>
  <c r="BA115" i="7"/>
  <c r="BB115" i="7"/>
  <c r="BC115" i="7"/>
  <c r="BD115" i="7"/>
  <c r="BE115" i="7"/>
  <c r="BF115" i="7"/>
  <c r="BG115" i="7"/>
  <c r="E116" i="7"/>
  <c r="AV116" i="7"/>
  <c r="AW116" i="7"/>
  <c r="AX116" i="7"/>
  <c r="AY116" i="7"/>
  <c r="AZ116" i="7"/>
  <c r="BA116" i="7"/>
  <c r="BB116" i="7"/>
  <c r="BC116" i="7"/>
  <c r="BD116" i="7"/>
  <c r="BE116" i="7"/>
  <c r="BF116" i="7"/>
  <c r="BG116" i="7"/>
  <c r="E117" i="7"/>
  <c r="AV117" i="7"/>
  <c r="AW117" i="7"/>
  <c r="AX117" i="7"/>
  <c r="AY117" i="7"/>
  <c r="AZ117" i="7"/>
  <c r="BA117" i="7"/>
  <c r="BB117" i="7"/>
  <c r="BC117" i="7"/>
  <c r="BD117" i="7"/>
  <c r="BE117" i="7"/>
  <c r="BF117" i="7"/>
  <c r="BG117" i="7"/>
  <c r="E118" i="7"/>
  <c r="AV118" i="7"/>
  <c r="AW118" i="7"/>
  <c r="AX118" i="7"/>
  <c r="AY118" i="7"/>
  <c r="AZ118" i="7"/>
  <c r="BA118" i="7"/>
  <c r="BB118" i="7"/>
  <c r="BC118" i="7"/>
  <c r="BD118" i="7"/>
  <c r="BE118" i="7"/>
  <c r="BF118" i="7"/>
  <c r="BG118" i="7"/>
  <c r="E119" i="7"/>
  <c r="AV119" i="7"/>
  <c r="AW119" i="7"/>
  <c r="AX119" i="7"/>
  <c r="AY119" i="7"/>
  <c r="AZ119" i="7"/>
  <c r="BA119" i="7"/>
  <c r="BB119" i="7"/>
  <c r="BC119" i="7"/>
  <c r="BD119" i="7"/>
  <c r="BE119" i="7"/>
  <c r="BF119" i="7"/>
  <c r="BG119" i="7"/>
  <c r="E120" i="7"/>
  <c r="AV120" i="7"/>
  <c r="AW120" i="7"/>
  <c r="AX120" i="7"/>
  <c r="AY120" i="7"/>
  <c r="AZ120" i="7"/>
  <c r="BA120" i="7"/>
  <c r="BB120" i="7"/>
  <c r="BC120" i="7"/>
  <c r="BD120" i="7"/>
  <c r="BE120" i="7"/>
  <c r="BF120" i="7"/>
  <c r="BG120" i="7"/>
  <c r="E121" i="7"/>
  <c r="AV121" i="7"/>
  <c r="AW121" i="7"/>
  <c r="AX121" i="7"/>
  <c r="AY121" i="7"/>
  <c r="AZ121" i="7"/>
  <c r="BA121" i="7"/>
  <c r="BB121" i="7"/>
  <c r="BC121" i="7"/>
  <c r="BD121" i="7"/>
  <c r="BE121" i="7"/>
  <c r="BF121" i="7"/>
  <c r="BG121" i="7"/>
  <c r="E122" i="7"/>
  <c r="AV122" i="7"/>
  <c r="AW122" i="7"/>
  <c r="AX122" i="7"/>
  <c r="AY122" i="7"/>
  <c r="AZ122" i="7"/>
  <c r="BA122" i="7"/>
  <c r="BB122" i="7"/>
  <c r="BC122" i="7"/>
  <c r="BD122" i="7"/>
  <c r="BE122" i="7"/>
  <c r="BF122" i="7"/>
  <c r="BG122" i="7"/>
  <c r="E123" i="7"/>
  <c r="AV123" i="7"/>
  <c r="AW123" i="7"/>
  <c r="AX123" i="7"/>
  <c r="AY123" i="7"/>
  <c r="AZ123" i="7"/>
  <c r="BA123" i="7"/>
  <c r="BB123" i="7"/>
  <c r="BC123" i="7"/>
  <c r="BD123" i="7"/>
  <c r="BE123" i="7"/>
  <c r="BF123" i="7"/>
  <c r="BG123" i="7"/>
  <c r="E124" i="7"/>
  <c r="AV124" i="7"/>
  <c r="AW124" i="7"/>
  <c r="AX124" i="7"/>
  <c r="AY124" i="7"/>
  <c r="AZ124" i="7"/>
  <c r="BA124" i="7"/>
  <c r="BB124" i="7"/>
  <c r="BC124" i="7"/>
  <c r="BD124" i="7"/>
  <c r="BE124" i="7"/>
  <c r="BF124" i="7"/>
  <c r="BG124" i="7"/>
  <c r="E125" i="7"/>
  <c r="AV125" i="7"/>
  <c r="AW125" i="7"/>
  <c r="AX125" i="7"/>
  <c r="AY125" i="7"/>
  <c r="AZ125" i="7"/>
  <c r="BA125" i="7"/>
  <c r="BB125" i="7"/>
  <c r="BC125" i="7"/>
  <c r="BD125" i="7"/>
  <c r="BE125" i="7"/>
  <c r="BF125" i="7"/>
  <c r="BG125" i="7"/>
  <c r="E126" i="7"/>
  <c r="AV126" i="7"/>
  <c r="AW126" i="7"/>
  <c r="AX126" i="7"/>
  <c r="AY126" i="7"/>
  <c r="AZ126" i="7"/>
  <c r="BA126" i="7"/>
  <c r="BB126" i="7"/>
  <c r="BC126" i="7"/>
  <c r="BD126" i="7"/>
  <c r="BE126" i="7"/>
  <c r="BF126" i="7"/>
  <c r="BG126" i="7"/>
  <c r="E127" i="7"/>
  <c r="AV127" i="7"/>
  <c r="AW127" i="7"/>
  <c r="AX127" i="7"/>
  <c r="AY127" i="7"/>
  <c r="AZ127" i="7"/>
  <c r="BA127" i="7"/>
  <c r="BB127" i="7"/>
  <c r="BC127" i="7"/>
  <c r="BD127" i="7"/>
  <c r="BE127" i="7"/>
  <c r="BF127" i="7"/>
  <c r="BG127" i="7"/>
  <c r="E128" i="7"/>
  <c r="AV128" i="7"/>
  <c r="AW128" i="7"/>
  <c r="AX128" i="7"/>
  <c r="AY128" i="7"/>
  <c r="AZ128" i="7"/>
  <c r="BA128" i="7"/>
  <c r="BB128" i="7"/>
  <c r="BC128" i="7"/>
  <c r="BD128" i="7"/>
  <c r="BE128" i="7"/>
  <c r="BF128" i="7"/>
  <c r="BG128" i="7"/>
  <c r="E129" i="7"/>
  <c r="AV129" i="7"/>
  <c r="AW129" i="7"/>
  <c r="AX129" i="7"/>
  <c r="AY129" i="7"/>
  <c r="AZ129" i="7"/>
  <c r="BA129" i="7"/>
  <c r="BB129" i="7"/>
  <c r="BC129" i="7"/>
  <c r="BD129" i="7"/>
  <c r="BE129" i="7"/>
  <c r="BF129" i="7"/>
  <c r="BG129" i="7"/>
  <c r="E130" i="7"/>
  <c r="AV130" i="7"/>
  <c r="AW130" i="7"/>
  <c r="AX130" i="7"/>
  <c r="AY130" i="7"/>
  <c r="AZ130" i="7"/>
  <c r="BA130" i="7"/>
  <c r="BB130" i="7"/>
  <c r="BC130" i="7"/>
  <c r="BD130" i="7"/>
  <c r="BE130" i="7"/>
  <c r="BF130" i="7"/>
  <c r="BG130" i="7"/>
  <c r="E131" i="7"/>
  <c r="AV131" i="7"/>
  <c r="AW131" i="7"/>
  <c r="AX131" i="7"/>
  <c r="AY131" i="7"/>
  <c r="AZ131" i="7"/>
  <c r="BA131" i="7"/>
  <c r="BB131" i="7"/>
  <c r="BC131" i="7"/>
  <c r="BD131" i="7"/>
  <c r="BE131" i="7"/>
  <c r="BF131" i="7"/>
  <c r="BG131" i="7"/>
  <c r="E132" i="7"/>
  <c r="AV132" i="7"/>
  <c r="AW132" i="7"/>
  <c r="AX132" i="7"/>
  <c r="AY132" i="7"/>
  <c r="AZ132" i="7"/>
  <c r="BA132" i="7"/>
  <c r="BB132" i="7"/>
  <c r="BC132" i="7"/>
  <c r="BD132" i="7"/>
  <c r="BE132" i="7"/>
  <c r="BF132" i="7"/>
  <c r="BG132" i="7"/>
  <c r="E133" i="7"/>
  <c r="AV133" i="7"/>
  <c r="AW133" i="7"/>
  <c r="AX133" i="7"/>
  <c r="AY133" i="7"/>
  <c r="AZ133" i="7"/>
  <c r="BA133" i="7"/>
  <c r="BB133" i="7"/>
  <c r="BC133" i="7"/>
  <c r="BD133" i="7"/>
  <c r="BE133" i="7"/>
  <c r="BF133" i="7"/>
  <c r="BG133" i="7"/>
  <c r="E134" i="7"/>
  <c r="AV134" i="7"/>
  <c r="AW134" i="7"/>
  <c r="AX134" i="7"/>
  <c r="AY134" i="7"/>
  <c r="AZ134" i="7"/>
  <c r="BA134" i="7"/>
  <c r="BB134" i="7"/>
  <c r="BC134" i="7"/>
  <c r="BD134" i="7"/>
  <c r="BE134" i="7"/>
  <c r="BF134" i="7"/>
  <c r="BG134" i="7"/>
  <c r="E135" i="7"/>
  <c r="AV135" i="7"/>
  <c r="AW135" i="7"/>
  <c r="AX135" i="7"/>
  <c r="AY135" i="7"/>
  <c r="AZ135" i="7"/>
  <c r="BA135" i="7"/>
  <c r="BB135" i="7"/>
  <c r="BC135" i="7"/>
  <c r="BD135" i="7"/>
  <c r="BE135" i="7"/>
  <c r="BF135" i="7"/>
  <c r="BG135" i="7"/>
  <c r="E136" i="7"/>
  <c r="AV136" i="7"/>
  <c r="AW136" i="7"/>
  <c r="AX136" i="7"/>
  <c r="AY136" i="7"/>
  <c r="AZ136" i="7"/>
  <c r="BA136" i="7"/>
  <c r="BB136" i="7"/>
  <c r="BC136" i="7"/>
  <c r="BD136" i="7"/>
  <c r="BE136" i="7"/>
  <c r="BF136" i="7"/>
  <c r="BG136" i="7"/>
  <c r="E137" i="7"/>
  <c r="AV137" i="7"/>
  <c r="AW137" i="7"/>
  <c r="AX137" i="7"/>
  <c r="AY137" i="7"/>
  <c r="AZ137" i="7"/>
  <c r="BA137" i="7"/>
  <c r="BB137" i="7"/>
  <c r="BC137" i="7"/>
  <c r="BD137" i="7"/>
  <c r="BE137" i="7"/>
  <c r="BF137" i="7"/>
  <c r="BG137" i="7"/>
  <c r="E138" i="7"/>
  <c r="AV138" i="7"/>
  <c r="AW138" i="7"/>
  <c r="AX138" i="7"/>
  <c r="AY138" i="7"/>
  <c r="AZ138" i="7"/>
  <c r="BA138" i="7"/>
  <c r="BB138" i="7"/>
  <c r="BC138" i="7"/>
  <c r="BD138" i="7"/>
  <c r="BE138" i="7"/>
  <c r="BF138" i="7"/>
  <c r="BG138" i="7"/>
  <c r="E139" i="7"/>
  <c r="AV139" i="7"/>
  <c r="AW139" i="7"/>
  <c r="AX139" i="7"/>
  <c r="AY139" i="7"/>
  <c r="AZ139" i="7"/>
  <c r="BA139" i="7"/>
  <c r="BB139" i="7"/>
  <c r="BC139" i="7"/>
  <c r="BD139" i="7"/>
  <c r="BE139" i="7"/>
  <c r="BF139" i="7"/>
  <c r="BG139" i="7"/>
  <c r="E140" i="7"/>
  <c r="AV140" i="7"/>
  <c r="AW140" i="7"/>
  <c r="AX140" i="7"/>
  <c r="AY140" i="7"/>
  <c r="AZ140" i="7"/>
  <c r="BA140" i="7"/>
  <c r="BB140" i="7"/>
  <c r="BC140" i="7"/>
  <c r="BD140" i="7"/>
  <c r="BE140" i="7"/>
  <c r="BF140" i="7"/>
  <c r="BG140" i="7"/>
  <c r="E141" i="7"/>
  <c r="AV141" i="7"/>
  <c r="AW141" i="7"/>
  <c r="AX141" i="7"/>
  <c r="AY141" i="7"/>
  <c r="AZ141" i="7"/>
  <c r="BA141" i="7"/>
  <c r="BB141" i="7"/>
  <c r="BC141" i="7"/>
  <c r="BD141" i="7"/>
  <c r="BE141" i="7"/>
  <c r="BF141" i="7"/>
  <c r="BG141" i="7"/>
  <c r="E142" i="7"/>
  <c r="AV142" i="7"/>
  <c r="AW142" i="7"/>
  <c r="AX142" i="7"/>
  <c r="AY142" i="7"/>
  <c r="AZ142" i="7"/>
  <c r="BA142" i="7"/>
  <c r="BB142" i="7"/>
  <c r="BC142" i="7"/>
  <c r="BD142" i="7"/>
  <c r="BE142" i="7"/>
  <c r="BF142" i="7"/>
  <c r="BG142" i="7"/>
  <c r="E143" i="7"/>
  <c r="AV143" i="7"/>
  <c r="AW143" i="7"/>
  <c r="AX143" i="7"/>
  <c r="AY143" i="7"/>
  <c r="AZ143" i="7"/>
  <c r="BA143" i="7"/>
  <c r="BB143" i="7"/>
  <c r="BC143" i="7"/>
  <c r="BD143" i="7"/>
  <c r="BE143" i="7"/>
  <c r="BF143" i="7"/>
  <c r="BG143" i="7"/>
  <c r="E144" i="7"/>
  <c r="AV144" i="7"/>
  <c r="AW144" i="7"/>
  <c r="AX144" i="7"/>
  <c r="AY144" i="7"/>
  <c r="AZ144" i="7"/>
  <c r="BA144" i="7"/>
  <c r="BB144" i="7"/>
  <c r="BC144" i="7"/>
  <c r="BD144" i="7"/>
  <c r="BE144" i="7"/>
  <c r="BF144" i="7"/>
  <c r="BG144" i="7"/>
  <c r="E145" i="7"/>
  <c r="AV145" i="7"/>
  <c r="AW145" i="7"/>
  <c r="AX145" i="7"/>
  <c r="AY145" i="7"/>
  <c r="AZ145" i="7"/>
  <c r="BA145" i="7"/>
  <c r="BB145" i="7"/>
  <c r="BC145" i="7"/>
  <c r="BD145" i="7"/>
  <c r="BE145" i="7"/>
  <c r="BF145" i="7"/>
  <c r="BG145" i="7"/>
  <c r="E146" i="7"/>
  <c r="AV146" i="7"/>
  <c r="AW146" i="7"/>
  <c r="AX146" i="7"/>
  <c r="AY146" i="7"/>
  <c r="AZ146" i="7"/>
  <c r="BA146" i="7"/>
  <c r="BB146" i="7"/>
  <c r="BC146" i="7"/>
  <c r="BD146" i="7"/>
  <c r="BE146" i="7"/>
  <c r="BF146" i="7"/>
  <c r="BG146" i="7"/>
  <c r="E147" i="7"/>
  <c r="AV147" i="7"/>
  <c r="AW147" i="7"/>
  <c r="AX147" i="7"/>
  <c r="AY147" i="7"/>
  <c r="AZ147" i="7"/>
  <c r="BA147" i="7"/>
  <c r="BB147" i="7"/>
  <c r="BC147" i="7"/>
  <c r="BD147" i="7"/>
  <c r="BE147" i="7"/>
  <c r="BF147" i="7"/>
  <c r="BG147" i="7"/>
  <c r="E148" i="7"/>
  <c r="AV148" i="7"/>
  <c r="AW148" i="7"/>
  <c r="AX148" i="7"/>
  <c r="AY148" i="7"/>
  <c r="AZ148" i="7"/>
  <c r="BA148" i="7"/>
  <c r="BB148" i="7"/>
  <c r="BC148" i="7"/>
  <c r="BD148" i="7"/>
  <c r="BE148" i="7"/>
  <c r="BF148" i="7"/>
  <c r="BG148" i="7"/>
  <c r="E149" i="7"/>
  <c r="AV149" i="7"/>
  <c r="AW149" i="7"/>
  <c r="AX149" i="7"/>
  <c r="AY149" i="7"/>
  <c r="AZ149" i="7"/>
  <c r="BA149" i="7"/>
  <c r="BB149" i="7"/>
  <c r="BC149" i="7"/>
  <c r="BD149" i="7"/>
  <c r="BE149" i="7"/>
  <c r="BF149" i="7"/>
  <c r="BG149" i="7"/>
  <c r="E150" i="7"/>
  <c r="AV150" i="7"/>
  <c r="AW150" i="7"/>
  <c r="AX150" i="7"/>
  <c r="AY150" i="7"/>
  <c r="AZ150" i="7"/>
  <c r="BA150" i="7"/>
  <c r="BB150" i="7"/>
  <c r="BC150" i="7"/>
  <c r="BD150" i="7"/>
  <c r="BE150" i="7"/>
  <c r="BF150" i="7"/>
  <c r="BG150" i="7"/>
  <c r="AV2" i="7"/>
  <c r="AW2" i="7"/>
  <c r="AX2" i="7"/>
  <c r="AY2" i="7"/>
  <c r="AZ2" i="7"/>
  <c r="BA2" i="7"/>
  <c r="BB2" i="7"/>
  <c r="BC2" i="7"/>
  <c r="BD2" i="7"/>
  <c r="BE2" i="7"/>
  <c r="BF2" i="7"/>
  <c r="BG2" i="7"/>
  <c r="N1" i="7"/>
  <c r="AX1" i="7"/>
  <c r="AY1" i="7"/>
  <c r="AZ1" i="7"/>
  <c r="BA1" i="7"/>
  <c r="BB1" i="7"/>
  <c r="BC1" i="7"/>
  <c r="BD1" i="7"/>
  <c r="BE1" i="7"/>
  <c r="BF1" i="7"/>
  <c r="BG1" i="7"/>
  <c r="H1" i="7"/>
  <c r="I1" i="7"/>
  <c r="J1" i="7"/>
  <c r="K1" i="7"/>
  <c r="L1" i="7"/>
  <c r="M1" i="7"/>
  <c r="C2"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A130" i="7"/>
  <c r="A131" i="7"/>
  <c r="A132" i="7"/>
  <c r="A133" i="7"/>
  <c r="A134" i="7"/>
  <c r="A135" i="7"/>
  <c r="A136" i="7"/>
  <c r="A137" i="7"/>
  <c r="A138" i="7"/>
  <c r="A139" i="7"/>
  <c r="A140" i="7"/>
  <c r="A141" i="7"/>
  <c r="A142" i="7"/>
  <c r="A143" i="7"/>
  <c r="A144" i="7"/>
  <c r="A145" i="7"/>
  <c r="A146" i="7"/>
  <c r="A147" i="7"/>
  <c r="A148" i="7"/>
  <c r="A149" i="7"/>
  <c r="A150" i="7"/>
  <c r="A16" i="7"/>
  <c r="A17" i="7"/>
  <c r="A18" i="7"/>
  <c r="A19" i="7"/>
  <c r="A20" i="7"/>
  <c r="A21" i="7"/>
  <c r="A22" i="7"/>
  <c r="A23" i="7"/>
  <c r="A24" i="7"/>
  <c r="A25" i="7"/>
  <c r="A26" i="7"/>
  <c r="A27" i="7"/>
  <c r="A28" i="7"/>
  <c r="A29" i="7"/>
  <c r="A30" i="7"/>
  <c r="A2" i="7"/>
  <c r="A3" i="7"/>
  <c r="A4" i="7"/>
  <c r="A5" i="7"/>
  <c r="A6" i="7"/>
  <c r="A7" i="7"/>
  <c r="A8" i="7"/>
  <c r="A9" i="7"/>
  <c r="A10" i="7"/>
  <c r="A11" i="7"/>
  <c r="A12" i="7"/>
  <c r="A13" i="7"/>
  <c r="A14" i="7"/>
  <c r="A15" i="7"/>
  <c r="J54" i="1" l="1"/>
  <c r="W25" i="7"/>
  <c r="J23" i="1"/>
  <c r="W22" i="7"/>
  <c r="J147" i="1"/>
  <c r="W143" i="7"/>
  <c r="J24" i="1"/>
  <c r="W23" i="7"/>
  <c r="J22" i="1"/>
  <c r="W21" i="7"/>
  <c r="V24" i="8"/>
  <c r="G11" i="8"/>
  <c r="W21" i="8" s="1"/>
  <c r="W24" i="8" s="1"/>
  <c r="AJ4" i="1"/>
  <c r="AG3" i="7" s="1"/>
  <c r="AJ5" i="1"/>
  <c r="AG4" i="7" s="1"/>
  <c r="AJ6" i="1"/>
  <c r="AG5" i="7" s="1"/>
  <c r="AJ7" i="1"/>
  <c r="AG6" i="7" s="1"/>
  <c r="AJ8" i="1"/>
  <c r="AG7" i="7" s="1"/>
  <c r="AJ9" i="1"/>
  <c r="AG8" i="7" s="1"/>
  <c r="AJ11" i="1"/>
  <c r="AG10" i="7" s="1"/>
  <c r="AJ13" i="1"/>
  <c r="AG12" i="7" s="1"/>
  <c r="AJ14" i="1"/>
  <c r="AG13" i="7" s="1"/>
  <c r="AJ15" i="1"/>
  <c r="AG14" i="7" s="1"/>
  <c r="AJ16" i="1"/>
  <c r="AG15" i="7" s="1"/>
  <c r="AJ17" i="1"/>
  <c r="AG16" i="7" s="1"/>
  <c r="AJ30" i="1"/>
  <c r="AG27" i="7" s="1"/>
  <c r="AJ31" i="1"/>
  <c r="AG28" i="7" s="1"/>
  <c r="AJ29" i="1"/>
  <c r="AG26" i="7" s="1"/>
  <c r="AJ36" i="1"/>
  <c r="AG33" i="7" s="1"/>
  <c r="AJ37" i="1"/>
  <c r="AG34" i="7" s="1"/>
  <c r="AJ38" i="1"/>
  <c r="AG35" i="7" s="1"/>
  <c r="AJ39" i="1"/>
  <c r="AG36" i="7" s="1"/>
  <c r="AJ52" i="1"/>
  <c r="AG49" i="7" s="1"/>
  <c r="AJ55" i="1"/>
  <c r="AG52" i="7" s="1"/>
  <c r="AJ56" i="1"/>
  <c r="AG53" i="7" s="1"/>
  <c r="AJ108" i="1"/>
  <c r="AG104" i="7" s="1"/>
  <c r="AJ57" i="1"/>
  <c r="AG54" i="7" s="1"/>
  <c r="AJ58" i="1"/>
  <c r="AG55" i="7" s="1"/>
  <c r="AJ59" i="1"/>
  <c r="AG56" i="7" s="1"/>
  <c r="AJ60" i="1"/>
  <c r="AG57" i="7" s="1"/>
  <c r="AJ61" i="1"/>
  <c r="AG58" i="7" s="1"/>
  <c r="AJ62" i="1"/>
  <c r="AG59" i="7" s="1"/>
  <c r="AJ63" i="1"/>
  <c r="AG60" i="7" s="1"/>
  <c r="AJ64" i="1"/>
  <c r="AG61" i="7" s="1"/>
  <c r="AJ65" i="1"/>
  <c r="AG62" i="7" s="1"/>
  <c r="AJ66" i="1"/>
  <c r="AG63" i="7" s="1"/>
  <c r="AJ67" i="1"/>
  <c r="AG64" i="7" s="1"/>
  <c r="AJ92" i="1"/>
  <c r="AG89" i="7" s="1"/>
  <c r="AJ101" i="1"/>
  <c r="AG97" i="7" s="1"/>
  <c r="AJ102" i="1"/>
  <c r="AG98" i="7" s="1"/>
  <c r="AJ106" i="1"/>
  <c r="AG102" i="7" s="1"/>
  <c r="AJ89" i="1"/>
  <c r="AG86" i="7" s="1"/>
  <c r="AJ90" i="1"/>
  <c r="AG87" i="7" s="1"/>
  <c r="AJ113" i="1"/>
  <c r="AG109" i="7" s="1"/>
  <c r="AJ91" i="1"/>
  <c r="AG88" i="7" s="1"/>
  <c r="AJ94" i="1"/>
  <c r="AG91" i="7" s="1"/>
  <c r="AJ93" i="1"/>
  <c r="AG90" i="7" s="1"/>
  <c r="AJ95" i="1"/>
  <c r="AG92" i="7" s="1"/>
  <c r="AJ96" i="1"/>
  <c r="AG93" i="7" s="1"/>
  <c r="AJ97" i="1"/>
  <c r="AG94" i="7" s="1"/>
  <c r="AJ98" i="1"/>
  <c r="AG95" i="7" s="1"/>
  <c r="AJ107" i="1"/>
  <c r="AG103" i="7" s="1"/>
  <c r="AJ105" i="1"/>
  <c r="AG101" i="7" s="1"/>
  <c r="AJ103" i="1"/>
  <c r="AG99" i="7" s="1"/>
  <c r="AJ115" i="1"/>
  <c r="AG111" i="7" s="1"/>
  <c r="AJ72" i="1"/>
  <c r="AG69" i="7" s="1"/>
  <c r="AJ73" i="1"/>
  <c r="AG70" i="7" s="1"/>
  <c r="AJ74" i="1"/>
  <c r="AG71" i="7" s="1"/>
  <c r="AJ75" i="1"/>
  <c r="AG72" i="7" s="1"/>
  <c r="AJ116" i="1"/>
  <c r="AG112" i="7" s="1"/>
  <c r="AJ117" i="1"/>
  <c r="AG113" i="7" s="1"/>
  <c r="AJ118" i="1"/>
  <c r="AG114" i="7" s="1"/>
  <c r="AJ145" i="1"/>
  <c r="AG141" i="7" s="1"/>
  <c r="AJ146" i="1"/>
  <c r="AG142" i="7" s="1"/>
  <c r="AJ136" i="1"/>
  <c r="AG132" i="7" s="1"/>
  <c r="AJ137" i="1"/>
  <c r="AG133" i="7" s="1"/>
  <c r="AJ138" i="1"/>
  <c r="AG134" i="7" s="1"/>
  <c r="AJ139" i="1"/>
  <c r="AG135" i="7" s="1"/>
  <c r="AJ140" i="1"/>
  <c r="AG136" i="7" s="1"/>
  <c r="AJ141" i="1"/>
  <c r="AG137" i="7" s="1"/>
  <c r="AJ142" i="1"/>
  <c r="AG138" i="7" s="1"/>
  <c r="AJ143" i="1"/>
  <c r="AG139" i="7" s="1"/>
  <c r="AJ144" i="1"/>
  <c r="AG140" i="7" s="1"/>
  <c r="AJ148" i="1"/>
  <c r="AG144" i="7" s="1"/>
  <c r="AJ149" i="1"/>
  <c r="AG145" i="7" s="1"/>
  <c r="AJ150" i="1"/>
  <c r="AG146" i="7" s="1"/>
  <c r="AJ151" i="1"/>
  <c r="AG147" i="7" s="1"/>
  <c r="AJ152" i="1"/>
  <c r="AG148" i="7" s="1"/>
  <c r="AJ153" i="1"/>
  <c r="AG149" i="7" s="1"/>
  <c r="AJ12" i="1"/>
  <c r="AG11" i="7" s="1"/>
  <c r="AJ70" i="1"/>
  <c r="AG67" i="7" s="1"/>
  <c r="AJ99" i="1"/>
  <c r="AG96" i="7" s="1"/>
  <c r="AJ71" i="1"/>
  <c r="AG68" i="7" s="1"/>
  <c r="AJ18" i="1"/>
  <c r="AG17" i="7" s="1"/>
  <c r="AJ104" i="1"/>
  <c r="AG100" i="7" s="1"/>
  <c r="AJ119" i="1"/>
  <c r="AG115" i="7" s="1"/>
  <c r="AJ68" i="1"/>
  <c r="AG65" i="7" s="1"/>
  <c r="AJ114" i="1"/>
  <c r="AG110" i="7" s="1"/>
  <c r="AJ69" i="1"/>
  <c r="AG66" i="7" s="1"/>
  <c r="AJ10" i="1"/>
  <c r="AG9" i="7" s="1"/>
  <c r="AJ32" i="1"/>
  <c r="AG29" i="7" s="1"/>
  <c r="AJ33" i="1"/>
  <c r="AG30" i="7" s="1"/>
  <c r="AJ109" i="1"/>
  <c r="AG105" i="7" s="1"/>
  <c r="AJ110" i="1"/>
  <c r="AG106" i="7" s="1"/>
  <c r="AJ19" i="1"/>
  <c r="AG18" i="7" s="1"/>
  <c r="AJ76" i="1"/>
  <c r="AG73" i="7" s="1"/>
  <c r="AJ77" i="1"/>
  <c r="AG74" i="7" s="1"/>
  <c r="AJ78" i="1"/>
  <c r="AG75" i="7" s="1"/>
  <c r="AJ53" i="1"/>
  <c r="AG50" i="7" s="1"/>
  <c r="AJ79" i="1"/>
  <c r="AG76" i="7" s="1"/>
  <c r="AJ80" i="1"/>
  <c r="AG77" i="7" s="1"/>
  <c r="AJ81" i="1"/>
  <c r="AG78" i="7" s="1"/>
  <c r="AJ120" i="1"/>
  <c r="AG116" i="7" s="1"/>
  <c r="AJ121" i="1"/>
  <c r="AG117" i="7" s="1"/>
  <c r="AJ111" i="1"/>
  <c r="AG107" i="7" s="1"/>
  <c r="AJ82" i="1"/>
  <c r="AG79" i="7" s="1"/>
  <c r="AJ21" i="1"/>
  <c r="AG20" i="7" s="1"/>
  <c r="AJ112" i="1"/>
  <c r="AG108" i="7" s="1"/>
  <c r="AJ122" i="1"/>
  <c r="AG118" i="7" s="1"/>
  <c r="AJ123" i="1"/>
  <c r="AG119" i="7" s="1"/>
  <c r="AJ124" i="1"/>
  <c r="AG120" i="7" s="1"/>
  <c r="AJ125" i="1"/>
  <c r="AG121" i="7" s="1"/>
  <c r="AJ20" i="1"/>
  <c r="AG19" i="7" s="1"/>
  <c r="AJ83" i="1"/>
  <c r="AG80" i="7" s="1"/>
  <c r="AJ84" i="1"/>
  <c r="AG81" i="7" s="1"/>
  <c r="AJ85" i="1"/>
  <c r="AG82" i="7" s="1"/>
  <c r="AJ86" i="1"/>
  <c r="AG83" i="7" s="1"/>
  <c r="AJ126" i="1"/>
  <c r="AG122" i="7" s="1"/>
  <c r="AJ127" i="1"/>
  <c r="AG123" i="7" s="1"/>
  <c r="AJ128" i="1"/>
  <c r="AG124" i="7" s="1"/>
  <c r="AJ129" i="1"/>
  <c r="AG125" i="7" s="1"/>
  <c r="AJ130" i="1"/>
  <c r="AG126" i="7" s="1"/>
  <c r="AJ131" i="1"/>
  <c r="AG127" i="7" s="1"/>
  <c r="AJ132" i="1"/>
  <c r="AG128" i="7" s="1"/>
  <c r="AJ133" i="1"/>
  <c r="AG129" i="7" s="1"/>
  <c r="AJ134" i="1"/>
  <c r="AG130" i="7" s="1"/>
  <c r="AJ35" i="1"/>
  <c r="AG32" i="7" s="1"/>
  <c r="AJ87" i="1"/>
  <c r="AG84" i="7" s="1"/>
  <c r="AJ135" i="1"/>
  <c r="AG131" i="7" s="1"/>
  <c r="AJ88" i="1"/>
  <c r="AG85" i="7" s="1"/>
  <c r="AJ154" i="1"/>
  <c r="AG150" i="7" s="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2" i="1"/>
  <c r="AJ193" i="1"/>
  <c r="AJ194" i="1"/>
  <c r="AJ195" i="1"/>
  <c r="AJ196" i="1"/>
  <c r="AJ197" i="1"/>
  <c r="AJ198" i="1"/>
  <c r="AJ199" i="1"/>
  <c r="AJ200" i="1"/>
  <c r="AJ201" i="1"/>
  <c r="AJ202" i="1"/>
  <c r="AJ203" i="1"/>
  <c r="AJ204" i="1"/>
  <c r="AJ205" i="1"/>
  <c r="AJ206" i="1"/>
  <c r="AJ207" i="1"/>
  <c r="AJ208" i="1"/>
  <c r="AJ209" i="1"/>
  <c r="AJ210" i="1"/>
  <c r="AJ211" i="1"/>
  <c r="AJ212" i="1"/>
  <c r="AJ213" i="1"/>
  <c r="AJ214" i="1"/>
  <c r="AJ215" i="1"/>
  <c r="AJ216" i="1"/>
  <c r="AJ217" i="1"/>
  <c r="AJ218" i="1"/>
  <c r="AJ219" i="1"/>
  <c r="AJ220" i="1"/>
  <c r="AJ221" i="1"/>
  <c r="AJ222" i="1"/>
  <c r="AJ223" i="1"/>
  <c r="AJ224" i="1"/>
  <c r="AJ225" i="1"/>
  <c r="AJ226" i="1"/>
  <c r="AJ227" i="1"/>
  <c r="AJ228" i="1"/>
  <c r="AJ229" i="1"/>
  <c r="AJ230" i="1"/>
  <c r="AJ231" i="1"/>
  <c r="AJ232" i="1"/>
  <c r="AJ233" i="1"/>
  <c r="AJ234" i="1"/>
  <c r="AJ235" i="1"/>
  <c r="AJ236" i="1"/>
  <c r="AJ237" i="1"/>
  <c r="AJ238" i="1"/>
  <c r="AJ239" i="1"/>
  <c r="AJ240" i="1"/>
  <c r="AJ241" i="1"/>
  <c r="AJ242" i="1"/>
  <c r="AJ243" i="1"/>
  <c r="AJ244" i="1"/>
  <c r="AJ245" i="1"/>
  <c r="AJ246" i="1"/>
  <c r="AJ247" i="1"/>
  <c r="AJ248" i="1"/>
  <c r="AJ249" i="1"/>
  <c r="AJ250" i="1"/>
  <c r="AJ251" i="1"/>
  <c r="AJ252" i="1"/>
  <c r="AJ253" i="1"/>
  <c r="AJ254" i="1"/>
  <c r="AJ255" i="1"/>
  <c r="AJ256" i="1"/>
  <c r="AJ257" i="1"/>
  <c r="AJ258" i="1"/>
  <c r="AJ259" i="1"/>
  <c r="AJ260" i="1"/>
  <c r="AJ261" i="1"/>
  <c r="AJ262" i="1"/>
  <c r="AJ263" i="1"/>
  <c r="AJ264" i="1"/>
  <c r="AJ265" i="1"/>
  <c r="AJ266" i="1"/>
  <c r="AJ267" i="1"/>
  <c r="AJ268" i="1"/>
  <c r="AJ269" i="1"/>
  <c r="AJ270" i="1"/>
  <c r="AJ271" i="1"/>
  <c r="AJ272" i="1"/>
  <c r="AJ273" i="1"/>
  <c r="AJ274" i="1"/>
  <c r="AJ275" i="1"/>
  <c r="AJ276" i="1"/>
  <c r="AJ277" i="1"/>
  <c r="AJ278" i="1"/>
  <c r="AJ279" i="1"/>
  <c r="AJ280" i="1"/>
  <c r="AJ281" i="1"/>
  <c r="AJ282" i="1"/>
  <c r="AJ283" i="1"/>
  <c r="AJ284" i="1"/>
  <c r="AJ285" i="1"/>
  <c r="AJ286" i="1"/>
  <c r="AJ287" i="1"/>
  <c r="AJ288" i="1"/>
  <c r="AJ289" i="1"/>
  <c r="AJ290" i="1"/>
  <c r="AJ291" i="1"/>
  <c r="AJ292" i="1"/>
  <c r="AJ293" i="1"/>
  <c r="AJ294" i="1"/>
  <c r="AJ295" i="1"/>
  <c r="AJ296" i="1"/>
  <c r="AJ297" i="1"/>
  <c r="AJ298" i="1"/>
  <c r="AJ299" i="1"/>
  <c r="AJ300" i="1"/>
  <c r="AJ301" i="1"/>
  <c r="AJ302" i="1"/>
  <c r="AJ303" i="1"/>
  <c r="AJ304" i="1"/>
  <c r="AJ305" i="1"/>
  <c r="AJ306" i="1"/>
  <c r="AJ307" i="1"/>
  <c r="AJ308" i="1"/>
  <c r="AJ309" i="1"/>
  <c r="AJ310" i="1"/>
  <c r="AJ311" i="1"/>
  <c r="AJ312" i="1"/>
  <c r="AJ313" i="1"/>
  <c r="AJ314" i="1"/>
  <c r="AJ315" i="1"/>
  <c r="AJ316" i="1"/>
  <c r="AJ317" i="1"/>
  <c r="AJ318" i="1"/>
  <c r="AJ3" i="1"/>
  <c r="AG2" i="7" s="1"/>
  <c r="AH4" i="1"/>
  <c r="AE3" i="7" s="1"/>
  <c r="AH5" i="1"/>
  <c r="AE4" i="7" s="1"/>
  <c r="AH6" i="1"/>
  <c r="AE5" i="7" s="1"/>
  <c r="AH7" i="1"/>
  <c r="AE6" i="7" s="1"/>
  <c r="AH8" i="1"/>
  <c r="AE7" i="7" s="1"/>
  <c r="AH9" i="1"/>
  <c r="AE8" i="7" s="1"/>
  <c r="AH11" i="1"/>
  <c r="AE10" i="7" s="1"/>
  <c r="AH13" i="1"/>
  <c r="AE12" i="7" s="1"/>
  <c r="AH14" i="1"/>
  <c r="AE13" i="7" s="1"/>
  <c r="AH15" i="1"/>
  <c r="AE14" i="7" s="1"/>
  <c r="AH16" i="1"/>
  <c r="AE15" i="7" s="1"/>
  <c r="AH17" i="1"/>
  <c r="AE16" i="7" s="1"/>
  <c r="AH30" i="1"/>
  <c r="AE27" i="7" s="1"/>
  <c r="AH31" i="1"/>
  <c r="AE28" i="7" s="1"/>
  <c r="AH29" i="1"/>
  <c r="AE26" i="7" s="1"/>
  <c r="AH36" i="1"/>
  <c r="AE33" i="7" s="1"/>
  <c r="AH37" i="1"/>
  <c r="AE34" i="7" s="1"/>
  <c r="AH38" i="1"/>
  <c r="AE35" i="7" s="1"/>
  <c r="AH39" i="1"/>
  <c r="AE36" i="7" s="1"/>
  <c r="AH52" i="1"/>
  <c r="AE49" i="7" s="1"/>
  <c r="AH55" i="1"/>
  <c r="AE52" i="7" s="1"/>
  <c r="AH56" i="1"/>
  <c r="AE53" i="7" s="1"/>
  <c r="AH108" i="1"/>
  <c r="AE104" i="7" s="1"/>
  <c r="AH57" i="1"/>
  <c r="AE54" i="7" s="1"/>
  <c r="AH58" i="1"/>
  <c r="AE55" i="7" s="1"/>
  <c r="AH59" i="1"/>
  <c r="AE56" i="7" s="1"/>
  <c r="AH60" i="1"/>
  <c r="AE57" i="7" s="1"/>
  <c r="AH61" i="1"/>
  <c r="AE58" i="7" s="1"/>
  <c r="AH62" i="1"/>
  <c r="AE59" i="7" s="1"/>
  <c r="AH63" i="1"/>
  <c r="AE60" i="7" s="1"/>
  <c r="AH64" i="1"/>
  <c r="AE61" i="7" s="1"/>
  <c r="AH65" i="1"/>
  <c r="AE62" i="7" s="1"/>
  <c r="AH66" i="1"/>
  <c r="AE63" i="7" s="1"/>
  <c r="AH67" i="1"/>
  <c r="AE64" i="7" s="1"/>
  <c r="AH92" i="1"/>
  <c r="AE89" i="7" s="1"/>
  <c r="AH101" i="1"/>
  <c r="AE97" i="7" s="1"/>
  <c r="AH102" i="1"/>
  <c r="AE98" i="7" s="1"/>
  <c r="AH106" i="1"/>
  <c r="AE102" i="7" s="1"/>
  <c r="AH89" i="1"/>
  <c r="AE86" i="7" s="1"/>
  <c r="AH90" i="1"/>
  <c r="AE87" i="7" s="1"/>
  <c r="AH113" i="1"/>
  <c r="AE109" i="7" s="1"/>
  <c r="AH91" i="1"/>
  <c r="AE88" i="7" s="1"/>
  <c r="AH94" i="1"/>
  <c r="AE91" i="7" s="1"/>
  <c r="AH93" i="1"/>
  <c r="AE90" i="7" s="1"/>
  <c r="AH95" i="1"/>
  <c r="AE92" i="7" s="1"/>
  <c r="AH96" i="1"/>
  <c r="AE93" i="7" s="1"/>
  <c r="AH97" i="1"/>
  <c r="AE94" i="7" s="1"/>
  <c r="AH98" i="1"/>
  <c r="AE95" i="7" s="1"/>
  <c r="AH107" i="1"/>
  <c r="AE103" i="7" s="1"/>
  <c r="AH105" i="1"/>
  <c r="AE101" i="7" s="1"/>
  <c r="AH103" i="1"/>
  <c r="AE99" i="7" s="1"/>
  <c r="AH115" i="1"/>
  <c r="AE111" i="7" s="1"/>
  <c r="AH72" i="1"/>
  <c r="AE69" i="7" s="1"/>
  <c r="AH73" i="1"/>
  <c r="AE70" i="7" s="1"/>
  <c r="AH74" i="1"/>
  <c r="AE71" i="7" s="1"/>
  <c r="AH75" i="1"/>
  <c r="AE72" i="7" s="1"/>
  <c r="AH116" i="1"/>
  <c r="AE112" i="7" s="1"/>
  <c r="AH117" i="1"/>
  <c r="AE113" i="7" s="1"/>
  <c r="AH118" i="1"/>
  <c r="AE114" i="7" s="1"/>
  <c r="AH145" i="1"/>
  <c r="AE141" i="7" s="1"/>
  <c r="AH146" i="1"/>
  <c r="AE142" i="7" s="1"/>
  <c r="AH136" i="1"/>
  <c r="AE132" i="7" s="1"/>
  <c r="AH137" i="1"/>
  <c r="AE133" i="7" s="1"/>
  <c r="AH138" i="1"/>
  <c r="AE134" i="7" s="1"/>
  <c r="AH139" i="1"/>
  <c r="AE135" i="7" s="1"/>
  <c r="AH140" i="1"/>
  <c r="AE136" i="7" s="1"/>
  <c r="AH141" i="1"/>
  <c r="AE137" i="7" s="1"/>
  <c r="AH142" i="1"/>
  <c r="AE138" i="7" s="1"/>
  <c r="AH143" i="1"/>
  <c r="AE139" i="7" s="1"/>
  <c r="AH144" i="1"/>
  <c r="AE140" i="7" s="1"/>
  <c r="AH148" i="1"/>
  <c r="AE144" i="7" s="1"/>
  <c r="AH149" i="1"/>
  <c r="AE145" i="7" s="1"/>
  <c r="AH150" i="1"/>
  <c r="AE146" i="7" s="1"/>
  <c r="AH151" i="1"/>
  <c r="AE147" i="7" s="1"/>
  <c r="AH152" i="1"/>
  <c r="AE148" i="7" s="1"/>
  <c r="AH153" i="1"/>
  <c r="AE149" i="7" s="1"/>
  <c r="AH12" i="1"/>
  <c r="AE11" i="7" s="1"/>
  <c r="AH70" i="1"/>
  <c r="AE67" i="7" s="1"/>
  <c r="AH99" i="1"/>
  <c r="AE96" i="7" s="1"/>
  <c r="AH71" i="1"/>
  <c r="AE68" i="7" s="1"/>
  <c r="AH18" i="1"/>
  <c r="AE17" i="7" s="1"/>
  <c r="AH104" i="1"/>
  <c r="AE100" i="7" s="1"/>
  <c r="AH119" i="1"/>
  <c r="AE115" i="7" s="1"/>
  <c r="AH68" i="1"/>
  <c r="AE65" i="7" s="1"/>
  <c r="AH114" i="1"/>
  <c r="AE110" i="7" s="1"/>
  <c r="AH69" i="1"/>
  <c r="AE66" i="7" s="1"/>
  <c r="AH10" i="1"/>
  <c r="AE9" i="7" s="1"/>
  <c r="AH32" i="1"/>
  <c r="AE29" i="7" s="1"/>
  <c r="AH33" i="1"/>
  <c r="AE30" i="7" s="1"/>
  <c r="AH109" i="1"/>
  <c r="AE105" i="7" s="1"/>
  <c r="AH110" i="1"/>
  <c r="AE106" i="7" s="1"/>
  <c r="AH19" i="1"/>
  <c r="AE18" i="7" s="1"/>
  <c r="AH76" i="1"/>
  <c r="AE73" i="7" s="1"/>
  <c r="AH77" i="1"/>
  <c r="AE74" i="7" s="1"/>
  <c r="AH78" i="1"/>
  <c r="AE75" i="7" s="1"/>
  <c r="AH53" i="1"/>
  <c r="AE50" i="7" s="1"/>
  <c r="AH79" i="1"/>
  <c r="AE76" i="7" s="1"/>
  <c r="AH80" i="1"/>
  <c r="AE77" i="7" s="1"/>
  <c r="AH81" i="1"/>
  <c r="AE78" i="7" s="1"/>
  <c r="AH120" i="1"/>
  <c r="AE116" i="7" s="1"/>
  <c r="AH121" i="1"/>
  <c r="AE117" i="7" s="1"/>
  <c r="AH111" i="1"/>
  <c r="AE107" i="7" s="1"/>
  <c r="AH82" i="1"/>
  <c r="AE79" i="7" s="1"/>
  <c r="AH21" i="1"/>
  <c r="AE20" i="7" s="1"/>
  <c r="AH112" i="1"/>
  <c r="AE108" i="7" s="1"/>
  <c r="AH122" i="1"/>
  <c r="AE118" i="7" s="1"/>
  <c r="AH123" i="1"/>
  <c r="AE119" i="7" s="1"/>
  <c r="AH124" i="1"/>
  <c r="AE120" i="7" s="1"/>
  <c r="AH125" i="1"/>
  <c r="AE121" i="7" s="1"/>
  <c r="AH20" i="1"/>
  <c r="AE19" i="7" s="1"/>
  <c r="AH83" i="1"/>
  <c r="AE80" i="7" s="1"/>
  <c r="AH84" i="1"/>
  <c r="AE81" i="7" s="1"/>
  <c r="AH85" i="1"/>
  <c r="AE82" i="7" s="1"/>
  <c r="AH86" i="1"/>
  <c r="AE83" i="7" s="1"/>
  <c r="AH126" i="1"/>
  <c r="AE122" i="7" s="1"/>
  <c r="AH127" i="1"/>
  <c r="AE123" i="7" s="1"/>
  <c r="AH128" i="1"/>
  <c r="AE124" i="7" s="1"/>
  <c r="AH129" i="1"/>
  <c r="AE125" i="7" s="1"/>
  <c r="AH130" i="1"/>
  <c r="AE126" i="7" s="1"/>
  <c r="AH131" i="1"/>
  <c r="AE127" i="7" s="1"/>
  <c r="AH132" i="1"/>
  <c r="AE128" i="7" s="1"/>
  <c r="AH133" i="1"/>
  <c r="AE129" i="7" s="1"/>
  <c r="AH134" i="1"/>
  <c r="AE130" i="7" s="1"/>
  <c r="AH87" i="1"/>
  <c r="AE84" i="7" s="1"/>
  <c r="AH135" i="1"/>
  <c r="AE131" i="7" s="1"/>
  <c r="AH88" i="1"/>
  <c r="AE85" i="7" s="1"/>
  <c r="AH154" i="1"/>
  <c r="AE150" i="7" s="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A192" i="1" s="1"/>
  <c r="AH193" i="1"/>
  <c r="AE193" i="1" s="1"/>
  <c r="AH195" i="1"/>
  <c r="AH196" i="1"/>
  <c r="AA196" i="1" s="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 i="1"/>
  <c r="AE2" i="7" s="1"/>
  <c r="AE18" i="1" l="1"/>
  <c r="AB17" i="7" s="1"/>
  <c r="AB18" i="1"/>
  <c r="Z17" i="7" s="1"/>
  <c r="AA18" i="1"/>
  <c r="Y17" i="7" s="1"/>
  <c r="Z18" i="1"/>
  <c r="X17" i="7" s="1"/>
  <c r="AC18" i="1"/>
  <c r="AA17" i="7" s="1"/>
  <c r="AR15" i="1"/>
  <c r="AO14" i="7" s="1"/>
  <c r="AS15" i="1"/>
  <c r="AP14" i="7" s="1"/>
  <c r="AT15" i="1"/>
  <c r="AQ14" i="7" s="1"/>
  <c r="AU15" i="1"/>
  <c r="AR14" i="7" s="1"/>
  <c r="AR16" i="1"/>
  <c r="AO15" i="7" s="1"/>
  <c r="AS16" i="1"/>
  <c r="AP15" i="7" s="1"/>
  <c r="AT16" i="1"/>
  <c r="AQ15" i="7" s="1"/>
  <c r="AU16" i="1"/>
  <c r="AR15" i="7" s="1"/>
  <c r="AR17" i="1"/>
  <c r="AO16" i="7" s="1"/>
  <c r="AS17" i="1"/>
  <c r="AP16" i="7" s="1"/>
  <c r="AT17" i="1"/>
  <c r="AQ16" i="7" s="1"/>
  <c r="AU17" i="1"/>
  <c r="AR16" i="7" s="1"/>
  <c r="AR30" i="1"/>
  <c r="AO27" i="7" s="1"/>
  <c r="AS30" i="1"/>
  <c r="AP27" i="7" s="1"/>
  <c r="AT30" i="1"/>
  <c r="AQ27" i="7" s="1"/>
  <c r="AU30" i="1"/>
  <c r="AR27" i="7" s="1"/>
  <c r="AR31" i="1"/>
  <c r="AO28" i="7" s="1"/>
  <c r="AS31" i="1"/>
  <c r="AP28" i="7" s="1"/>
  <c r="AT31" i="1"/>
  <c r="AQ28" i="7" s="1"/>
  <c r="AU31" i="1"/>
  <c r="AR28" i="7" s="1"/>
  <c r="AR29" i="1"/>
  <c r="AO26" i="7" s="1"/>
  <c r="AS29" i="1"/>
  <c r="AP26" i="7" s="1"/>
  <c r="AT29" i="1"/>
  <c r="AQ26" i="7" s="1"/>
  <c r="AU29" i="1"/>
  <c r="AR26" i="7" s="1"/>
  <c r="AR36" i="1"/>
  <c r="AO33" i="7" s="1"/>
  <c r="AS36" i="1"/>
  <c r="AP33" i="7" s="1"/>
  <c r="AT36" i="1"/>
  <c r="AQ33" i="7" s="1"/>
  <c r="AU36" i="1"/>
  <c r="AR33" i="7" s="1"/>
  <c r="AR37" i="1"/>
  <c r="AO34" i="7" s="1"/>
  <c r="AS37" i="1"/>
  <c r="AP34" i="7" s="1"/>
  <c r="AT37" i="1"/>
  <c r="AQ34" i="7" s="1"/>
  <c r="AU37" i="1"/>
  <c r="AR34" i="7" s="1"/>
  <c r="AR38" i="1"/>
  <c r="AO35" i="7" s="1"/>
  <c r="AS38" i="1"/>
  <c r="AP35" i="7" s="1"/>
  <c r="AT38" i="1"/>
  <c r="AQ35" i="7" s="1"/>
  <c r="AU38" i="1"/>
  <c r="AR35" i="7" s="1"/>
  <c r="AR39" i="1"/>
  <c r="AO36" i="7" s="1"/>
  <c r="AS39" i="1"/>
  <c r="AP36" i="7" s="1"/>
  <c r="AT39" i="1"/>
  <c r="AQ36" i="7" s="1"/>
  <c r="AU39" i="1"/>
  <c r="AR36" i="7" s="1"/>
  <c r="AR52" i="1"/>
  <c r="AO49" i="7" s="1"/>
  <c r="AS52" i="1"/>
  <c r="AP49" i="7" s="1"/>
  <c r="AT52" i="1"/>
  <c r="AQ49" i="7" s="1"/>
  <c r="AU52" i="1"/>
  <c r="AR49" i="7" s="1"/>
  <c r="AR55" i="1"/>
  <c r="AO52" i="7" s="1"/>
  <c r="AS55" i="1"/>
  <c r="AP52" i="7" s="1"/>
  <c r="AT55" i="1"/>
  <c r="AQ52" i="7" s="1"/>
  <c r="AU55" i="1"/>
  <c r="AR52" i="7" s="1"/>
  <c r="AR56" i="1"/>
  <c r="AO53" i="7" s="1"/>
  <c r="AS56" i="1"/>
  <c r="AP53" i="7" s="1"/>
  <c r="AT56" i="1"/>
  <c r="AQ53" i="7" s="1"/>
  <c r="AU56" i="1"/>
  <c r="AR53" i="7" s="1"/>
  <c r="AR108" i="1"/>
  <c r="AO104" i="7" s="1"/>
  <c r="AS108" i="1"/>
  <c r="AP104" i="7" s="1"/>
  <c r="AT108" i="1"/>
  <c r="AQ104" i="7" s="1"/>
  <c r="AU108" i="1"/>
  <c r="AR104" i="7" s="1"/>
  <c r="AR57" i="1"/>
  <c r="AO54" i="7" s="1"/>
  <c r="AS57" i="1"/>
  <c r="AP54" i="7" s="1"/>
  <c r="AT57" i="1"/>
  <c r="AQ54" i="7" s="1"/>
  <c r="AU57" i="1"/>
  <c r="AR54" i="7" s="1"/>
  <c r="AR58" i="1"/>
  <c r="AO55" i="7" s="1"/>
  <c r="AS58" i="1"/>
  <c r="AP55" i="7" s="1"/>
  <c r="AT58" i="1"/>
  <c r="AQ55" i="7" s="1"/>
  <c r="AU58" i="1"/>
  <c r="AR55" i="7" s="1"/>
  <c r="AR59" i="1"/>
  <c r="AO56" i="7" s="1"/>
  <c r="AS59" i="1"/>
  <c r="AP56" i="7" s="1"/>
  <c r="AT59" i="1"/>
  <c r="AQ56" i="7" s="1"/>
  <c r="AU59" i="1"/>
  <c r="AR56" i="7" s="1"/>
  <c r="AR67" i="1"/>
  <c r="AO64" i="7" s="1"/>
  <c r="AS67" i="1"/>
  <c r="AP64" i="7" s="1"/>
  <c r="AT67" i="1"/>
  <c r="AQ64" i="7" s="1"/>
  <c r="AU67" i="1"/>
  <c r="AR64" i="7" s="1"/>
  <c r="AR92" i="1"/>
  <c r="AO89" i="7" s="1"/>
  <c r="AS92" i="1"/>
  <c r="AP89" i="7" s="1"/>
  <c r="AT92" i="1"/>
  <c r="AQ89" i="7" s="1"/>
  <c r="AU92" i="1"/>
  <c r="AR89" i="7" s="1"/>
  <c r="AR60" i="1"/>
  <c r="AO57" i="7" s="1"/>
  <c r="AS60" i="1"/>
  <c r="AP57" i="7" s="1"/>
  <c r="AT60" i="1"/>
  <c r="AQ57" i="7" s="1"/>
  <c r="AU60" i="1"/>
  <c r="AR57" i="7" s="1"/>
  <c r="AR61" i="1"/>
  <c r="AO58" i="7" s="1"/>
  <c r="AS61" i="1"/>
  <c r="AP58" i="7" s="1"/>
  <c r="AT61" i="1"/>
  <c r="AQ58" i="7" s="1"/>
  <c r="AU61" i="1"/>
  <c r="AR58" i="7" s="1"/>
  <c r="AR62" i="1"/>
  <c r="AO59" i="7" s="1"/>
  <c r="AS62" i="1"/>
  <c r="AP59" i="7" s="1"/>
  <c r="AT62" i="1"/>
  <c r="AQ59" i="7" s="1"/>
  <c r="AU62" i="1"/>
  <c r="AR59" i="7" s="1"/>
  <c r="AR63" i="1"/>
  <c r="AO60" i="7" s="1"/>
  <c r="AS63" i="1"/>
  <c r="AP60" i="7" s="1"/>
  <c r="AT63" i="1"/>
  <c r="AQ60" i="7" s="1"/>
  <c r="AU63" i="1"/>
  <c r="AR60" i="7" s="1"/>
  <c r="AR64" i="1"/>
  <c r="AO61" i="7" s="1"/>
  <c r="AS64" i="1"/>
  <c r="AP61" i="7" s="1"/>
  <c r="AT64" i="1"/>
  <c r="AQ61" i="7" s="1"/>
  <c r="AU64" i="1"/>
  <c r="AR61" i="7" s="1"/>
  <c r="AR101" i="1"/>
  <c r="AO97" i="7" s="1"/>
  <c r="AS101" i="1"/>
  <c r="AP97" i="7" s="1"/>
  <c r="AT101" i="1"/>
  <c r="AQ97" i="7" s="1"/>
  <c r="AU101" i="1"/>
  <c r="AR97" i="7" s="1"/>
  <c r="AR102" i="1"/>
  <c r="AO98" i="7" s="1"/>
  <c r="AS102" i="1"/>
  <c r="AP98" i="7" s="1"/>
  <c r="AT102" i="1"/>
  <c r="AQ98" i="7" s="1"/>
  <c r="AU102" i="1"/>
  <c r="AR98" i="7" s="1"/>
  <c r="AR65" i="1"/>
  <c r="AO62" i="7" s="1"/>
  <c r="AS65" i="1"/>
  <c r="AP62" i="7" s="1"/>
  <c r="AT65" i="1"/>
  <c r="AQ62" i="7" s="1"/>
  <c r="AU65" i="1"/>
  <c r="AR62" i="7" s="1"/>
  <c r="AR66" i="1"/>
  <c r="AO63" i="7" s="1"/>
  <c r="AS66" i="1"/>
  <c r="AP63" i="7" s="1"/>
  <c r="AT66" i="1"/>
  <c r="AQ63" i="7" s="1"/>
  <c r="AU66" i="1"/>
  <c r="AR63" i="7" s="1"/>
  <c r="AR106" i="1"/>
  <c r="AO102" i="7" s="1"/>
  <c r="AS106" i="1"/>
  <c r="AP102" i="7" s="1"/>
  <c r="AT106" i="1"/>
  <c r="AQ102" i="7" s="1"/>
  <c r="AU106" i="1"/>
  <c r="AR102" i="7" s="1"/>
  <c r="AR89" i="1"/>
  <c r="AO86" i="7" s="1"/>
  <c r="AS89" i="1"/>
  <c r="AP86" i="7" s="1"/>
  <c r="AT89" i="1"/>
  <c r="AQ86" i="7" s="1"/>
  <c r="AU89" i="1"/>
  <c r="AR86" i="7" s="1"/>
  <c r="AR90" i="1"/>
  <c r="AO87" i="7" s="1"/>
  <c r="AS90" i="1"/>
  <c r="AP87" i="7" s="1"/>
  <c r="AT90" i="1"/>
  <c r="AQ87" i="7" s="1"/>
  <c r="AU90" i="1"/>
  <c r="AR87" i="7" s="1"/>
  <c r="AR113" i="1"/>
  <c r="AO109" i="7" s="1"/>
  <c r="AS113" i="1"/>
  <c r="AP109" i="7" s="1"/>
  <c r="AT113" i="1"/>
  <c r="AQ109" i="7" s="1"/>
  <c r="AU113" i="1"/>
  <c r="AR109" i="7" s="1"/>
  <c r="AR91" i="1"/>
  <c r="AO88" i="7" s="1"/>
  <c r="AS91" i="1"/>
  <c r="AP88" i="7" s="1"/>
  <c r="AT91" i="1"/>
  <c r="AQ88" i="7" s="1"/>
  <c r="AU91" i="1"/>
  <c r="AR88" i="7" s="1"/>
  <c r="AR94" i="1"/>
  <c r="AO91" i="7" s="1"/>
  <c r="AS94" i="1"/>
  <c r="AP91" i="7" s="1"/>
  <c r="AT94" i="1"/>
  <c r="AQ91" i="7" s="1"/>
  <c r="AU94" i="1"/>
  <c r="AR91" i="7" s="1"/>
  <c r="AR93" i="1"/>
  <c r="AO90" i="7" s="1"/>
  <c r="AS93" i="1"/>
  <c r="AP90" i="7" s="1"/>
  <c r="AT93" i="1"/>
  <c r="AQ90" i="7" s="1"/>
  <c r="AU93" i="1"/>
  <c r="AR90" i="7" s="1"/>
  <c r="AR95" i="1"/>
  <c r="AO92" i="7" s="1"/>
  <c r="AS95" i="1"/>
  <c r="AP92" i="7" s="1"/>
  <c r="AT95" i="1"/>
  <c r="AQ92" i="7" s="1"/>
  <c r="AU95" i="1"/>
  <c r="AR92" i="7" s="1"/>
  <c r="AR96" i="1"/>
  <c r="AO93" i="7" s="1"/>
  <c r="AS96" i="1"/>
  <c r="AP93" i="7" s="1"/>
  <c r="AT96" i="1"/>
  <c r="AQ93" i="7" s="1"/>
  <c r="AU96" i="1"/>
  <c r="AR93" i="7" s="1"/>
  <c r="AR97" i="1"/>
  <c r="AO94" i="7" s="1"/>
  <c r="AS97" i="1"/>
  <c r="AP94" i="7" s="1"/>
  <c r="AT97" i="1"/>
  <c r="AQ94" i="7" s="1"/>
  <c r="AU97" i="1"/>
  <c r="AR94" i="7" s="1"/>
  <c r="AR98" i="1"/>
  <c r="AO95" i="7" s="1"/>
  <c r="AS98" i="1"/>
  <c r="AP95" i="7" s="1"/>
  <c r="AT98" i="1"/>
  <c r="AQ95" i="7" s="1"/>
  <c r="AU98" i="1"/>
  <c r="AR95" i="7" s="1"/>
  <c r="AR107" i="1"/>
  <c r="AO103" i="7" s="1"/>
  <c r="AS107" i="1"/>
  <c r="AP103" i="7" s="1"/>
  <c r="AT107" i="1"/>
  <c r="AQ103" i="7" s="1"/>
  <c r="AU107" i="1"/>
  <c r="AR103" i="7" s="1"/>
  <c r="AR105" i="1"/>
  <c r="AO101" i="7" s="1"/>
  <c r="AS105" i="1"/>
  <c r="AP101" i="7" s="1"/>
  <c r="AT105" i="1"/>
  <c r="AQ101" i="7" s="1"/>
  <c r="AU105" i="1"/>
  <c r="AR101" i="7" s="1"/>
  <c r="AR103" i="1"/>
  <c r="AO99" i="7" s="1"/>
  <c r="AS103" i="1"/>
  <c r="AP99" i="7" s="1"/>
  <c r="AT103" i="1"/>
  <c r="AQ99" i="7" s="1"/>
  <c r="AU103" i="1"/>
  <c r="AR99" i="7" s="1"/>
  <c r="AR115" i="1"/>
  <c r="AO111" i="7" s="1"/>
  <c r="AS115" i="1"/>
  <c r="AP111" i="7" s="1"/>
  <c r="AT115" i="1"/>
  <c r="AQ111" i="7" s="1"/>
  <c r="AU115" i="1"/>
  <c r="AR111" i="7" s="1"/>
  <c r="AR72" i="1"/>
  <c r="AO69" i="7" s="1"/>
  <c r="AS72" i="1"/>
  <c r="AP69" i="7" s="1"/>
  <c r="AT72" i="1"/>
  <c r="AQ69" i="7" s="1"/>
  <c r="AU72" i="1"/>
  <c r="AR69" i="7" s="1"/>
  <c r="AR73" i="1"/>
  <c r="AO70" i="7" s="1"/>
  <c r="AS73" i="1"/>
  <c r="AP70" i="7" s="1"/>
  <c r="AT73" i="1"/>
  <c r="AQ70" i="7" s="1"/>
  <c r="AU73" i="1"/>
  <c r="AR70" i="7" s="1"/>
  <c r="AR74" i="1"/>
  <c r="AO71" i="7" s="1"/>
  <c r="AS74" i="1"/>
  <c r="AP71" i="7" s="1"/>
  <c r="AT74" i="1"/>
  <c r="AQ71" i="7" s="1"/>
  <c r="AU74" i="1"/>
  <c r="AR71" i="7" s="1"/>
  <c r="AR75" i="1"/>
  <c r="AO72" i="7" s="1"/>
  <c r="AS75" i="1"/>
  <c r="AP72" i="7" s="1"/>
  <c r="AT75" i="1"/>
  <c r="AQ72" i="7" s="1"/>
  <c r="AU75" i="1"/>
  <c r="AR72" i="7" s="1"/>
  <c r="AR116" i="1"/>
  <c r="AO112" i="7" s="1"/>
  <c r="AS116" i="1"/>
  <c r="AP112" i="7" s="1"/>
  <c r="AT116" i="1"/>
  <c r="AQ112" i="7" s="1"/>
  <c r="AU116" i="1"/>
  <c r="AR112" i="7" s="1"/>
  <c r="AR117" i="1"/>
  <c r="AO113" i="7" s="1"/>
  <c r="AS117" i="1"/>
  <c r="AP113" i="7" s="1"/>
  <c r="AT117" i="1"/>
  <c r="AQ113" i="7" s="1"/>
  <c r="AU117" i="1"/>
  <c r="AR113" i="7" s="1"/>
  <c r="AR118" i="1"/>
  <c r="AO114" i="7" s="1"/>
  <c r="AS118" i="1"/>
  <c r="AP114" i="7" s="1"/>
  <c r="AT118" i="1"/>
  <c r="AQ114" i="7" s="1"/>
  <c r="AU118" i="1"/>
  <c r="AR114" i="7" s="1"/>
  <c r="AR145" i="1"/>
  <c r="AO141" i="7" s="1"/>
  <c r="AS145" i="1"/>
  <c r="AP141" i="7" s="1"/>
  <c r="AT145" i="1"/>
  <c r="AQ141" i="7" s="1"/>
  <c r="AU145" i="1"/>
  <c r="AR141" i="7" s="1"/>
  <c r="AR146" i="1"/>
  <c r="AO142" i="7" s="1"/>
  <c r="AS146" i="1"/>
  <c r="AP142" i="7" s="1"/>
  <c r="AT146" i="1"/>
  <c r="AQ142" i="7" s="1"/>
  <c r="AU146" i="1"/>
  <c r="AR142" i="7" s="1"/>
  <c r="AR136" i="1"/>
  <c r="AO132" i="7" s="1"/>
  <c r="AS136" i="1"/>
  <c r="AP132" i="7" s="1"/>
  <c r="AT136" i="1"/>
  <c r="AQ132" i="7" s="1"/>
  <c r="AU136" i="1"/>
  <c r="AR132" i="7" s="1"/>
  <c r="AR137" i="1"/>
  <c r="AO133" i="7" s="1"/>
  <c r="AS137" i="1"/>
  <c r="AP133" i="7" s="1"/>
  <c r="AT137" i="1"/>
  <c r="AQ133" i="7" s="1"/>
  <c r="AU137" i="1"/>
  <c r="AR133" i="7" s="1"/>
  <c r="AR138" i="1"/>
  <c r="AO134" i="7" s="1"/>
  <c r="AS138" i="1"/>
  <c r="AP134" i="7" s="1"/>
  <c r="AT138" i="1"/>
  <c r="AQ134" i="7" s="1"/>
  <c r="AU138" i="1"/>
  <c r="AR134" i="7" s="1"/>
  <c r="AR139" i="1"/>
  <c r="AO135" i="7" s="1"/>
  <c r="AS139" i="1"/>
  <c r="AP135" i="7" s="1"/>
  <c r="AT139" i="1"/>
  <c r="AQ135" i="7" s="1"/>
  <c r="AU139" i="1"/>
  <c r="AR135" i="7" s="1"/>
  <c r="AR140" i="1"/>
  <c r="AO136" i="7" s="1"/>
  <c r="AS140" i="1"/>
  <c r="AP136" i="7" s="1"/>
  <c r="AT140" i="1"/>
  <c r="AQ136" i="7" s="1"/>
  <c r="AU140" i="1"/>
  <c r="AR136" i="7" s="1"/>
  <c r="AR141" i="1"/>
  <c r="AO137" i="7" s="1"/>
  <c r="AS141" i="1"/>
  <c r="AP137" i="7" s="1"/>
  <c r="AT141" i="1"/>
  <c r="AQ137" i="7" s="1"/>
  <c r="AU141" i="1"/>
  <c r="AR137" i="7" s="1"/>
  <c r="AR142" i="1"/>
  <c r="AO138" i="7" s="1"/>
  <c r="AS142" i="1"/>
  <c r="AP138" i="7" s="1"/>
  <c r="AT142" i="1"/>
  <c r="AQ138" i="7" s="1"/>
  <c r="AU142" i="1"/>
  <c r="AR138" i="7" s="1"/>
  <c r="AR143" i="1"/>
  <c r="AO139" i="7" s="1"/>
  <c r="AS143" i="1"/>
  <c r="AP139" i="7" s="1"/>
  <c r="AT143" i="1"/>
  <c r="AQ139" i="7" s="1"/>
  <c r="AU143" i="1"/>
  <c r="AR139" i="7" s="1"/>
  <c r="AR148" i="1"/>
  <c r="AO144" i="7" s="1"/>
  <c r="AS148" i="1"/>
  <c r="AP144" i="7" s="1"/>
  <c r="AT148" i="1"/>
  <c r="AQ144" i="7" s="1"/>
  <c r="AU148" i="1"/>
  <c r="AR144" i="7" s="1"/>
  <c r="AR149" i="1"/>
  <c r="AO145" i="7" s="1"/>
  <c r="AS149" i="1"/>
  <c r="AP145" i="7" s="1"/>
  <c r="AT149" i="1"/>
  <c r="AQ145" i="7" s="1"/>
  <c r="AU149" i="1"/>
  <c r="AR145" i="7" s="1"/>
  <c r="AR150" i="1"/>
  <c r="AO146" i="7" s="1"/>
  <c r="AS150" i="1"/>
  <c r="AP146" i="7" s="1"/>
  <c r="AT150" i="1"/>
  <c r="AQ146" i="7" s="1"/>
  <c r="AU150" i="1"/>
  <c r="AR146" i="7" s="1"/>
  <c r="AR151" i="1"/>
  <c r="AO147" i="7" s="1"/>
  <c r="AS151" i="1"/>
  <c r="AP147" i="7" s="1"/>
  <c r="AT151" i="1"/>
  <c r="AQ147" i="7" s="1"/>
  <c r="AU151" i="1"/>
  <c r="AR147" i="7" s="1"/>
  <c r="AR152" i="1"/>
  <c r="AO148" i="7" s="1"/>
  <c r="AS152" i="1"/>
  <c r="AP148" i="7" s="1"/>
  <c r="AT152" i="1"/>
  <c r="AQ148" i="7" s="1"/>
  <c r="AU152" i="1"/>
  <c r="AR148" i="7" s="1"/>
  <c r="AR153" i="1"/>
  <c r="AO149" i="7" s="1"/>
  <c r="AS153" i="1"/>
  <c r="AP149" i="7" s="1"/>
  <c r="AT153" i="1"/>
  <c r="AQ149" i="7" s="1"/>
  <c r="AU153" i="1"/>
  <c r="AR149" i="7" s="1"/>
  <c r="AR144" i="1"/>
  <c r="AO140" i="7" s="1"/>
  <c r="AS144" i="1"/>
  <c r="AP140" i="7" s="1"/>
  <c r="AT144" i="1"/>
  <c r="AQ140" i="7" s="1"/>
  <c r="AU144" i="1"/>
  <c r="AR140" i="7" s="1"/>
  <c r="AR11" i="1"/>
  <c r="AO10" i="7" s="1"/>
  <c r="AS11" i="1"/>
  <c r="AP10" i="7" s="1"/>
  <c r="AT11" i="1"/>
  <c r="AQ10" i="7" s="1"/>
  <c r="AU11" i="1"/>
  <c r="AR10" i="7" s="1"/>
  <c r="AR12" i="1"/>
  <c r="AO11" i="7" s="1"/>
  <c r="AS12" i="1"/>
  <c r="AP11" i="7" s="1"/>
  <c r="AT12" i="1"/>
  <c r="AQ11" i="7" s="1"/>
  <c r="AU12" i="1"/>
  <c r="AR11" i="7" s="1"/>
  <c r="AR70" i="1"/>
  <c r="AO67" i="7" s="1"/>
  <c r="AS70" i="1"/>
  <c r="AP67" i="7" s="1"/>
  <c r="AT70" i="1"/>
  <c r="AQ67" i="7" s="1"/>
  <c r="AU70" i="1"/>
  <c r="AR67" i="7" s="1"/>
  <c r="AR99" i="1"/>
  <c r="AO96" i="7" s="1"/>
  <c r="AS99" i="1"/>
  <c r="AP96" i="7" s="1"/>
  <c r="AT99" i="1"/>
  <c r="AQ96" i="7" s="1"/>
  <c r="AU99" i="1"/>
  <c r="AR96" i="7" s="1"/>
  <c r="AR71" i="1"/>
  <c r="AO68" i="7" s="1"/>
  <c r="AS71" i="1"/>
  <c r="AP68" i="7" s="1"/>
  <c r="AT71" i="1"/>
  <c r="AQ68" i="7" s="1"/>
  <c r="AU71" i="1"/>
  <c r="AR68" i="7" s="1"/>
  <c r="AR18" i="1"/>
  <c r="AO17" i="7" s="1"/>
  <c r="AS18" i="1"/>
  <c r="AP17" i="7" s="1"/>
  <c r="AT18" i="1"/>
  <c r="AQ17" i="7" s="1"/>
  <c r="AU18" i="1"/>
  <c r="AR17" i="7" s="1"/>
  <c r="AR104" i="1"/>
  <c r="AO100" i="7" s="1"/>
  <c r="AS104" i="1"/>
  <c r="AP100" i="7" s="1"/>
  <c r="AT104" i="1"/>
  <c r="AQ100" i="7" s="1"/>
  <c r="AU104" i="1"/>
  <c r="AR100" i="7" s="1"/>
  <c r="AR119" i="1"/>
  <c r="AO115" i="7" s="1"/>
  <c r="AS119" i="1"/>
  <c r="AP115" i="7" s="1"/>
  <c r="AT119" i="1"/>
  <c r="AQ115" i="7" s="1"/>
  <c r="AU119" i="1"/>
  <c r="AR115" i="7" s="1"/>
  <c r="AR68" i="1"/>
  <c r="AO65" i="7" s="1"/>
  <c r="AS68" i="1"/>
  <c r="AP65" i="7" s="1"/>
  <c r="AT68" i="1"/>
  <c r="AQ65" i="7" s="1"/>
  <c r="AU68" i="1"/>
  <c r="AR65" i="7" s="1"/>
  <c r="AR114" i="1"/>
  <c r="AO110" i="7" s="1"/>
  <c r="AS114" i="1"/>
  <c r="AP110" i="7" s="1"/>
  <c r="AT114" i="1"/>
  <c r="AQ110" i="7" s="1"/>
  <c r="AU114" i="1"/>
  <c r="AR110" i="7" s="1"/>
  <c r="AR69" i="1"/>
  <c r="AO66" i="7" s="1"/>
  <c r="AS69" i="1"/>
  <c r="AP66" i="7" s="1"/>
  <c r="AT69" i="1"/>
  <c r="AQ66" i="7" s="1"/>
  <c r="AU69" i="1"/>
  <c r="AR66" i="7" s="1"/>
  <c r="AR10" i="1"/>
  <c r="AO9" i="7" s="1"/>
  <c r="AS10" i="1"/>
  <c r="AP9" i="7" s="1"/>
  <c r="AT10" i="1"/>
  <c r="AQ9" i="7" s="1"/>
  <c r="AU10" i="1"/>
  <c r="AR9" i="7" s="1"/>
  <c r="AR32" i="1"/>
  <c r="AO29" i="7" s="1"/>
  <c r="AS32" i="1"/>
  <c r="AP29" i="7" s="1"/>
  <c r="AT32" i="1"/>
  <c r="AQ29" i="7" s="1"/>
  <c r="AU32" i="1"/>
  <c r="AR29" i="7" s="1"/>
  <c r="AR33" i="1"/>
  <c r="AO30" i="7" s="1"/>
  <c r="AS33" i="1"/>
  <c r="AP30" i="7" s="1"/>
  <c r="AT33" i="1"/>
  <c r="AQ30" i="7" s="1"/>
  <c r="AU33" i="1"/>
  <c r="AR30" i="7" s="1"/>
  <c r="AR109" i="1"/>
  <c r="AO105" i="7" s="1"/>
  <c r="AS109" i="1"/>
  <c r="AP105" i="7" s="1"/>
  <c r="AT109" i="1"/>
  <c r="AQ105" i="7" s="1"/>
  <c r="AU109" i="1"/>
  <c r="AR105" i="7" s="1"/>
  <c r="AR110" i="1"/>
  <c r="AO106" i="7" s="1"/>
  <c r="AS110" i="1"/>
  <c r="AP106" i="7" s="1"/>
  <c r="AT110" i="1"/>
  <c r="AQ106" i="7" s="1"/>
  <c r="AU110" i="1"/>
  <c r="AR106" i="7" s="1"/>
  <c r="AR19" i="1"/>
  <c r="AO18" i="7" s="1"/>
  <c r="AS19" i="1"/>
  <c r="AP18" i="7" s="1"/>
  <c r="AT19" i="1"/>
  <c r="AQ18" i="7" s="1"/>
  <c r="AU19" i="1"/>
  <c r="AR18" i="7" s="1"/>
  <c r="AR76" i="1"/>
  <c r="AO73" i="7" s="1"/>
  <c r="AS76" i="1"/>
  <c r="AP73" i="7" s="1"/>
  <c r="AT76" i="1"/>
  <c r="AQ73" i="7" s="1"/>
  <c r="AU76" i="1"/>
  <c r="AR73" i="7" s="1"/>
  <c r="AR77" i="1"/>
  <c r="AO74" i="7" s="1"/>
  <c r="AS77" i="1"/>
  <c r="AP74" i="7" s="1"/>
  <c r="AT77" i="1"/>
  <c r="AQ74" i="7" s="1"/>
  <c r="AU77" i="1"/>
  <c r="AR74" i="7" s="1"/>
  <c r="AR78" i="1"/>
  <c r="AO75" i="7" s="1"/>
  <c r="AS78" i="1"/>
  <c r="AP75" i="7" s="1"/>
  <c r="AT78" i="1"/>
  <c r="AQ75" i="7" s="1"/>
  <c r="AU78" i="1"/>
  <c r="AR75" i="7" s="1"/>
  <c r="AR53" i="1"/>
  <c r="AO50" i="7" s="1"/>
  <c r="AS53" i="1"/>
  <c r="AP50" i="7" s="1"/>
  <c r="AT53" i="1"/>
  <c r="AQ50" i="7" s="1"/>
  <c r="AU53" i="1"/>
  <c r="AR50" i="7" s="1"/>
  <c r="AR79" i="1"/>
  <c r="AO76" i="7" s="1"/>
  <c r="AS79" i="1"/>
  <c r="AP76" i="7" s="1"/>
  <c r="AT79" i="1"/>
  <c r="AQ76" i="7" s="1"/>
  <c r="AU79" i="1"/>
  <c r="AR76" i="7" s="1"/>
  <c r="AR80" i="1"/>
  <c r="AO77" i="7" s="1"/>
  <c r="AS80" i="1"/>
  <c r="AP77" i="7" s="1"/>
  <c r="AT80" i="1"/>
  <c r="AQ77" i="7" s="1"/>
  <c r="AU80" i="1"/>
  <c r="AR77" i="7" s="1"/>
  <c r="AR81" i="1"/>
  <c r="AO78" i="7" s="1"/>
  <c r="AS81" i="1"/>
  <c r="AP78" i="7" s="1"/>
  <c r="AT81" i="1"/>
  <c r="AQ78" i="7" s="1"/>
  <c r="AU81" i="1"/>
  <c r="AR78" i="7" s="1"/>
  <c r="AR120" i="1"/>
  <c r="AO116" i="7" s="1"/>
  <c r="AS120" i="1"/>
  <c r="AP116" i="7" s="1"/>
  <c r="AT120" i="1"/>
  <c r="AQ116" i="7" s="1"/>
  <c r="AU120" i="1"/>
  <c r="AR116" i="7" s="1"/>
  <c r="AR121" i="1"/>
  <c r="AO117" i="7" s="1"/>
  <c r="AS121" i="1"/>
  <c r="AP117" i="7" s="1"/>
  <c r="AT121" i="1"/>
  <c r="AQ117" i="7" s="1"/>
  <c r="AU121" i="1"/>
  <c r="AR117" i="7" s="1"/>
  <c r="AR111" i="1"/>
  <c r="AO107" i="7" s="1"/>
  <c r="AS111" i="1"/>
  <c r="AP107" i="7" s="1"/>
  <c r="AT111" i="1"/>
  <c r="AQ107" i="7" s="1"/>
  <c r="AU111" i="1"/>
  <c r="AR107" i="7" s="1"/>
  <c r="AR82" i="1"/>
  <c r="AO79" i="7" s="1"/>
  <c r="AS82" i="1"/>
  <c r="AP79" i="7" s="1"/>
  <c r="AT82" i="1"/>
  <c r="AQ79" i="7" s="1"/>
  <c r="AU82" i="1"/>
  <c r="AR79" i="7" s="1"/>
  <c r="AR21" i="1"/>
  <c r="AO20" i="7" s="1"/>
  <c r="AS21" i="1"/>
  <c r="AP20" i="7" s="1"/>
  <c r="AT21" i="1"/>
  <c r="AQ20" i="7" s="1"/>
  <c r="AU21" i="1"/>
  <c r="AR20" i="7" s="1"/>
  <c r="AR112" i="1"/>
  <c r="AO108" i="7" s="1"/>
  <c r="AS112" i="1"/>
  <c r="AP108" i="7" s="1"/>
  <c r="AT112" i="1"/>
  <c r="AQ108" i="7" s="1"/>
  <c r="AU112" i="1"/>
  <c r="AR108" i="7" s="1"/>
  <c r="AR122" i="1"/>
  <c r="AO118" i="7" s="1"/>
  <c r="AS122" i="1"/>
  <c r="AP118" i="7" s="1"/>
  <c r="AT122" i="1"/>
  <c r="AQ118" i="7" s="1"/>
  <c r="AU122" i="1"/>
  <c r="AR118" i="7" s="1"/>
  <c r="AR123" i="1"/>
  <c r="AO119" i="7" s="1"/>
  <c r="AS123" i="1"/>
  <c r="AP119" i="7" s="1"/>
  <c r="AT123" i="1"/>
  <c r="AQ119" i="7" s="1"/>
  <c r="AU123" i="1"/>
  <c r="AR119" i="7" s="1"/>
  <c r="AR124" i="1"/>
  <c r="AO120" i="7" s="1"/>
  <c r="AS124" i="1"/>
  <c r="AP120" i="7" s="1"/>
  <c r="AT124" i="1"/>
  <c r="AQ120" i="7" s="1"/>
  <c r="AU124" i="1"/>
  <c r="AR120" i="7" s="1"/>
  <c r="AR125" i="1"/>
  <c r="AO121" i="7" s="1"/>
  <c r="AS125" i="1"/>
  <c r="AP121" i="7" s="1"/>
  <c r="AT125" i="1"/>
  <c r="AQ121" i="7" s="1"/>
  <c r="AU125" i="1"/>
  <c r="AR121" i="7" s="1"/>
  <c r="AR20" i="1"/>
  <c r="AO19" i="7" s="1"/>
  <c r="AS20" i="1"/>
  <c r="AP19" i="7" s="1"/>
  <c r="AT20" i="1"/>
  <c r="AQ19" i="7" s="1"/>
  <c r="AU20" i="1"/>
  <c r="AR19" i="7" s="1"/>
  <c r="AR83" i="1"/>
  <c r="AO80" i="7" s="1"/>
  <c r="AS83" i="1"/>
  <c r="AP80" i="7" s="1"/>
  <c r="AT83" i="1"/>
  <c r="AQ80" i="7" s="1"/>
  <c r="AU83" i="1"/>
  <c r="AR80" i="7" s="1"/>
  <c r="AR84" i="1"/>
  <c r="AO81" i="7" s="1"/>
  <c r="AS84" i="1"/>
  <c r="AP81" i="7" s="1"/>
  <c r="AT84" i="1"/>
  <c r="AQ81" i="7" s="1"/>
  <c r="AU84" i="1"/>
  <c r="AR81" i="7" s="1"/>
  <c r="AR85" i="1"/>
  <c r="AO82" i="7" s="1"/>
  <c r="AS85" i="1"/>
  <c r="AP82" i="7" s="1"/>
  <c r="AT85" i="1"/>
  <c r="AQ82" i="7" s="1"/>
  <c r="AU85" i="1"/>
  <c r="AR82" i="7" s="1"/>
  <c r="AR86" i="1"/>
  <c r="AO83" i="7" s="1"/>
  <c r="AS86" i="1"/>
  <c r="AP83" i="7" s="1"/>
  <c r="AT86" i="1"/>
  <c r="AQ83" i="7" s="1"/>
  <c r="AU86" i="1"/>
  <c r="AR83" i="7" s="1"/>
  <c r="AR126" i="1"/>
  <c r="AO122" i="7" s="1"/>
  <c r="AS126" i="1"/>
  <c r="AP122" i="7" s="1"/>
  <c r="AT126" i="1"/>
  <c r="AQ122" i="7" s="1"/>
  <c r="AU126" i="1"/>
  <c r="AR122" i="7" s="1"/>
  <c r="AR127" i="1"/>
  <c r="AO123" i="7" s="1"/>
  <c r="AS127" i="1"/>
  <c r="AP123" i="7" s="1"/>
  <c r="AT127" i="1"/>
  <c r="AQ123" i="7" s="1"/>
  <c r="AU127" i="1"/>
  <c r="AR123" i="7" s="1"/>
  <c r="AR128" i="1"/>
  <c r="AO124" i="7" s="1"/>
  <c r="AS128" i="1"/>
  <c r="AP124" i="7" s="1"/>
  <c r="AT128" i="1"/>
  <c r="AQ124" i="7" s="1"/>
  <c r="AU128" i="1"/>
  <c r="AR124" i="7" s="1"/>
  <c r="AR129" i="1"/>
  <c r="AO125" i="7" s="1"/>
  <c r="AS129" i="1"/>
  <c r="AP125" i="7" s="1"/>
  <c r="AT129" i="1"/>
  <c r="AQ125" i="7" s="1"/>
  <c r="AU129" i="1"/>
  <c r="AR125" i="7" s="1"/>
  <c r="AR130" i="1"/>
  <c r="AO126" i="7" s="1"/>
  <c r="AS130" i="1"/>
  <c r="AP126" i="7" s="1"/>
  <c r="AT130" i="1"/>
  <c r="AQ126" i="7" s="1"/>
  <c r="AU130" i="1"/>
  <c r="AR126" i="7" s="1"/>
  <c r="AR131" i="1"/>
  <c r="AO127" i="7" s="1"/>
  <c r="AS131" i="1"/>
  <c r="AP127" i="7" s="1"/>
  <c r="AT131" i="1"/>
  <c r="AQ127" i="7" s="1"/>
  <c r="AU131" i="1"/>
  <c r="AR127" i="7" s="1"/>
  <c r="AR132" i="1"/>
  <c r="AO128" i="7" s="1"/>
  <c r="AS132" i="1"/>
  <c r="AP128" i="7" s="1"/>
  <c r="AT132" i="1"/>
  <c r="AQ128" i="7" s="1"/>
  <c r="AU132" i="1"/>
  <c r="AR128" i="7" s="1"/>
  <c r="AR133" i="1"/>
  <c r="AO129" i="7" s="1"/>
  <c r="AS133" i="1"/>
  <c r="AP129" i="7" s="1"/>
  <c r="AT133" i="1"/>
  <c r="AQ129" i="7" s="1"/>
  <c r="AU133" i="1"/>
  <c r="AR129" i="7" s="1"/>
  <c r="AR134" i="1"/>
  <c r="AO130" i="7" s="1"/>
  <c r="AS134" i="1"/>
  <c r="AP130" i="7" s="1"/>
  <c r="AT134" i="1"/>
  <c r="AQ130" i="7" s="1"/>
  <c r="AU134" i="1"/>
  <c r="AR130" i="7" s="1"/>
  <c r="AR35" i="1"/>
  <c r="AO32" i="7" s="1"/>
  <c r="AS35" i="1"/>
  <c r="AP32" i="7" s="1"/>
  <c r="AT35" i="1"/>
  <c r="AQ32" i="7" s="1"/>
  <c r="AU35" i="1"/>
  <c r="AR32" i="7" s="1"/>
  <c r="AR87" i="1"/>
  <c r="AO84" i="7" s="1"/>
  <c r="AS87" i="1"/>
  <c r="AP84" i="7" s="1"/>
  <c r="AT87" i="1"/>
  <c r="AQ84" i="7" s="1"/>
  <c r="AU87" i="1"/>
  <c r="AR84" i="7" s="1"/>
  <c r="AR135" i="1"/>
  <c r="AO131" i="7" s="1"/>
  <c r="AS135" i="1"/>
  <c r="AP131" i="7" s="1"/>
  <c r="AT135" i="1"/>
  <c r="AQ131" i="7" s="1"/>
  <c r="AU135" i="1"/>
  <c r="AR131" i="7" s="1"/>
  <c r="AR88" i="1"/>
  <c r="AO85" i="7" s="1"/>
  <c r="AS88" i="1"/>
  <c r="AP85" i="7" s="1"/>
  <c r="AT88" i="1"/>
  <c r="AQ85" i="7" s="1"/>
  <c r="AU88" i="1"/>
  <c r="AR85" i="7" s="1"/>
  <c r="AR154" i="1"/>
  <c r="AO150" i="7" s="1"/>
  <c r="AS154" i="1"/>
  <c r="AP150" i="7" s="1"/>
  <c r="AT154" i="1"/>
  <c r="AQ150" i="7" s="1"/>
  <c r="AU154" i="1"/>
  <c r="AR150" i="7" s="1"/>
  <c r="AR155" i="1"/>
  <c r="AS155" i="1"/>
  <c r="AT155" i="1"/>
  <c r="AU155" i="1"/>
  <c r="AR156" i="1"/>
  <c r="AS156" i="1"/>
  <c r="AT156" i="1"/>
  <c r="AU156" i="1"/>
  <c r="AR157" i="1"/>
  <c r="AS157" i="1"/>
  <c r="AT157" i="1"/>
  <c r="AU157" i="1"/>
  <c r="AR158" i="1"/>
  <c r="AS158" i="1"/>
  <c r="AT158" i="1"/>
  <c r="AU158" i="1"/>
  <c r="AR159" i="1"/>
  <c r="AS159" i="1"/>
  <c r="AT159" i="1"/>
  <c r="AU159" i="1"/>
  <c r="AR160" i="1"/>
  <c r="AS160" i="1"/>
  <c r="AT160" i="1"/>
  <c r="AU160" i="1"/>
  <c r="AR161" i="1"/>
  <c r="AS161" i="1"/>
  <c r="AT161" i="1"/>
  <c r="AU161" i="1"/>
  <c r="AR162" i="1"/>
  <c r="AS162" i="1"/>
  <c r="AT162" i="1"/>
  <c r="AU162" i="1"/>
  <c r="AR163" i="1"/>
  <c r="AS163" i="1"/>
  <c r="AT163" i="1"/>
  <c r="AU163" i="1"/>
  <c r="AR164" i="1"/>
  <c r="AS164" i="1"/>
  <c r="AT164" i="1"/>
  <c r="AU164" i="1"/>
  <c r="AR165" i="1"/>
  <c r="AS165" i="1"/>
  <c r="AT165" i="1"/>
  <c r="AU165" i="1"/>
  <c r="AR166" i="1"/>
  <c r="AS166" i="1"/>
  <c r="AT166" i="1"/>
  <c r="AU166" i="1"/>
  <c r="AR167" i="1"/>
  <c r="AS167" i="1"/>
  <c r="AT167" i="1"/>
  <c r="AU167" i="1"/>
  <c r="AR168" i="1"/>
  <c r="AS168" i="1"/>
  <c r="AT168" i="1"/>
  <c r="AU168" i="1"/>
  <c r="AR169" i="1"/>
  <c r="AS169" i="1"/>
  <c r="AT169" i="1"/>
  <c r="AU169" i="1"/>
  <c r="AR170" i="1"/>
  <c r="AS170" i="1"/>
  <c r="AT170" i="1"/>
  <c r="AU170" i="1"/>
  <c r="AR171" i="1"/>
  <c r="AS171" i="1"/>
  <c r="AT171" i="1"/>
  <c r="AU171" i="1"/>
  <c r="AR172" i="1"/>
  <c r="AS172" i="1"/>
  <c r="AT172" i="1"/>
  <c r="AU172" i="1"/>
  <c r="AR173" i="1"/>
  <c r="AS173" i="1"/>
  <c r="AT173" i="1"/>
  <c r="AU173" i="1"/>
  <c r="AR174" i="1"/>
  <c r="AS174" i="1"/>
  <c r="AT174" i="1"/>
  <c r="AU174" i="1"/>
  <c r="AR175" i="1"/>
  <c r="AS175" i="1"/>
  <c r="AT175" i="1"/>
  <c r="AU175" i="1"/>
  <c r="AR176" i="1"/>
  <c r="AS176" i="1"/>
  <c r="AT176" i="1"/>
  <c r="AU176" i="1"/>
  <c r="AR177" i="1"/>
  <c r="AS177" i="1"/>
  <c r="AT177" i="1"/>
  <c r="AU177" i="1"/>
  <c r="AR178" i="1"/>
  <c r="AS178" i="1"/>
  <c r="AT178" i="1"/>
  <c r="AU178" i="1"/>
  <c r="AR179" i="1"/>
  <c r="AS179" i="1"/>
  <c r="AT179" i="1"/>
  <c r="AU179" i="1"/>
  <c r="AR180" i="1"/>
  <c r="AS180" i="1"/>
  <c r="AT180" i="1"/>
  <c r="AU180" i="1"/>
  <c r="AR181" i="1"/>
  <c r="AS181" i="1"/>
  <c r="AT181" i="1"/>
  <c r="AU181" i="1"/>
  <c r="AR182" i="1"/>
  <c r="AS182" i="1"/>
  <c r="AT182" i="1"/>
  <c r="AU182" i="1"/>
  <c r="AR183" i="1"/>
  <c r="AS183" i="1"/>
  <c r="AT183" i="1"/>
  <c r="AU183" i="1"/>
  <c r="AR184" i="1"/>
  <c r="AS184" i="1"/>
  <c r="AT184" i="1"/>
  <c r="AU184" i="1"/>
  <c r="AR185" i="1"/>
  <c r="AS185" i="1"/>
  <c r="AT185" i="1"/>
  <c r="AU185" i="1"/>
  <c r="AR186" i="1"/>
  <c r="AS186" i="1"/>
  <c r="AT186" i="1"/>
  <c r="AU186" i="1"/>
  <c r="AR187" i="1"/>
  <c r="AS187" i="1"/>
  <c r="AT187" i="1"/>
  <c r="AU187" i="1"/>
  <c r="AR188" i="1"/>
  <c r="AS188" i="1"/>
  <c r="AT188" i="1"/>
  <c r="AU188" i="1"/>
  <c r="AR189" i="1"/>
  <c r="AS189" i="1"/>
  <c r="AT189" i="1"/>
  <c r="AU189" i="1"/>
  <c r="AR190" i="1"/>
  <c r="AS190" i="1"/>
  <c r="AT190" i="1"/>
  <c r="AU190" i="1"/>
  <c r="AR191" i="1"/>
  <c r="AS191" i="1"/>
  <c r="AT191" i="1"/>
  <c r="AU191" i="1"/>
  <c r="AR192" i="1"/>
  <c r="AS192" i="1"/>
  <c r="AT192" i="1"/>
  <c r="AU192" i="1"/>
  <c r="AR193" i="1"/>
  <c r="AS193" i="1"/>
  <c r="AT193" i="1"/>
  <c r="AU193" i="1"/>
  <c r="AR194" i="1"/>
  <c r="AS194" i="1"/>
  <c r="AT194" i="1"/>
  <c r="AU194" i="1"/>
  <c r="AR195" i="1"/>
  <c r="AS195" i="1"/>
  <c r="AT195" i="1"/>
  <c r="B195" i="1" s="1"/>
  <c r="AU195" i="1"/>
  <c r="AR196" i="1"/>
  <c r="AS196" i="1"/>
  <c r="AT196" i="1"/>
  <c r="AU196" i="1"/>
  <c r="AR197" i="1"/>
  <c r="AS197" i="1"/>
  <c r="AT197" i="1"/>
  <c r="AU197" i="1"/>
  <c r="AR198" i="1"/>
  <c r="AS198" i="1"/>
  <c r="AT198" i="1"/>
  <c r="AU198" i="1"/>
  <c r="AR199" i="1"/>
  <c r="AS199" i="1"/>
  <c r="AT199" i="1"/>
  <c r="AU199" i="1"/>
  <c r="AR200" i="1"/>
  <c r="AS200" i="1"/>
  <c r="AT200" i="1"/>
  <c r="AU200" i="1"/>
  <c r="AR201" i="1"/>
  <c r="AS201" i="1"/>
  <c r="AT201" i="1"/>
  <c r="AU201" i="1"/>
  <c r="AR202" i="1"/>
  <c r="AS202" i="1"/>
  <c r="AT202" i="1"/>
  <c r="AU202" i="1"/>
  <c r="AR203" i="1"/>
  <c r="AS203" i="1"/>
  <c r="AT203" i="1"/>
  <c r="AU203" i="1"/>
  <c r="AR204" i="1"/>
  <c r="AS204" i="1"/>
  <c r="AT204" i="1"/>
  <c r="AU204" i="1"/>
  <c r="AR205" i="1"/>
  <c r="AS205" i="1"/>
  <c r="AT205" i="1"/>
  <c r="AU205" i="1"/>
  <c r="AR206" i="1"/>
  <c r="AS206" i="1"/>
  <c r="AT206" i="1"/>
  <c r="AU206" i="1"/>
  <c r="AR207" i="1"/>
  <c r="AS207" i="1"/>
  <c r="AT207" i="1"/>
  <c r="AU207" i="1"/>
  <c r="AR208" i="1"/>
  <c r="AS208" i="1"/>
  <c r="AT208" i="1"/>
  <c r="AU208" i="1"/>
  <c r="AR209" i="1"/>
  <c r="AS209" i="1"/>
  <c r="AT209" i="1"/>
  <c r="AU209" i="1"/>
  <c r="AR210" i="1"/>
  <c r="AS210" i="1"/>
  <c r="AT210" i="1"/>
  <c r="AU210" i="1"/>
  <c r="AR211" i="1"/>
  <c r="AS211" i="1"/>
  <c r="AT211" i="1"/>
  <c r="B211" i="1" s="1"/>
  <c r="AU211" i="1"/>
  <c r="AR212" i="1"/>
  <c r="AS212" i="1"/>
  <c r="AT212" i="1"/>
  <c r="B212" i="1" s="1"/>
  <c r="AU212" i="1"/>
  <c r="AR213" i="1"/>
  <c r="AS213" i="1"/>
  <c r="AT213" i="1"/>
  <c r="B213" i="1" s="1"/>
  <c r="AU213" i="1"/>
  <c r="AR214" i="1"/>
  <c r="AS214" i="1"/>
  <c r="AT214" i="1"/>
  <c r="AU214" i="1"/>
  <c r="AR215" i="1"/>
  <c r="AS215" i="1"/>
  <c r="AT215" i="1"/>
  <c r="B215" i="1" s="1"/>
  <c r="AU215" i="1"/>
  <c r="AR216" i="1"/>
  <c r="AS216" i="1"/>
  <c r="AT216" i="1"/>
  <c r="AU216" i="1"/>
  <c r="AR217" i="1"/>
  <c r="AS217" i="1"/>
  <c r="AT217" i="1"/>
  <c r="AU217" i="1"/>
  <c r="AR218" i="1"/>
  <c r="AS218" i="1"/>
  <c r="AT218" i="1"/>
  <c r="AU218" i="1"/>
  <c r="AR219" i="1"/>
  <c r="AS219" i="1"/>
  <c r="AT219" i="1"/>
  <c r="AU219" i="1"/>
  <c r="AR220" i="1"/>
  <c r="AS220" i="1"/>
  <c r="F220" i="1" s="1"/>
  <c r="AT220" i="1"/>
  <c r="AU220" i="1"/>
  <c r="AR221" i="1"/>
  <c r="AS221" i="1"/>
  <c r="AT221" i="1"/>
  <c r="AU221" i="1"/>
  <c r="AR222" i="1"/>
  <c r="AS222" i="1"/>
  <c r="F222" i="1" s="1"/>
  <c r="AT222" i="1"/>
  <c r="AU222" i="1"/>
  <c r="AR223" i="1"/>
  <c r="AS223" i="1"/>
  <c r="AT223" i="1"/>
  <c r="AU223" i="1"/>
  <c r="AR224" i="1"/>
  <c r="AS224" i="1"/>
  <c r="F224" i="1" s="1"/>
  <c r="AT224" i="1"/>
  <c r="AU224" i="1"/>
  <c r="AR225" i="1"/>
  <c r="AS225" i="1"/>
  <c r="F225" i="1" s="1"/>
  <c r="AT225" i="1"/>
  <c r="AU225" i="1"/>
  <c r="AR226" i="1"/>
  <c r="AS226" i="1"/>
  <c r="F226" i="1" s="1"/>
  <c r="AT226" i="1"/>
  <c r="AU226" i="1"/>
  <c r="AR227" i="1"/>
  <c r="AS227" i="1"/>
  <c r="F227" i="1" s="1"/>
  <c r="AT227" i="1"/>
  <c r="AU227" i="1"/>
  <c r="AR228" i="1"/>
  <c r="AS228" i="1"/>
  <c r="F228" i="1" s="1"/>
  <c r="AT228" i="1"/>
  <c r="AU228" i="1"/>
  <c r="AR229" i="1"/>
  <c r="AS229" i="1"/>
  <c r="F229" i="1" s="1"/>
  <c r="AT229" i="1"/>
  <c r="AU229" i="1"/>
  <c r="AR230" i="1"/>
  <c r="AS230" i="1"/>
  <c r="F230" i="1" s="1"/>
  <c r="AT230" i="1"/>
  <c r="AU230" i="1"/>
  <c r="AR231" i="1"/>
  <c r="AS231" i="1"/>
  <c r="F231" i="1" s="1"/>
  <c r="AT231" i="1"/>
  <c r="AU231" i="1"/>
  <c r="AR232" i="1"/>
  <c r="AS232" i="1"/>
  <c r="F232" i="1" s="1"/>
  <c r="AT232" i="1"/>
  <c r="AU232" i="1"/>
  <c r="AR233" i="1"/>
  <c r="AS233" i="1"/>
  <c r="F233" i="1" s="1"/>
  <c r="AT233" i="1"/>
  <c r="AU233" i="1"/>
  <c r="AR234" i="1"/>
  <c r="AS234" i="1"/>
  <c r="F234" i="1" s="1"/>
  <c r="AT234" i="1"/>
  <c r="AU234" i="1"/>
  <c r="AR235" i="1"/>
  <c r="AS235" i="1"/>
  <c r="F235" i="1" s="1"/>
  <c r="AT235" i="1"/>
  <c r="AU235" i="1"/>
  <c r="AR236" i="1"/>
  <c r="AS236" i="1"/>
  <c r="F236" i="1" s="1"/>
  <c r="AT236" i="1"/>
  <c r="AU236" i="1"/>
  <c r="AR237" i="1"/>
  <c r="AS237" i="1"/>
  <c r="F237" i="1" s="1"/>
  <c r="AT237" i="1"/>
  <c r="AU237" i="1"/>
  <c r="AR238" i="1"/>
  <c r="AS238" i="1"/>
  <c r="F238" i="1" s="1"/>
  <c r="AT238" i="1"/>
  <c r="AU238" i="1"/>
  <c r="AR239" i="1"/>
  <c r="AS239" i="1"/>
  <c r="F239" i="1" s="1"/>
  <c r="AT239" i="1"/>
  <c r="AU239" i="1"/>
  <c r="AR240" i="1"/>
  <c r="AS240" i="1"/>
  <c r="F240" i="1" s="1"/>
  <c r="AT240" i="1"/>
  <c r="AU240" i="1"/>
  <c r="AR241" i="1"/>
  <c r="AS241" i="1"/>
  <c r="F241" i="1" s="1"/>
  <c r="AT241" i="1"/>
  <c r="AU241" i="1"/>
  <c r="AR242" i="1"/>
  <c r="AS242" i="1"/>
  <c r="F242" i="1" s="1"/>
  <c r="AT242" i="1"/>
  <c r="AU242" i="1"/>
  <c r="AR243" i="1"/>
  <c r="AS243" i="1"/>
  <c r="F243" i="1" s="1"/>
  <c r="AT243" i="1"/>
  <c r="AU243" i="1"/>
  <c r="AR244" i="1"/>
  <c r="AS244" i="1"/>
  <c r="F244" i="1" s="1"/>
  <c r="AT244" i="1"/>
  <c r="AU244" i="1"/>
  <c r="AR245" i="1"/>
  <c r="AS245" i="1"/>
  <c r="F245" i="1" s="1"/>
  <c r="AT245" i="1"/>
  <c r="AU245" i="1"/>
  <c r="AR246" i="1"/>
  <c r="AS246" i="1"/>
  <c r="F246" i="1" s="1"/>
  <c r="AT246" i="1"/>
  <c r="AU246" i="1"/>
  <c r="AR247" i="1"/>
  <c r="AS247" i="1"/>
  <c r="F247" i="1" s="1"/>
  <c r="AT247" i="1"/>
  <c r="AU247" i="1"/>
  <c r="AR248" i="1"/>
  <c r="AS248" i="1"/>
  <c r="F248" i="1" s="1"/>
  <c r="AT248" i="1"/>
  <c r="AU248" i="1"/>
  <c r="AR249" i="1"/>
  <c r="AS249" i="1"/>
  <c r="F249" i="1" s="1"/>
  <c r="AT249" i="1"/>
  <c r="AU249" i="1"/>
  <c r="AR250" i="1"/>
  <c r="AS250" i="1"/>
  <c r="F250" i="1" s="1"/>
  <c r="AT250" i="1"/>
  <c r="AU250" i="1"/>
  <c r="AR251" i="1"/>
  <c r="AS251" i="1"/>
  <c r="F251" i="1" s="1"/>
  <c r="AT251" i="1"/>
  <c r="AU251" i="1"/>
  <c r="AR252" i="1"/>
  <c r="AS252" i="1"/>
  <c r="F252" i="1" s="1"/>
  <c r="AT252" i="1"/>
  <c r="AU252" i="1"/>
  <c r="AR253" i="1"/>
  <c r="AS253" i="1"/>
  <c r="F253" i="1" s="1"/>
  <c r="AT253" i="1"/>
  <c r="AU253" i="1"/>
  <c r="AR254" i="1"/>
  <c r="AS254" i="1"/>
  <c r="F254" i="1" s="1"/>
  <c r="AT254" i="1"/>
  <c r="AU254" i="1"/>
  <c r="AR255" i="1"/>
  <c r="AS255" i="1"/>
  <c r="F255" i="1" s="1"/>
  <c r="AT255" i="1"/>
  <c r="AU255" i="1"/>
  <c r="AR256" i="1"/>
  <c r="AS256" i="1"/>
  <c r="F256" i="1" s="1"/>
  <c r="AT256" i="1"/>
  <c r="AU256" i="1"/>
  <c r="AR257" i="1"/>
  <c r="AS257" i="1"/>
  <c r="F257" i="1" s="1"/>
  <c r="AT257" i="1"/>
  <c r="AU257" i="1"/>
  <c r="AR258" i="1"/>
  <c r="AS258" i="1"/>
  <c r="F258" i="1" s="1"/>
  <c r="AT258" i="1"/>
  <c r="AU258" i="1"/>
  <c r="AR259" i="1"/>
  <c r="AS259" i="1"/>
  <c r="F259" i="1" s="1"/>
  <c r="AT259" i="1"/>
  <c r="AU259" i="1"/>
  <c r="AR260" i="1"/>
  <c r="AS260" i="1"/>
  <c r="F260" i="1" s="1"/>
  <c r="AT260" i="1"/>
  <c r="AU260" i="1"/>
  <c r="AR261" i="1"/>
  <c r="AS261" i="1"/>
  <c r="F261" i="1" s="1"/>
  <c r="AT261" i="1"/>
  <c r="AU261" i="1"/>
  <c r="AR262" i="1"/>
  <c r="AS262" i="1"/>
  <c r="F262" i="1" s="1"/>
  <c r="AT262" i="1"/>
  <c r="AU262" i="1"/>
  <c r="AR263" i="1"/>
  <c r="AS263" i="1"/>
  <c r="F263" i="1" s="1"/>
  <c r="AT263" i="1"/>
  <c r="AU263" i="1"/>
  <c r="AR264" i="1"/>
  <c r="AS264" i="1"/>
  <c r="F264" i="1" s="1"/>
  <c r="AT264" i="1"/>
  <c r="AU264" i="1"/>
  <c r="AR265" i="1"/>
  <c r="AS265" i="1"/>
  <c r="F265" i="1" s="1"/>
  <c r="AT265" i="1"/>
  <c r="AU265" i="1"/>
  <c r="AR266" i="1"/>
  <c r="AS266" i="1"/>
  <c r="F266" i="1" s="1"/>
  <c r="AT266" i="1"/>
  <c r="AU266" i="1"/>
  <c r="AR267" i="1"/>
  <c r="AS267" i="1"/>
  <c r="F267" i="1" s="1"/>
  <c r="AT267" i="1"/>
  <c r="AU267" i="1"/>
  <c r="AR268" i="1"/>
  <c r="AS268" i="1"/>
  <c r="F268" i="1" s="1"/>
  <c r="AT268" i="1"/>
  <c r="AU268" i="1"/>
  <c r="AR269" i="1"/>
  <c r="AS269" i="1"/>
  <c r="F269" i="1" s="1"/>
  <c r="AT269" i="1"/>
  <c r="AU269" i="1"/>
  <c r="AR270" i="1"/>
  <c r="AS270" i="1"/>
  <c r="F270" i="1" s="1"/>
  <c r="AT270" i="1"/>
  <c r="AU270" i="1"/>
  <c r="AR271" i="1"/>
  <c r="AS271" i="1"/>
  <c r="F271" i="1" s="1"/>
  <c r="AT271" i="1"/>
  <c r="AU271" i="1"/>
  <c r="AR272" i="1"/>
  <c r="AS272" i="1"/>
  <c r="F272" i="1" s="1"/>
  <c r="AT272" i="1"/>
  <c r="AU272" i="1"/>
  <c r="AR273" i="1"/>
  <c r="AS273" i="1"/>
  <c r="F273" i="1" s="1"/>
  <c r="AT273" i="1"/>
  <c r="AU273" i="1"/>
  <c r="AR274" i="1"/>
  <c r="AS274" i="1"/>
  <c r="F274" i="1" s="1"/>
  <c r="AT274" i="1"/>
  <c r="AU274" i="1"/>
  <c r="AR275" i="1"/>
  <c r="AS275" i="1"/>
  <c r="F275" i="1" s="1"/>
  <c r="AT275" i="1"/>
  <c r="AU275" i="1"/>
  <c r="AR276" i="1"/>
  <c r="AS276" i="1"/>
  <c r="F276" i="1" s="1"/>
  <c r="AT276" i="1"/>
  <c r="AU276" i="1"/>
  <c r="AR277" i="1"/>
  <c r="AS277" i="1"/>
  <c r="F277" i="1" s="1"/>
  <c r="AT277" i="1"/>
  <c r="AU277" i="1"/>
  <c r="AR278" i="1"/>
  <c r="AS278" i="1"/>
  <c r="F278" i="1" s="1"/>
  <c r="AT278" i="1"/>
  <c r="AU278" i="1"/>
  <c r="AR279" i="1"/>
  <c r="AS279" i="1"/>
  <c r="F279" i="1" s="1"/>
  <c r="AT279" i="1"/>
  <c r="AU279" i="1"/>
  <c r="AR280" i="1"/>
  <c r="AS280" i="1"/>
  <c r="F280" i="1" s="1"/>
  <c r="AT280" i="1"/>
  <c r="AU280" i="1"/>
  <c r="AR281" i="1"/>
  <c r="AS281" i="1"/>
  <c r="F281" i="1" s="1"/>
  <c r="AT281" i="1"/>
  <c r="AU281" i="1"/>
  <c r="AR282" i="1"/>
  <c r="AS282" i="1"/>
  <c r="F282" i="1" s="1"/>
  <c r="AT282" i="1"/>
  <c r="AU282" i="1"/>
  <c r="AR283" i="1"/>
  <c r="AS283" i="1"/>
  <c r="F283" i="1" s="1"/>
  <c r="AT283" i="1"/>
  <c r="AU283" i="1"/>
  <c r="AR284" i="1"/>
  <c r="AS284" i="1"/>
  <c r="F284" i="1" s="1"/>
  <c r="AT284" i="1"/>
  <c r="AU284" i="1"/>
  <c r="AR285" i="1"/>
  <c r="AS285" i="1"/>
  <c r="F285" i="1" s="1"/>
  <c r="AT285" i="1"/>
  <c r="AU285" i="1"/>
  <c r="AR286" i="1"/>
  <c r="AS286" i="1"/>
  <c r="F286" i="1" s="1"/>
  <c r="AT286" i="1"/>
  <c r="AU286" i="1"/>
  <c r="AR287" i="1"/>
  <c r="AS287" i="1"/>
  <c r="F287" i="1" s="1"/>
  <c r="AT287" i="1"/>
  <c r="AU287" i="1"/>
  <c r="AR288" i="1"/>
  <c r="AS288" i="1"/>
  <c r="F288" i="1" s="1"/>
  <c r="AT288" i="1"/>
  <c r="AU288" i="1"/>
  <c r="AR289" i="1"/>
  <c r="AS289" i="1"/>
  <c r="F289" i="1" s="1"/>
  <c r="AT289" i="1"/>
  <c r="AU289" i="1"/>
  <c r="AR290" i="1"/>
  <c r="AS290" i="1"/>
  <c r="F290" i="1" s="1"/>
  <c r="AT290" i="1"/>
  <c r="AU290" i="1"/>
  <c r="AR291" i="1"/>
  <c r="AS291" i="1"/>
  <c r="F291" i="1" s="1"/>
  <c r="AT291" i="1"/>
  <c r="AU291" i="1"/>
  <c r="AR292" i="1"/>
  <c r="AS292" i="1"/>
  <c r="F292" i="1" s="1"/>
  <c r="AT292" i="1"/>
  <c r="AU292" i="1"/>
  <c r="AR293" i="1"/>
  <c r="AS293" i="1"/>
  <c r="F293" i="1" s="1"/>
  <c r="AT293" i="1"/>
  <c r="AU293" i="1"/>
  <c r="AR294" i="1"/>
  <c r="AS294" i="1"/>
  <c r="F294" i="1" s="1"/>
  <c r="AT294" i="1"/>
  <c r="AU294" i="1"/>
  <c r="AR295" i="1"/>
  <c r="AS295" i="1"/>
  <c r="F295" i="1" s="1"/>
  <c r="AT295" i="1"/>
  <c r="AU295" i="1"/>
  <c r="AR296" i="1"/>
  <c r="AS296" i="1"/>
  <c r="F296" i="1" s="1"/>
  <c r="AT296" i="1"/>
  <c r="AU296" i="1"/>
  <c r="AR297" i="1"/>
  <c r="AS297" i="1"/>
  <c r="F297" i="1" s="1"/>
  <c r="AT297" i="1"/>
  <c r="AU297" i="1"/>
  <c r="AR298" i="1"/>
  <c r="AS298" i="1"/>
  <c r="F298" i="1" s="1"/>
  <c r="AT298" i="1"/>
  <c r="AU298" i="1"/>
  <c r="AR299" i="1"/>
  <c r="AS299" i="1"/>
  <c r="F299" i="1" s="1"/>
  <c r="AT299" i="1"/>
  <c r="AU299" i="1"/>
  <c r="AR300" i="1"/>
  <c r="AS300" i="1"/>
  <c r="F300" i="1" s="1"/>
  <c r="AT300" i="1"/>
  <c r="AU300" i="1"/>
  <c r="AR301" i="1"/>
  <c r="AS301" i="1"/>
  <c r="F301" i="1" s="1"/>
  <c r="AT301" i="1"/>
  <c r="AU301" i="1"/>
  <c r="AR302" i="1"/>
  <c r="AS302" i="1"/>
  <c r="F302" i="1" s="1"/>
  <c r="AT302" i="1"/>
  <c r="AU302" i="1"/>
  <c r="AR303" i="1"/>
  <c r="AS303" i="1"/>
  <c r="F303" i="1" s="1"/>
  <c r="AT303" i="1"/>
  <c r="AU303" i="1"/>
  <c r="AR304" i="1"/>
  <c r="AS304" i="1"/>
  <c r="F304" i="1" s="1"/>
  <c r="AT304" i="1"/>
  <c r="AU304" i="1"/>
  <c r="AR305" i="1"/>
  <c r="AS305" i="1"/>
  <c r="F305" i="1" s="1"/>
  <c r="AT305" i="1"/>
  <c r="AU305" i="1"/>
  <c r="AR306" i="1"/>
  <c r="AS306" i="1"/>
  <c r="F306" i="1" s="1"/>
  <c r="AT306" i="1"/>
  <c r="AU306" i="1"/>
  <c r="AR307" i="1"/>
  <c r="AS307" i="1"/>
  <c r="F307" i="1" s="1"/>
  <c r="AT307" i="1"/>
  <c r="AU307" i="1"/>
  <c r="AR308" i="1"/>
  <c r="AS308" i="1"/>
  <c r="F308" i="1" s="1"/>
  <c r="AT308" i="1"/>
  <c r="AU308" i="1"/>
  <c r="AR309" i="1"/>
  <c r="AS309" i="1"/>
  <c r="F309" i="1" s="1"/>
  <c r="AT309" i="1"/>
  <c r="AU309" i="1"/>
  <c r="AR310" i="1"/>
  <c r="AS310" i="1"/>
  <c r="F310" i="1" s="1"/>
  <c r="AT310" i="1"/>
  <c r="AU310" i="1"/>
  <c r="AR311" i="1"/>
  <c r="AS311" i="1"/>
  <c r="F311" i="1" s="1"/>
  <c r="AT311" i="1"/>
  <c r="AU311" i="1"/>
  <c r="AR312" i="1"/>
  <c r="AS312" i="1"/>
  <c r="F312" i="1" s="1"/>
  <c r="AT312" i="1"/>
  <c r="AU312" i="1"/>
  <c r="AR313" i="1"/>
  <c r="AS313" i="1"/>
  <c r="F313" i="1" s="1"/>
  <c r="AT313" i="1"/>
  <c r="AU313" i="1"/>
  <c r="AR314" i="1"/>
  <c r="AS314" i="1"/>
  <c r="F314" i="1" s="1"/>
  <c r="AT314" i="1"/>
  <c r="AU314" i="1"/>
  <c r="AR315" i="1"/>
  <c r="AS315" i="1"/>
  <c r="F315" i="1" s="1"/>
  <c r="AT315" i="1"/>
  <c r="AU315" i="1"/>
  <c r="AR316" i="1"/>
  <c r="AS316" i="1"/>
  <c r="F316" i="1" s="1"/>
  <c r="AT316" i="1"/>
  <c r="AU316" i="1"/>
  <c r="AR317" i="1"/>
  <c r="AS317" i="1"/>
  <c r="F317" i="1" s="1"/>
  <c r="AT317" i="1"/>
  <c r="AU317" i="1"/>
  <c r="AR318" i="1"/>
  <c r="AS318" i="1"/>
  <c r="F318" i="1" s="1"/>
  <c r="AT318" i="1"/>
  <c r="AU318" i="1"/>
  <c r="AS3" i="1"/>
  <c r="AP2" i="7" s="1"/>
  <c r="AT3" i="1"/>
  <c r="AQ2" i="7" s="1"/>
  <c r="AU3" i="1"/>
  <c r="AR2" i="7" s="1"/>
  <c r="AS4" i="1"/>
  <c r="AP3" i="7" s="1"/>
  <c r="AT4" i="1"/>
  <c r="AQ3" i="7" s="1"/>
  <c r="AU4" i="1"/>
  <c r="AR3" i="7" s="1"/>
  <c r="AS5" i="1"/>
  <c r="AP4" i="7" s="1"/>
  <c r="AT5" i="1"/>
  <c r="AQ4" i="7" s="1"/>
  <c r="AU5" i="1"/>
  <c r="AR4" i="7" s="1"/>
  <c r="AS6" i="1"/>
  <c r="AP5" i="7" s="1"/>
  <c r="AT6" i="1"/>
  <c r="AQ5" i="7" s="1"/>
  <c r="AU6" i="1"/>
  <c r="AR5" i="7" s="1"/>
  <c r="AS7" i="1"/>
  <c r="AP6" i="7" s="1"/>
  <c r="AT7" i="1"/>
  <c r="AQ6" i="7" s="1"/>
  <c r="AU7" i="1"/>
  <c r="AR6" i="7" s="1"/>
  <c r="AS8" i="1"/>
  <c r="AP7" i="7" s="1"/>
  <c r="AT8" i="1"/>
  <c r="AQ7" i="7" s="1"/>
  <c r="AU8" i="1"/>
  <c r="AR7" i="7" s="1"/>
  <c r="AS9" i="1"/>
  <c r="AP8" i="7" s="1"/>
  <c r="AT9" i="1"/>
  <c r="AQ8" i="7" s="1"/>
  <c r="AU9" i="1"/>
  <c r="AR8" i="7" s="1"/>
  <c r="AS13" i="1"/>
  <c r="AP12" i="7" s="1"/>
  <c r="AT13" i="1"/>
  <c r="AQ12" i="7" s="1"/>
  <c r="AU13" i="1"/>
  <c r="AR12" i="7" s="1"/>
  <c r="AR3" i="1"/>
  <c r="AO2" i="7" s="1"/>
  <c r="AR4" i="1"/>
  <c r="AO3" i="7" s="1"/>
  <c r="AR5" i="1"/>
  <c r="AO4" i="7" s="1"/>
  <c r="AR6" i="1"/>
  <c r="AO5" i="7" s="1"/>
  <c r="AR7" i="1"/>
  <c r="AO6" i="7" s="1"/>
  <c r="AR8" i="1"/>
  <c r="AO7" i="7" s="1"/>
  <c r="AR9" i="1"/>
  <c r="AO8" i="7" s="1"/>
  <c r="AR13" i="1"/>
  <c r="AO12" i="7" s="1"/>
  <c r="AU14" i="1"/>
  <c r="AR13" i="7" s="1"/>
  <c r="AT14" i="1"/>
  <c r="AQ13" i="7" s="1"/>
  <c r="AS14" i="1"/>
  <c r="AP13" i="7" s="1"/>
  <c r="AR14" i="1"/>
  <c r="AO13" i="7" s="1"/>
  <c r="F223" i="1" l="1"/>
  <c r="F221" i="1"/>
  <c r="F219" i="1"/>
  <c r="F218" i="1"/>
  <c r="F217" i="1"/>
  <c r="F216" i="1"/>
  <c r="F215" i="1"/>
  <c r="F214" i="1"/>
  <c r="F213" i="1"/>
  <c r="F212" i="1"/>
  <c r="F211" i="1"/>
  <c r="F209" i="1"/>
  <c r="F207" i="1"/>
  <c r="F205" i="1"/>
  <c r="F203" i="1"/>
  <c r="F201" i="1"/>
  <c r="F199" i="1"/>
  <c r="F210" i="1"/>
  <c r="F208" i="1"/>
  <c r="F206" i="1"/>
  <c r="F204" i="1"/>
  <c r="F202" i="1"/>
  <c r="F200" i="1"/>
  <c r="F198" i="1"/>
  <c r="F196" i="1"/>
  <c r="F194" i="1"/>
  <c r="F192" i="1"/>
  <c r="F190" i="1"/>
  <c r="F188" i="1"/>
  <c r="F197" i="1"/>
  <c r="F195" i="1"/>
  <c r="F193" i="1"/>
  <c r="F189" i="1"/>
  <c r="F191" i="1"/>
  <c r="F187" i="1"/>
  <c r="F186" i="1"/>
  <c r="F185" i="1"/>
  <c r="F184" i="1"/>
  <c r="F183" i="1"/>
  <c r="F181" i="1"/>
  <c r="F182" i="1"/>
  <c r="F180" i="1"/>
  <c r="F179" i="1"/>
  <c r="F177" i="1"/>
  <c r="F175" i="1"/>
  <c r="F178" i="1"/>
  <c r="F174" i="1"/>
  <c r="F172" i="1"/>
  <c r="F173" i="1"/>
  <c r="F176" i="1"/>
  <c r="F14" i="1"/>
  <c r="F99" i="1"/>
  <c r="F70" i="1"/>
  <c r="F12" i="1"/>
  <c r="F11" i="1"/>
  <c r="F144" i="1"/>
  <c r="F153" i="1"/>
  <c r="F152" i="1"/>
  <c r="F151" i="1"/>
  <c r="F150" i="1"/>
  <c r="F149" i="1"/>
  <c r="F148" i="1"/>
  <c r="F143" i="1"/>
  <c r="F142" i="1"/>
  <c r="F141" i="1"/>
  <c r="F140" i="1"/>
  <c r="F139" i="1"/>
  <c r="F138" i="1"/>
  <c r="F137" i="1"/>
  <c r="F136" i="1"/>
  <c r="F146" i="1"/>
  <c r="F145" i="1"/>
  <c r="F118" i="1"/>
  <c r="F117" i="1"/>
  <c r="F116" i="1"/>
  <c r="F75" i="1"/>
  <c r="F74" i="1"/>
  <c r="F73" i="1"/>
  <c r="F72" i="1"/>
  <c r="F115" i="1"/>
  <c r="F103" i="1"/>
  <c r="F105" i="1"/>
  <c r="F107" i="1"/>
  <c r="F98" i="1"/>
  <c r="F97" i="1"/>
  <c r="F96" i="1"/>
  <c r="F95" i="1"/>
  <c r="F93" i="1"/>
  <c r="F94" i="1"/>
  <c r="F91" i="1"/>
  <c r="F113" i="1"/>
  <c r="F90" i="1"/>
  <c r="F89" i="1"/>
  <c r="F106" i="1"/>
  <c r="F66" i="1"/>
  <c r="F65" i="1"/>
  <c r="F102" i="1"/>
  <c r="F101" i="1"/>
  <c r="F64" i="1"/>
  <c r="F63" i="1"/>
  <c r="F62" i="1"/>
  <c r="F61" i="1"/>
  <c r="F60" i="1"/>
  <c r="F92" i="1"/>
  <c r="F67" i="1"/>
  <c r="F59" i="1"/>
  <c r="F58" i="1"/>
  <c r="F57" i="1"/>
  <c r="F108" i="1"/>
  <c r="F56" i="1"/>
  <c r="F55" i="1"/>
  <c r="F52" i="1"/>
  <c r="F39" i="1"/>
  <c r="F38" i="1"/>
  <c r="F37" i="1"/>
  <c r="F36" i="1"/>
  <c r="F29" i="1"/>
  <c r="F31" i="1"/>
  <c r="F30" i="1"/>
  <c r="F17" i="1"/>
  <c r="F16" i="1"/>
  <c r="F15" i="1"/>
  <c r="G147" i="7"/>
  <c r="F168" i="1"/>
  <c r="G143" i="7"/>
  <c r="F164" i="1"/>
  <c r="G140" i="7"/>
  <c r="F161" i="1"/>
  <c r="G137" i="7"/>
  <c r="F158" i="1"/>
  <c r="G134" i="7"/>
  <c r="F155" i="1"/>
  <c r="G131" i="7"/>
  <c r="G128" i="7"/>
  <c r="F135" i="1"/>
  <c r="G125" i="7"/>
  <c r="F134" i="1"/>
  <c r="G122" i="7"/>
  <c r="F131" i="1"/>
  <c r="G119" i="7"/>
  <c r="F128" i="1"/>
  <c r="G112" i="7"/>
  <c r="F20" i="1"/>
  <c r="G6" i="7"/>
  <c r="F7" i="1"/>
  <c r="G7" i="7"/>
  <c r="F8" i="1"/>
  <c r="G3" i="7"/>
  <c r="F4" i="1"/>
  <c r="G10" i="7"/>
  <c r="F13" i="1"/>
  <c r="G149" i="7"/>
  <c r="F170" i="1"/>
  <c r="G146" i="7"/>
  <c r="F167" i="1"/>
  <c r="G144" i="7"/>
  <c r="F165" i="1"/>
  <c r="G141" i="7"/>
  <c r="F162" i="1"/>
  <c r="G139" i="7"/>
  <c r="F160" i="1"/>
  <c r="G136" i="7"/>
  <c r="F157" i="1"/>
  <c r="G133" i="7"/>
  <c r="F154" i="1"/>
  <c r="G130" i="7"/>
  <c r="G127" i="7"/>
  <c r="F87" i="1"/>
  <c r="G124" i="7"/>
  <c r="F133" i="1"/>
  <c r="G121" i="7"/>
  <c r="F130" i="1"/>
  <c r="G118" i="7"/>
  <c r="F127" i="1"/>
  <c r="G113" i="7"/>
  <c r="F83" i="1"/>
  <c r="F3" i="1"/>
  <c r="G8" i="7"/>
  <c r="F9" i="1"/>
  <c r="G4" i="7"/>
  <c r="F5" i="1"/>
  <c r="G5" i="7"/>
  <c r="F6" i="1"/>
  <c r="G150" i="7"/>
  <c r="F171" i="1"/>
  <c r="G148" i="7"/>
  <c r="F169" i="1"/>
  <c r="G145" i="7"/>
  <c r="F166" i="1"/>
  <c r="G142" i="7"/>
  <c r="F163" i="1"/>
  <c r="G138" i="7"/>
  <c r="F159" i="1"/>
  <c r="G135" i="7"/>
  <c r="F156" i="1"/>
  <c r="G132" i="7"/>
  <c r="F88" i="1"/>
  <c r="G129" i="7"/>
  <c r="G126" i="7"/>
  <c r="F35" i="1"/>
  <c r="G123" i="7"/>
  <c r="F132" i="1"/>
  <c r="G120" i="7"/>
  <c r="F129" i="1"/>
  <c r="G117" i="7"/>
  <c r="F126" i="1"/>
  <c r="G116" i="7"/>
  <c r="F86" i="1"/>
  <c r="G115" i="7"/>
  <c r="F85" i="1"/>
  <c r="G114" i="7"/>
  <c r="F84" i="1"/>
  <c r="G111" i="7"/>
  <c r="F125" i="1"/>
  <c r="G110" i="7"/>
  <c r="F124" i="1"/>
  <c r="G109" i="7"/>
  <c r="F123" i="1"/>
  <c r="G108" i="7"/>
  <c r="F122" i="1"/>
  <c r="G107" i="7"/>
  <c r="F112" i="1"/>
  <c r="G106" i="7"/>
  <c r="F21" i="1"/>
  <c r="G105" i="7"/>
  <c r="F82" i="1"/>
  <c r="G104" i="7"/>
  <c r="F111" i="1"/>
  <c r="G103" i="7"/>
  <c r="F121" i="1"/>
  <c r="G102" i="7"/>
  <c r="F120" i="1"/>
  <c r="G101" i="7"/>
  <c r="F81" i="1"/>
  <c r="G100" i="7"/>
  <c r="F80" i="1"/>
  <c r="G99" i="7"/>
  <c r="F79" i="1"/>
  <c r="G98" i="7"/>
  <c r="F53" i="1"/>
  <c r="G97" i="7"/>
  <c r="F78" i="1"/>
  <c r="G96" i="7"/>
  <c r="F77" i="1"/>
  <c r="G95" i="7"/>
  <c r="F76" i="1"/>
  <c r="G94" i="7"/>
  <c r="F19" i="1"/>
  <c r="G93" i="7"/>
  <c r="F110" i="1"/>
  <c r="G92" i="7"/>
  <c r="F109" i="1"/>
  <c r="G91" i="7"/>
  <c r="F33" i="1"/>
  <c r="G90" i="7"/>
  <c r="F32" i="1"/>
  <c r="G89" i="7"/>
  <c r="F10" i="1"/>
  <c r="G88" i="7"/>
  <c r="F69" i="1"/>
  <c r="G87" i="7"/>
  <c r="F114" i="1"/>
  <c r="G86" i="7"/>
  <c r="F68" i="1"/>
  <c r="G85" i="7"/>
  <c r="F119" i="1"/>
  <c r="G84" i="7"/>
  <c r="F104" i="1"/>
  <c r="G83" i="7"/>
  <c r="F18" i="1"/>
  <c r="G82" i="7"/>
  <c r="F71" i="1"/>
  <c r="G81" i="7"/>
  <c r="G9" i="7"/>
  <c r="G80" i="7"/>
  <c r="G38" i="7"/>
  <c r="G79" i="7"/>
  <c r="G72" i="7"/>
  <c r="G75" i="7"/>
  <c r="G70" i="7"/>
  <c r="G68" i="7"/>
  <c r="G66" i="7"/>
  <c r="G64" i="7"/>
  <c r="G62" i="7"/>
  <c r="G60" i="7"/>
  <c r="G56" i="7"/>
  <c r="G54" i="7"/>
  <c r="G52" i="7"/>
  <c r="G50" i="7"/>
  <c r="G48" i="7"/>
  <c r="G46" i="7"/>
  <c r="G44" i="7"/>
  <c r="G42" i="7"/>
  <c r="G40" i="7"/>
  <c r="G34" i="7"/>
  <c r="G32" i="7"/>
  <c r="G30" i="7"/>
  <c r="G37" i="7"/>
  <c r="G28" i="7"/>
  <c r="G26" i="7"/>
  <c r="G24" i="7"/>
  <c r="G22" i="7"/>
  <c r="G20" i="7"/>
  <c r="G18" i="7"/>
  <c r="G16" i="7"/>
  <c r="G14" i="7"/>
  <c r="G76" i="7"/>
  <c r="G74" i="7"/>
  <c r="G71" i="7"/>
  <c r="G69" i="7"/>
  <c r="G67" i="7"/>
  <c r="G65" i="7"/>
  <c r="G63" i="7"/>
  <c r="G61" i="7"/>
  <c r="G59" i="7"/>
  <c r="G57" i="7"/>
  <c r="G55" i="7"/>
  <c r="G53" i="7"/>
  <c r="G51" i="7"/>
  <c r="G49" i="7"/>
  <c r="G47" i="7"/>
  <c r="G45" i="7"/>
  <c r="G43" i="7"/>
  <c r="G41" i="7"/>
  <c r="G35" i="7"/>
  <c r="G39" i="7"/>
  <c r="G33" i="7"/>
  <c r="G31" i="7"/>
  <c r="G29" i="7"/>
  <c r="G27" i="7"/>
  <c r="G25" i="7"/>
  <c r="G23" i="7"/>
  <c r="G21" i="7"/>
  <c r="G19" i="7"/>
  <c r="G17" i="7"/>
  <c r="G15" i="7"/>
  <c r="G13" i="7"/>
  <c r="G11" i="7"/>
  <c r="G77" i="7"/>
  <c r="G58" i="7"/>
  <c r="G78" i="7"/>
  <c r="G73" i="7"/>
  <c r="G36" i="7"/>
  <c r="G12" i="7"/>
  <c r="K69" i="1"/>
  <c r="I66" i="7" s="1"/>
  <c r="K10" i="1"/>
  <c r="I9" i="7" s="1"/>
  <c r="K32" i="1"/>
  <c r="I29" i="7" s="1"/>
  <c r="K33" i="1"/>
  <c r="I30" i="7" s="1"/>
  <c r="K109" i="1"/>
  <c r="I105" i="7" s="1"/>
  <c r="K110" i="1"/>
  <c r="I106" i="7" s="1"/>
  <c r="K19" i="1"/>
  <c r="I18" i="7" s="1"/>
  <c r="K76" i="1"/>
  <c r="I73" i="7" s="1"/>
  <c r="K77" i="1"/>
  <c r="I74" i="7" s="1"/>
  <c r="K78" i="1"/>
  <c r="I75" i="7" s="1"/>
  <c r="K53" i="1"/>
  <c r="I50" i="7" s="1"/>
  <c r="K80" i="1"/>
  <c r="I77" i="7" s="1"/>
  <c r="K81" i="1"/>
  <c r="I78" i="7" s="1"/>
  <c r="K82" i="1"/>
  <c r="I79" i="7" s="1"/>
  <c r="K21" i="1"/>
  <c r="I20" i="7" s="1"/>
  <c r="K112" i="1"/>
  <c r="I108" i="7" s="1"/>
  <c r="K122" i="1"/>
  <c r="I118" i="7" s="1"/>
  <c r="K123" i="1"/>
  <c r="I119" i="7" s="1"/>
  <c r="K124" i="1"/>
  <c r="I120" i="7" s="1"/>
  <c r="K125" i="1"/>
  <c r="I121" i="7" s="1"/>
  <c r="K20" i="1"/>
  <c r="I19" i="7" s="1"/>
  <c r="K83" i="1"/>
  <c r="I80" i="7" s="1"/>
  <c r="K84" i="1"/>
  <c r="I81" i="7" s="1"/>
  <c r="K85" i="1"/>
  <c r="I82" i="7" s="1"/>
  <c r="K86" i="1"/>
  <c r="I83" i="7" s="1"/>
  <c r="K126" i="1"/>
  <c r="I122" i="7" s="1"/>
  <c r="K127" i="1"/>
  <c r="I123" i="7" s="1"/>
  <c r="K128" i="1"/>
  <c r="I124" i="7" s="1"/>
  <c r="K129" i="1"/>
  <c r="I125" i="7" s="1"/>
  <c r="K130" i="1"/>
  <c r="I126" i="7" s="1"/>
  <c r="K131" i="1"/>
  <c r="I127" i="7" s="1"/>
  <c r="K132" i="1"/>
  <c r="I128" i="7" s="1"/>
  <c r="K133" i="1"/>
  <c r="I129" i="7" s="1"/>
  <c r="K134" i="1"/>
  <c r="I130" i="7" s="1"/>
  <c r="K35" i="1"/>
  <c r="I32" i="7" s="1"/>
  <c r="K87" i="1"/>
  <c r="I84" i="7" s="1"/>
  <c r="K135" i="1"/>
  <c r="I131" i="7" s="1"/>
  <c r="K88" i="1"/>
  <c r="I85" i="7" s="1"/>
  <c r="K154" i="1"/>
  <c r="I150" i="7" s="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90" i="1"/>
  <c r="K191" i="1"/>
  <c r="K192" i="1"/>
  <c r="K193" i="1"/>
  <c r="K196" i="1"/>
  <c r="K197" i="1"/>
  <c r="K198" i="1"/>
  <c r="K200" i="1"/>
  <c r="K201" i="1"/>
  <c r="K202" i="1"/>
  <c r="K203" i="1"/>
  <c r="K204" i="1"/>
  <c r="K205" i="1"/>
  <c r="K206" i="1"/>
  <c r="K207"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6" i="1"/>
  <c r="I5" i="7" s="1"/>
  <c r="K7" i="1"/>
  <c r="I6" i="7" s="1"/>
  <c r="K3" i="1"/>
  <c r="I2" i="7" s="1"/>
  <c r="K4" i="1"/>
  <c r="I3" i="7" s="1"/>
  <c r="K14" i="1"/>
  <c r="I13" i="7" s="1"/>
  <c r="K15" i="1"/>
  <c r="I14" i="7" s="1"/>
  <c r="K16" i="1"/>
  <c r="I15" i="7" s="1"/>
  <c r="K17" i="1"/>
  <c r="I16" i="7" s="1"/>
  <c r="K13" i="1"/>
  <c r="I12" i="7" s="1"/>
  <c r="K30" i="1"/>
  <c r="I27" i="7" s="1"/>
  <c r="K31" i="1"/>
  <c r="I28" i="7" s="1"/>
  <c r="K29" i="1"/>
  <c r="I26" i="7" s="1"/>
  <c r="K38" i="1"/>
  <c r="I35" i="7" s="1"/>
  <c r="K39" i="1"/>
  <c r="I36" i="7" s="1"/>
  <c r="K36" i="1"/>
  <c r="I33" i="7" s="1"/>
  <c r="K37" i="1"/>
  <c r="I34" i="7" s="1"/>
  <c r="K52" i="1"/>
  <c r="I49" i="7" s="1"/>
  <c r="K106" i="1"/>
  <c r="I102" i="7" s="1"/>
  <c r="K55" i="1"/>
  <c r="I52" i="7" s="1"/>
  <c r="K56" i="1"/>
  <c r="I53" i="7" s="1"/>
  <c r="K108" i="1"/>
  <c r="I104" i="7" s="1"/>
  <c r="K57" i="1"/>
  <c r="I54" i="7" s="1"/>
  <c r="K58" i="1"/>
  <c r="I55" i="7" s="1"/>
  <c r="K89" i="1"/>
  <c r="I86" i="7" s="1"/>
  <c r="K59" i="1"/>
  <c r="I56" i="7" s="1"/>
  <c r="K90" i="1"/>
  <c r="I87" i="7" s="1"/>
  <c r="K113" i="1"/>
  <c r="I109" i="7" s="1"/>
  <c r="K91" i="1"/>
  <c r="I88" i="7" s="1"/>
  <c r="K67" i="1"/>
  <c r="I64" i="7" s="1"/>
  <c r="K92" i="1"/>
  <c r="I89" i="7" s="1"/>
  <c r="K94" i="1"/>
  <c r="I91" i="7" s="1"/>
  <c r="K60" i="1"/>
  <c r="I57" i="7" s="1"/>
  <c r="K61" i="1"/>
  <c r="I58" i="7" s="1"/>
  <c r="K93" i="1"/>
  <c r="I90" i="7" s="1"/>
  <c r="K95" i="1"/>
  <c r="I92" i="7" s="1"/>
  <c r="K62" i="1"/>
  <c r="I59" i="7" s="1"/>
  <c r="K96" i="1"/>
  <c r="I93" i="7" s="1"/>
  <c r="K97" i="1"/>
  <c r="I94" i="7" s="1"/>
  <c r="K98" i="1"/>
  <c r="I95" i="7" s="1"/>
  <c r="K63" i="1"/>
  <c r="I60" i="7" s="1"/>
  <c r="K107" i="1"/>
  <c r="I103" i="7" s="1"/>
  <c r="K64" i="1"/>
  <c r="I61" i="7" s="1"/>
  <c r="K101" i="1"/>
  <c r="I97" i="7" s="1"/>
  <c r="K102" i="1"/>
  <c r="I98" i="7" s="1"/>
  <c r="K105" i="1"/>
  <c r="I101" i="7" s="1"/>
  <c r="K115" i="1"/>
  <c r="I111" i="7" s="1"/>
  <c r="K138" i="1"/>
  <c r="I134" i="7" s="1"/>
  <c r="K139" i="1"/>
  <c r="I135" i="7" s="1"/>
  <c r="K140" i="1"/>
  <c r="I136" i="7" s="1"/>
  <c r="K141" i="1"/>
  <c r="I137" i="7" s="1"/>
  <c r="K145" i="1"/>
  <c r="I141" i="7" s="1"/>
  <c r="K146" i="1"/>
  <c r="I142" i="7" s="1"/>
  <c r="K142" i="1"/>
  <c r="I138" i="7" s="1"/>
  <c r="K136" i="1"/>
  <c r="I132" i="7" s="1"/>
  <c r="K137" i="1"/>
  <c r="I133" i="7" s="1"/>
  <c r="K143" i="1"/>
  <c r="I139" i="7" s="1"/>
  <c r="K148" i="1"/>
  <c r="I144" i="7" s="1"/>
  <c r="K150" i="1"/>
  <c r="I146" i="7" s="1"/>
  <c r="K149" i="1"/>
  <c r="I145" i="7" s="1"/>
  <c r="K151" i="1"/>
  <c r="I147" i="7" s="1"/>
  <c r="K152" i="1"/>
  <c r="I148" i="7" s="1"/>
  <c r="K153" i="1"/>
  <c r="I149" i="7" s="1"/>
  <c r="K65" i="1"/>
  <c r="I62" i="7" s="1"/>
  <c r="K74" i="1"/>
  <c r="I71" i="7" s="1"/>
  <c r="K66" i="1"/>
  <c r="I63" i="7" s="1"/>
  <c r="K8" i="1"/>
  <c r="I7" i="7" s="1"/>
  <c r="K9" i="1"/>
  <c r="I8" i="7" s="1"/>
  <c r="K144" i="1"/>
  <c r="I140" i="7" s="1"/>
  <c r="K11" i="1"/>
  <c r="I10" i="7" s="1"/>
  <c r="K12" i="1"/>
  <c r="I11" i="7" s="1"/>
  <c r="K70" i="1"/>
  <c r="I67" i="7" s="1"/>
  <c r="K99" i="1"/>
  <c r="I96" i="7" s="1"/>
  <c r="K71" i="1"/>
  <c r="I68" i="7" s="1"/>
  <c r="K18" i="1"/>
  <c r="I17" i="7" s="1"/>
  <c r="K104" i="1"/>
  <c r="I100" i="7" s="1"/>
  <c r="K68" i="1"/>
  <c r="I65" i="7" s="1"/>
  <c r="K114" i="1"/>
  <c r="I110" i="7" s="1"/>
  <c r="K5" i="1"/>
  <c r="I4" i="7" s="1"/>
  <c r="B118" i="1"/>
  <c r="AP118" i="1"/>
  <c r="AM114" i="7" s="1"/>
  <c r="Z118" i="1"/>
  <c r="X114" i="7" s="1"/>
  <c r="B117" i="1"/>
  <c r="AP117" i="1"/>
  <c r="AM113" i="7" s="1"/>
  <c r="AV117" i="1"/>
  <c r="AS113" i="7" s="1"/>
  <c r="AV6" i="1"/>
  <c r="AS5" i="7" s="1"/>
  <c r="AV7" i="1"/>
  <c r="AS6" i="7" s="1"/>
  <c r="AV3" i="1"/>
  <c r="AS2" i="7" s="1"/>
  <c r="AV4" i="1"/>
  <c r="AS3" i="7" s="1"/>
  <c r="AV14" i="1"/>
  <c r="AS13" i="7" s="1"/>
  <c r="AV15" i="1"/>
  <c r="AS14" i="7" s="1"/>
  <c r="AV16" i="1"/>
  <c r="AS15" i="7" s="1"/>
  <c r="AV17" i="1"/>
  <c r="AS16" i="7" s="1"/>
  <c r="AV13" i="1"/>
  <c r="AS12" i="7" s="1"/>
  <c r="AV30" i="1"/>
  <c r="AS27" i="7" s="1"/>
  <c r="AV31" i="1"/>
  <c r="AS28" i="7" s="1"/>
  <c r="AV29" i="1"/>
  <c r="AS26" i="7" s="1"/>
  <c r="AV38" i="1"/>
  <c r="AS35" i="7" s="1"/>
  <c r="AV39" i="1"/>
  <c r="AS36" i="7" s="1"/>
  <c r="AV36" i="1"/>
  <c r="AS33" i="7" s="1"/>
  <c r="AV37" i="1"/>
  <c r="AS34" i="7" s="1"/>
  <c r="AV52" i="1"/>
  <c r="AS49" i="7" s="1"/>
  <c r="AV106" i="1"/>
  <c r="AS102" i="7" s="1"/>
  <c r="AV55" i="1"/>
  <c r="AS52" i="7" s="1"/>
  <c r="AV56" i="1"/>
  <c r="AS53" i="7" s="1"/>
  <c r="AV108" i="1"/>
  <c r="AS104" i="7" s="1"/>
  <c r="AV57" i="1"/>
  <c r="AS54" i="7" s="1"/>
  <c r="AV58" i="1"/>
  <c r="AS55" i="7" s="1"/>
  <c r="AV89" i="1"/>
  <c r="AS86" i="7" s="1"/>
  <c r="AV59" i="1"/>
  <c r="AS56" i="7" s="1"/>
  <c r="AV90" i="1"/>
  <c r="AS87" i="7" s="1"/>
  <c r="AV113" i="1"/>
  <c r="AS109" i="7" s="1"/>
  <c r="AV91" i="1"/>
  <c r="AS88" i="7" s="1"/>
  <c r="AV67" i="1"/>
  <c r="AS64" i="7" s="1"/>
  <c r="AV92" i="1"/>
  <c r="AS89" i="7" s="1"/>
  <c r="AV94" i="1"/>
  <c r="AS91" i="7" s="1"/>
  <c r="AV60" i="1"/>
  <c r="AS57" i="7" s="1"/>
  <c r="AV61" i="1"/>
  <c r="AS58" i="7" s="1"/>
  <c r="AV93" i="1"/>
  <c r="AS90" i="7" s="1"/>
  <c r="AV95" i="1"/>
  <c r="AS92" i="7" s="1"/>
  <c r="AV62" i="1"/>
  <c r="AS59" i="7" s="1"/>
  <c r="AV96" i="1"/>
  <c r="AS93" i="7" s="1"/>
  <c r="AV97" i="1"/>
  <c r="AS94" i="7" s="1"/>
  <c r="AV98" i="1"/>
  <c r="AS95" i="7" s="1"/>
  <c r="AV63" i="1"/>
  <c r="AS60" i="7" s="1"/>
  <c r="AV107" i="1"/>
  <c r="AS103" i="7" s="1"/>
  <c r="AV64" i="1"/>
  <c r="AS61" i="7" s="1"/>
  <c r="AV101" i="1"/>
  <c r="AS97" i="7" s="1"/>
  <c r="AV102" i="1"/>
  <c r="AS98" i="7" s="1"/>
  <c r="AV105" i="1"/>
  <c r="AS101" i="7" s="1"/>
  <c r="AV115" i="1"/>
  <c r="AS111" i="7" s="1"/>
  <c r="AV72" i="1"/>
  <c r="AS69" i="7" s="1"/>
  <c r="AV73" i="1"/>
  <c r="AS70" i="7" s="1"/>
  <c r="AV138" i="1"/>
  <c r="AS134" i="7" s="1"/>
  <c r="AV139" i="1"/>
  <c r="AS135" i="7" s="1"/>
  <c r="AV140" i="1"/>
  <c r="AS136" i="7" s="1"/>
  <c r="AV141" i="1"/>
  <c r="AS137" i="7" s="1"/>
  <c r="AV145" i="1"/>
  <c r="AS141" i="7" s="1"/>
  <c r="AV146" i="1"/>
  <c r="AS142" i="7" s="1"/>
  <c r="AV142" i="1"/>
  <c r="AS138" i="7" s="1"/>
  <c r="AV136" i="1"/>
  <c r="AS132" i="7" s="1"/>
  <c r="AV137" i="1"/>
  <c r="AS133" i="7" s="1"/>
  <c r="AV143" i="1"/>
  <c r="AS139" i="7" s="1"/>
  <c r="AV148" i="1"/>
  <c r="AS144" i="7" s="1"/>
  <c r="AV150" i="1"/>
  <c r="AS146" i="7" s="1"/>
  <c r="AV149" i="1"/>
  <c r="AS145" i="7" s="1"/>
  <c r="AV151" i="1"/>
  <c r="AS147" i="7" s="1"/>
  <c r="AV152" i="1"/>
  <c r="AS148" i="7" s="1"/>
  <c r="AV153" i="1"/>
  <c r="AS149" i="7" s="1"/>
  <c r="AV103" i="1"/>
  <c r="AS99" i="7" s="1"/>
  <c r="AV65" i="1"/>
  <c r="AS62" i="7" s="1"/>
  <c r="AV74" i="1"/>
  <c r="AS71" i="7" s="1"/>
  <c r="AV66" i="1"/>
  <c r="AS63" i="7" s="1"/>
  <c r="AV8" i="1"/>
  <c r="AS7" i="7" s="1"/>
  <c r="AV9" i="1"/>
  <c r="AS8" i="7" s="1"/>
  <c r="AV75" i="1"/>
  <c r="AS72" i="7" s="1"/>
  <c r="AV116" i="1"/>
  <c r="AS112" i="7" s="1"/>
  <c r="AV144" i="1"/>
  <c r="AS140" i="7" s="1"/>
  <c r="AV11" i="1"/>
  <c r="AS10" i="7" s="1"/>
  <c r="AV12" i="1"/>
  <c r="AS11" i="7" s="1"/>
  <c r="AV70" i="1"/>
  <c r="AS67" i="7" s="1"/>
  <c r="AV99" i="1"/>
  <c r="AS96" i="7" s="1"/>
  <c r="AV71" i="1"/>
  <c r="AS68" i="7" s="1"/>
  <c r="AV18" i="1"/>
  <c r="AS17" i="7" s="1"/>
  <c r="AV104" i="1"/>
  <c r="AS100" i="7" s="1"/>
  <c r="AV119" i="1"/>
  <c r="AS115" i="7" s="1"/>
  <c r="AV68" i="1"/>
  <c r="AS65" i="7" s="1"/>
  <c r="AV114" i="1"/>
  <c r="AS110" i="7" s="1"/>
  <c r="AV69" i="1"/>
  <c r="AS66" i="7" s="1"/>
  <c r="AV10" i="1"/>
  <c r="AS9" i="7" s="1"/>
  <c r="AV32" i="1"/>
  <c r="AS29" i="7" s="1"/>
  <c r="AV33" i="1"/>
  <c r="AS30" i="7" s="1"/>
  <c r="AV109" i="1"/>
  <c r="AS105" i="7" s="1"/>
  <c r="AV110" i="1"/>
  <c r="AS106" i="7" s="1"/>
  <c r="AV19" i="1"/>
  <c r="AS18" i="7" s="1"/>
  <c r="AV76" i="1"/>
  <c r="AS73" i="7" s="1"/>
  <c r="AV77" i="1"/>
  <c r="AS74" i="7" s="1"/>
  <c r="AV78" i="1"/>
  <c r="AS75" i="7" s="1"/>
  <c r="AV53" i="1"/>
  <c r="AS50" i="7" s="1"/>
  <c r="AV79" i="1"/>
  <c r="AS76" i="7" s="1"/>
  <c r="AV80" i="1"/>
  <c r="AS77" i="7" s="1"/>
  <c r="AV81" i="1"/>
  <c r="AS78" i="7" s="1"/>
  <c r="AV120" i="1"/>
  <c r="AS116" i="7" s="1"/>
  <c r="AV121" i="1"/>
  <c r="AS117" i="7" s="1"/>
  <c r="AV111" i="1"/>
  <c r="AS107" i="7" s="1"/>
  <c r="AV82" i="1"/>
  <c r="AS79" i="7" s="1"/>
  <c r="AV21" i="1"/>
  <c r="AS20" i="7" s="1"/>
  <c r="AV112" i="1"/>
  <c r="AS108" i="7" s="1"/>
  <c r="AV122" i="1"/>
  <c r="AS118" i="7" s="1"/>
  <c r="AV123" i="1"/>
  <c r="AS119" i="7" s="1"/>
  <c r="AV124" i="1"/>
  <c r="AS120" i="7" s="1"/>
  <c r="AV125" i="1"/>
  <c r="AS121" i="7" s="1"/>
  <c r="AV20" i="1"/>
  <c r="AS19" i="7" s="1"/>
  <c r="AV83" i="1"/>
  <c r="AS80" i="7" s="1"/>
  <c r="AV84" i="1"/>
  <c r="AS81" i="7" s="1"/>
  <c r="AV85" i="1"/>
  <c r="AS82" i="7" s="1"/>
  <c r="AV86" i="1"/>
  <c r="AS83" i="7" s="1"/>
  <c r="AV126" i="1"/>
  <c r="AS122" i="7" s="1"/>
  <c r="AV127" i="1"/>
  <c r="AS123" i="7" s="1"/>
  <c r="AV128" i="1"/>
  <c r="AS124" i="7" s="1"/>
  <c r="AV129" i="1"/>
  <c r="AS125" i="7" s="1"/>
  <c r="AV130" i="1"/>
  <c r="AS126" i="7" s="1"/>
  <c r="AV131" i="1"/>
  <c r="AS127" i="7" s="1"/>
  <c r="AV132" i="1"/>
  <c r="AS128" i="7" s="1"/>
  <c r="AV133" i="1"/>
  <c r="AS129" i="7" s="1"/>
  <c r="AV134" i="1"/>
  <c r="AS130" i="7" s="1"/>
  <c r="AV35" i="1"/>
  <c r="AS32" i="7" s="1"/>
  <c r="AV87" i="1"/>
  <c r="AS84" i="7" s="1"/>
  <c r="AV135" i="1"/>
  <c r="AS131" i="7" s="1"/>
  <c r="AV88" i="1"/>
  <c r="AS85" i="7" s="1"/>
  <c r="AV154" i="1"/>
  <c r="AS150" i="7" s="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C3" i="9" l="1"/>
  <c r="E6" i="9" s="1"/>
  <c r="AV118" i="1"/>
  <c r="AS114" i="7" s="1"/>
  <c r="AI117" i="1"/>
  <c r="AF113" i="7" s="1"/>
  <c r="AQ117" i="1"/>
  <c r="AN113" i="7" s="1"/>
  <c r="AA118" i="1"/>
  <c r="Y114" i="7" s="1"/>
  <c r="AQ118" i="1"/>
  <c r="AN114" i="7" s="1"/>
  <c r="AA117" i="1"/>
  <c r="Y113" i="7" s="1"/>
  <c r="Z117" i="1"/>
  <c r="X113" i="7" s="1"/>
  <c r="AE117" i="1"/>
  <c r="AB113" i="7" s="1"/>
  <c r="AB117" i="1"/>
  <c r="Z113" i="7" s="1"/>
  <c r="AC118" i="1"/>
  <c r="AA114" i="7" s="1"/>
  <c r="AC117" i="1"/>
  <c r="AA113" i="7" s="1"/>
  <c r="AB118" i="1"/>
  <c r="Z114" i="7" s="1"/>
  <c r="AE118" i="1"/>
  <c r="AB114" i="7" s="1"/>
  <c r="D90" i="7"/>
  <c r="F90" i="7" s="1"/>
  <c r="D91" i="7"/>
  <c r="F91" i="7" s="1"/>
  <c r="D92" i="7"/>
  <c r="F92" i="7" s="1"/>
  <c r="D93" i="7"/>
  <c r="F93" i="7" s="1"/>
  <c r="D94" i="7"/>
  <c r="F94" i="7" s="1"/>
  <c r="D95" i="7"/>
  <c r="F95" i="7" s="1"/>
  <c r="D96" i="7"/>
  <c r="F96" i="7" s="1"/>
  <c r="D97" i="7"/>
  <c r="F97" i="7" s="1"/>
  <c r="D98" i="7"/>
  <c r="F98" i="7" s="1"/>
  <c r="D99" i="7"/>
  <c r="F99" i="7" s="1"/>
  <c r="D100" i="7"/>
  <c r="F100" i="7" s="1"/>
  <c r="D101" i="7"/>
  <c r="F101" i="7" s="1"/>
  <c r="D102" i="7"/>
  <c r="F102" i="7" s="1"/>
  <c r="D103" i="7"/>
  <c r="F103" i="7" s="1"/>
  <c r="D104" i="7"/>
  <c r="F104" i="7" s="1"/>
  <c r="D105" i="7"/>
  <c r="F105" i="7" s="1"/>
  <c r="D106" i="7"/>
  <c r="F106" i="7" s="1"/>
  <c r="D107" i="7"/>
  <c r="F107" i="7" s="1"/>
  <c r="D108" i="7"/>
  <c r="F108" i="7" s="1"/>
  <c r="D109" i="7"/>
  <c r="F109" i="7" s="1"/>
  <c r="D110" i="7"/>
  <c r="F110" i="7" s="1"/>
  <c r="D111" i="7"/>
  <c r="F111" i="7" s="1"/>
  <c r="D112" i="7"/>
  <c r="F112" i="7" s="1"/>
  <c r="D113" i="7"/>
  <c r="F113" i="7" s="1"/>
  <c r="D114" i="7"/>
  <c r="F114" i="7" s="1"/>
  <c r="D115" i="7"/>
  <c r="F115" i="7" s="1"/>
  <c r="D116" i="7"/>
  <c r="F116" i="7" s="1"/>
  <c r="D117" i="7"/>
  <c r="F117" i="7" s="1"/>
  <c r="D118" i="7"/>
  <c r="F118" i="7" s="1"/>
  <c r="D119" i="7"/>
  <c r="F119" i="7" s="1"/>
  <c r="D120" i="7"/>
  <c r="F120" i="7" s="1"/>
  <c r="D121" i="7"/>
  <c r="F121" i="7" s="1"/>
  <c r="D122" i="7"/>
  <c r="F122" i="7" s="1"/>
  <c r="D123" i="7"/>
  <c r="F123" i="7" s="1"/>
  <c r="D124" i="7"/>
  <c r="F124" i="7" s="1"/>
  <c r="D125" i="7"/>
  <c r="F125" i="7" s="1"/>
  <c r="D126" i="7"/>
  <c r="F126" i="7" s="1"/>
  <c r="D127" i="7"/>
  <c r="F127" i="7" s="1"/>
  <c r="D128" i="7"/>
  <c r="F128" i="7" s="1"/>
  <c r="D129" i="7"/>
  <c r="F129" i="7" s="1"/>
  <c r="D130" i="7"/>
  <c r="F130" i="7" s="1"/>
  <c r="D131" i="7"/>
  <c r="F131" i="7" s="1"/>
  <c r="D132" i="7"/>
  <c r="F132" i="7" s="1"/>
  <c r="D133" i="7"/>
  <c r="F133" i="7" s="1"/>
  <c r="D134" i="7"/>
  <c r="F134" i="7" s="1"/>
  <c r="D135" i="7"/>
  <c r="F135" i="7" s="1"/>
  <c r="D136" i="7"/>
  <c r="F136" i="7" s="1"/>
  <c r="D137" i="7"/>
  <c r="F137" i="7" s="1"/>
  <c r="D138" i="7"/>
  <c r="F138" i="7" s="1"/>
  <c r="D139" i="7"/>
  <c r="F139" i="7" s="1"/>
  <c r="D140" i="7"/>
  <c r="F140" i="7" s="1"/>
  <c r="D141" i="7"/>
  <c r="F141" i="7" s="1"/>
  <c r="D142" i="7"/>
  <c r="F142" i="7" s="1"/>
  <c r="D143" i="7"/>
  <c r="F143" i="7" s="1"/>
  <c r="D144" i="7"/>
  <c r="F144" i="7" s="1"/>
  <c r="D145" i="7"/>
  <c r="F145" i="7" s="1"/>
  <c r="D146" i="7"/>
  <c r="F146" i="7" s="1"/>
  <c r="D147" i="7"/>
  <c r="F147" i="7" s="1"/>
  <c r="D148" i="7"/>
  <c r="F148" i="7" s="1"/>
  <c r="D149" i="7"/>
  <c r="F149" i="7" s="1"/>
  <c r="D150" i="7"/>
  <c r="F150" i="7" s="1"/>
  <c r="D9" i="7" l="1"/>
  <c r="F9" i="7" s="1"/>
  <c r="AI118" i="1"/>
  <c r="AF114" i="7" s="1"/>
  <c r="AG117" i="1"/>
  <c r="AD113" i="7" s="1"/>
  <c r="AG118" i="1"/>
  <c r="AD114" i="7" s="1"/>
  <c r="D10" i="7"/>
  <c r="F10" i="7" s="1"/>
  <c r="AF118" i="1"/>
  <c r="AC114" i="7" s="1"/>
  <c r="D7" i="7"/>
  <c r="F7" i="7" s="1"/>
  <c r="AF117" i="1"/>
  <c r="AC113" i="7" s="1"/>
  <c r="D8" i="7"/>
  <c r="F8" i="7" s="1"/>
  <c r="D2" i="7"/>
  <c r="D5" i="7"/>
  <c r="F5" i="7" s="1"/>
  <c r="D3" i="7"/>
  <c r="F3" i="7" s="1"/>
  <c r="D6" i="7"/>
  <c r="F6" i="7" s="1"/>
  <c r="B13" i="1"/>
  <c r="B39" i="1"/>
  <c r="B106" i="1"/>
  <c r="B58" i="1"/>
  <c r="B90" i="1"/>
  <c r="B93" i="1"/>
  <c r="B97" i="1"/>
  <c r="B98" i="1"/>
  <c r="B142" i="1"/>
  <c r="B148" i="1"/>
  <c r="B153" i="1"/>
  <c r="B115" i="1"/>
  <c r="B73" i="1"/>
  <c r="B66" i="1"/>
  <c r="B75" i="1"/>
  <c r="B144" i="1"/>
  <c r="B70" i="1"/>
  <c r="B69" i="1"/>
  <c r="B110" i="1"/>
  <c r="B77" i="1"/>
  <c r="B81" i="1"/>
  <c r="B111" i="1"/>
  <c r="B123" i="1"/>
  <c r="B126" i="1"/>
  <c r="B129" i="1"/>
  <c r="B135" i="1"/>
  <c r="B154" i="1"/>
  <c r="B133" i="7" s="1"/>
  <c r="B157" i="1"/>
  <c r="B136" i="7" s="1"/>
  <c r="B162" i="1"/>
  <c r="B141" i="7" s="1"/>
  <c r="B165" i="1"/>
  <c r="B144" i="7" s="1"/>
  <c r="B173" i="1"/>
  <c r="B178" i="1"/>
  <c r="B181" i="1"/>
  <c r="B186" i="1"/>
  <c r="B189" i="1"/>
  <c r="B194" i="1"/>
  <c r="B197" i="1"/>
  <c r="B202" i="1"/>
  <c r="B205" i="1"/>
  <c r="B210" i="1"/>
  <c r="B218" i="1"/>
  <c r="B221" i="1"/>
  <c r="B226" i="1"/>
  <c r="B229" i="1"/>
  <c r="B233" i="1"/>
  <c r="B234" i="1"/>
  <c r="B237" i="1"/>
  <c r="B241" i="1"/>
  <c r="B242" i="1"/>
  <c r="B245" i="1"/>
  <c r="B249" i="1"/>
  <c r="B250" i="1"/>
  <c r="B253" i="1"/>
  <c r="B257" i="1"/>
  <c r="B258" i="1"/>
  <c r="B261" i="1"/>
  <c r="B265" i="1"/>
  <c r="B266" i="1"/>
  <c r="B269" i="1"/>
  <c r="B273" i="1"/>
  <c r="B274" i="1"/>
  <c r="B277" i="1"/>
  <c r="B278" i="1"/>
  <c r="B279"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6" i="1"/>
  <c r="B5" i="7" s="1"/>
  <c r="B7" i="1"/>
  <c r="B6" i="7" s="1"/>
  <c r="B3" i="1"/>
  <c r="B2" i="7" s="1"/>
  <c r="B14" i="1"/>
  <c r="B15" i="1"/>
  <c r="B16" i="1"/>
  <c r="B17" i="1"/>
  <c r="B30" i="1"/>
  <c r="B31" i="1"/>
  <c r="B29" i="1"/>
  <c r="B38" i="1"/>
  <c r="B36" i="1"/>
  <c r="B37" i="1"/>
  <c r="B55" i="1"/>
  <c r="B56" i="1"/>
  <c r="B108" i="1"/>
  <c r="B57" i="1"/>
  <c r="B89" i="1"/>
  <c r="B59" i="1"/>
  <c r="B113" i="1"/>
  <c r="B91" i="1"/>
  <c r="B67" i="1"/>
  <c r="B92" i="1"/>
  <c r="B94" i="1"/>
  <c r="B60" i="1"/>
  <c r="B61" i="1"/>
  <c r="B95" i="1"/>
  <c r="B62" i="1"/>
  <c r="B96" i="1"/>
  <c r="B52" i="1"/>
  <c r="B145" i="1"/>
  <c r="B146" i="1"/>
  <c r="B136" i="1"/>
  <c r="B137" i="1"/>
  <c r="B150" i="1"/>
  <c r="B129" i="7" s="1"/>
  <c r="B149" i="1"/>
  <c r="B151" i="1"/>
  <c r="B152" i="1"/>
  <c r="B131" i="7" s="1"/>
  <c r="B63" i="1"/>
  <c r="B105" i="1"/>
  <c r="B107" i="1"/>
  <c r="B143" i="1"/>
  <c r="B4" i="1"/>
  <c r="B3" i="7" s="1"/>
  <c r="B64" i="1"/>
  <c r="B101" i="1"/>
  <c r="B102" i="1"/>
  <c r="B72" i="1"/>
  <c r="B103" i="1"/>
  <c r="B65" i="1"/>
  <c r="B74" i="1"/>
  <c r="B8" i="1"/>
  <c r="B7" i="7" s="1"/>
  <c r="B9" i="1"/>
  <c r="B8" i="7" s="1"/>
  <c r="B116" i="1"/>
  <c r="B11" i="1"/>
  <c r="B12" i="1"/>
  <c r="B99" i="1"/>
  <c r="B71" i="1"/>
  <c r="B18" i="1"/>
  <c r="B104" i="1"/>
  <c r="B119" i="1"/>
  <c r="B68" i="1"/>
  <c r="B114" i="1"/>
  <c r="B10" i="1"/>
  <c r="B32" i="1"/>
  <c r="B33" i="1"/>
  <c r="B109" i="1"/>
  <c r="B19" i="1"/>
  <c r="B76" i="1"/>
  <c r="B78" i="1"/>
  <c r="B53" i="1"/>
  <c r="B79" i="1"/>
  <c r="B80" i="1"/>
  <c r="B120" i="1"/>
  <c r="B121" i="1"/>
  <c r="B82" i="1"/>
  <c r="B21" i="1"/>
  <c r="B112" i="1"/>
  <c r="B122" i="1"/>
  <c r="B124" i="1"/>
  <c r="B125" i="1"/>
  <c r="B83" i="1"/>
  <c r="B84" i="1"/>
  <c r="B85" i="1"/>
  <c r="B86" i="1"/>
  <c r="B127" i="1"/>
  <c r="B128" i="1"/>
  <c r="B119" i="7" s="1"/>
  <c r="B130" i="1"/>
  <c r="B121" i="7" s="1"/>
  <c r="B131" i="1"/>
  <c r="B132" i="1"/>
  <c r="B133" i="1"/>
  <c r="B134" i="1"/>
  <c r="B35" i="1"/>
  <c r="B87" i="1"/>
  <c r="B88" i="1"/>
  <c r="B155" i="1"/>
  <c r="B134" i="7" s="1"/>
  <c r="B156" i="1"/>
  <c r="B135" i="7" s="1"/>
  <c r="B158" i="1"/>
  <c r="B137" i="7" s="1"/>
  <c r="B159" i="1"/>
  <c r="B138" i="7" s="1"/>
  <c r="B160" i="1"/>
  <c r="B139" i="7" s="1"/>
  <c r="B161" i="1"/>
  <c r="B140" i="7" s="1"/>
  <c r="B163" i="1"/>
  <c r="B142" i="7" s="1"/>
  <c r="B164" i="1"/>
  <c r="B143" i="7" s="1"/>
  <c r="B166" i="1"/>
  <c r="B145" i="7" s="1"/>
  <c r="B167" i="1"/>
  <c r="B146" i="7" s="1"/>
  <c r="B168" i="1"/>
  <c r="B147" i="7" s="1"/>
  <c r="B169" i="1"/>
  <c r="B148" i="7" s="1"/>
  <c r="B170" i="1"/>
  <c r="B149" i="7" s="1"/>
  <c r="B171" i="1"/>
  <c r="B150" i="7" s="1"/>
  <c r="B172" i="1"/>
  <c r="B174" i="1"/>
  <c r="B175" i="1"/>
  <c r="B176" i="1"/>
  <c r="B177" i="1"/>
  <c r="B179" i="1"/>
  <c r="B180" i="1"/>
  <c r="B182" i="1"/>
  <c r="B183" i="1"/>
  <c r="B184" i="1"/>
  <c r="B185" i="1"/>
  <c r="B187" i="1"/>
  <c r="B188" i="1"/>
  <c r="B190" i="1"/>
  <c r="B191" i="1"/>
  <c r="B192" i="1"/>
  <c r="B193" i="1"/>
  <c r="B196" i="1"/>
  <c r="B198" i="1"/>
  <c r="B199" i="1"/>
  <c r="B200" i="1"/>
  <c r="B201" i="1"/>
  <c r="B204" i="1"/>
  <c r="B206" i="1"/>
  <c r="B208" i="1"/>
  <c r="B209" i="1"/>
  <c r="B214" i="1"/>
  <c r="B216" i="1"/>
  <c r="B219" i="1"/>
  <c r="B220" i="1"/>
  <c r="B222" i="1"/>
  <c r="B223" i="1"/>
  <c r="B225" i="1"/>
  <c r="B227" i="1"/>
  <c r="B228" i="1"/>
  <c r="B230" i="1"/>
  <c r="B231" i="1"/>
  <c r="B232" i="1"/>
  <c r="B235" i="1"/>
  <c r="B236" i="1"/>
  <c r="B238" i="1"/>
  <c r="B239" i="1"/>
  <c r="B240" i="1"/>
  <c r="B243" i="1"/>
  <c r="B244" i="1"/>
  <c r="B246" i="1"/>
  <c r="B247" i="1"/>
  <c r="B248" i="1"/>
  <c r="B251" i="1"/>
  <c r="B252" i="1"/>
  <c r="B254" i="1"/>
  <c r="B255" i="1"/>
  <c r="B256" i="1"/>
  <c r="B259" i="1"/>
  <c r="B260" i="1"/>
  <c r="B262" i="1"/>
  <c r="B263" i="1"/>
  <c r="B264" i="1"/>
  <c r="B267" i="1"/>
  <c r="B268" i="1"/>
  <c r="B270" i="1"/>
  <c r="B271" i="1"/>
  <c r="B272" i="1"/>
  <c r="B275" i="1"/>
  <c r="B276" i="1"/>
  <c r="B280" i="1"/>
  <c r="B124" i="7" l="1"/>
  <c r="B98" i="7"/>
  <c r="B94" i="7"/>
  <c r="B125" i="7"/>
  <c r="B105" i="7"/>
  <c r="B103" i="7"/>
  <c r="B132" i="7"/>
  <c r="B128" i="7"/>
  <c r="B108" i="7"/>
  <c r="B114" i="7"/>
  <c r="B118" i="7"/>
  <c r="B107" i="7"/>
  <c r="B130" i="7"/>
  <c r="B112" i="7"/>
  <c r="B104" i="7"/>
  <c r="B106" i="7"/>
  <c r="B115" i="7"/>
  <c r="B110" i="7"/>
  <c r="B123" i="7"/>
  <c r="B117" i="7"/>
  <c r="B92" i="7"/>
  <c r="B126" i="7"/>
  <c r="B127" i="7"/>
  <c r="B120" i="7"/>
  <c r="B113" i="7"/>
  <c r="B102" i="7"/>
  <c r="B122" i="7"/>
  <c r="B116" i="7"/>
  <c r="B111" i="7"/>
  <c r="B100" i="7"/>
  <c r="B99" i="7"/>
  <c r="B109" i="7"/>
  <c r="B101" i="7"/>
  <c r="B97" i="7"/>
  <c r="B95" i="7"/>
  <c r="B96" i="7"/>
  <c r="B93" i="7"/>
  <c r="B91" i="7"/>
  <c r="B90" i="7"/>
  <c r="D86" i="7"/>
  <c r="F86" i="7" s="1"/>
  <c r="B87" i="7"/>
  <c r="B9" i="7"/>
  <c r="D87" i="7"/>
  <c r="F87" i="7" s="1"/>
  <c r="B89" i="7"/>
  <c r="B28" i="7"/>
  <c r="D62" i="7"/>
  <c r="F62" i="7" s="1"/>
  <c r="D88" i="7"/>
  <c r="F88" i="7" s="1"/>
  <c r="D89" i="7"/>
  <c r="F89" i="7" s="1"/>
  <c r="B86" i="7"/>
  <c r="B69" i="7"/>
  <c r="B88" i="7"/>
  <c r="D85" i="7"/>
  <c r="F85" i="7" s="1"/>
  <c r="B85" i="7"/>
  <c r="B83" i="7"/>
  <c r="D65" i="7"/>
  <c r="F65" i="7" s="1"/>
  <c r="D84" i="7"/>
  <c r="F84" i="7" s="1"/>
  <c r="B81" i="7"/>
  <c r="B68" i="7"/>
  <c r="B43" i="7"/>
  <c r="B61" i="7"/>
  <c r="D81" i="7"/>
  <c r="F81" i="7" s="1"/>
  <c r="D61" i="7"/>
  <c r="F61" i="7" s="1"/>
  <c r="B53" i="7"/>
  <c r="B82" i="7"/>
  <c r="D80" i="7"/>
  <c r="F80" i="7" s="1"/>
  <c r="D82" i="7"/>
  <c r="F82" i="7" s="1"/>
  <c r="B84" i="7"/>
  <c r="D26" i="7"/>
  <c r="F26" i="7" s="1"/>
  <c r="B62" i="7"/>
  <c r="B67" i="7"/>
  <c r="B41" i="7"/>
  <c r="B80" i="7"/>
  <c r="B70" i="7"/>
  <c r="D67" i="7"/>
  <c r="F67" i="7" s="1"/>
  <c r="D79" i="7"/>
  <c r="F79" i="7" s="1"/>
  <c r="D74" i="7"/>
  <c r="F74" i="7" s="1"/>
  <c r="D73" i="7"/>
  <c r="F73" i="7" s="1"/>
  <c r="D83" i="7"/>
  <c r="F83" i="7" s="1"/>
  <c r="B57" i="7"/>
  <c r="B71" i="7"/>
  <c r="B34" i="7"/>
  <c r="B32" i="7"/>
  <c r="B44" i="7"/>
  <c r="B19" i="7"/>
  <c r="B12" i="7"/>
  <c r="B64" i="7"/>
  <c r="B26" i="7"/>
  <c r="B16" i="7"/>
  <c r="D23" i="7"/>
  <c r="F23" i="7" s="1"/>
  <c r="D59" i="7"/>
  <c r="F59" i="7" s="1"/>
  <c r="B11" i="7"/>
  <c r="B75" i="7"/>
  <c r="D46" i="7"/>
  <c r="F46" i="7" s="1"/>
  <c r="D31" i="7"/>
  <c r="F31" i="7" s="1"/>
  <c r="D70" i="7"/>
  <c r="F70" i="7" s="1"/>
  <c r="B51" i="7"/>
  <c r="D49" i="7"/>
  <c r="F49" i="7" s="1"/>
  <c r="D12" i="7"/>
  <c r="F12" i="7" s="1"/>
  <c r="B55" i="7"/>
  <c r="B38" i="7"/>
  <c r="B76" i="7"/>
  <c r="B48" i="7"/>
  <c r="B29" i="7"/>
  <c r="B73" i="7"/>
  <c r="B46" i="7"/>
  <c r="B21" i="7"/>
  <c r="D38" i="7"/>
  <c r="F38" i="7" s="1"/>
  <c r="D57" i="7"/>
  <c r="F57" i="7" s="1"/>
  <c r="D20" i="7"/>
  <c r="F20" i="7" s="1"/>
  <c r="D53" i="7"/>
  <c r="F53" i="7" s="1"/>
  <c r="D21" i="7"/>
  <c r="F21" i="7" s="1"/>
  <c r="D37" i="7"/>
  <c r="F37" i="7" s="1"/>
  <c r="D76" i="7"/>
  <c r="F76" i="7" s="1"/>
  <c r="D44" i="7"/>
  <c r="F44" i="7" s="1"/>
  <c r="D40" i="7"/>
  <c r="F40" i="7" s="1"/>
  <c r="B39" i="7"/>
  <c r="B77" i="7"/>
  <c r="B22" i="7"/>
  <c r="B30" i="7"/>
  <c r="B36" i="7"/>
  <c r="B17" i="7"/>
  <c r="B13" i="7"/>
  <c r="B49" i="7"/>
  <c r="D63" i="7"/>
  <c r="F63" i="7" s="1"/>
  <c r="D41" i="7"/>
  <c r="F41" i="7" s="1"/>
  <c r="D32" i="7"/>
  <c r="F32" i="7" s="1"/>
  <c r="D35" i="7"/>
  <c r="F35" i="7" s="1"/>
  <c r="B23" i="7"/>
  <c r="B78" i="7"/>
  <c r="D14" i="7"/>
  <c r="F14" i="7" s="1"/>
  <c r="D51" i="7"/>
  <c r="F51" i="7" s="1"/>
  <c r="B59" i="7"/>
  <c r="B60" i="7"/>
  <c r="D39" i="7"/>
  <c r="F39" i="7" s="1"/>
  <c r="D75" i="7"/>
  <c r="F75" i="7" s="1"/>
  <c r="D36" i="7"/>
  <c r="F36" i="7" s="1"/>
  <c r="D52" i="7"/>
  <c r="F52" i="7" s="1"/>
  <c r="B58" i="7"/>
  <c r="D27" i="7"/>
  <c r="F27" i="7" s="1"/>
  <c r="D42" i="7"/>
  <c r="F42" i="7" s="1"/>
  <c r="D71" i="7"/>
  <c r="F71" i="7" s="1"/>
  <c r="B33" i="7"/>
  <c r="B52" i="7"/>
  <c r="B74" i="7"/>
  <c r="B63" i="7"/>
  <c r="B31" i="7"/>
  <c r="B45" i="7"/>
  <c r="B25" i="7"/>
  <c r="B18" i="7"/>
  <c r="B15" i="7"/>
  <c r="B56" i="7"/>
  <c r="B42" i="7"/>
  <c r="B10" i="7"/>
  <c r="D54" i="7"/>
  <c r="F54" i="7" s="1"/>
  <c r="D18" i="7"/>
  <c r="F18" i="7" s="1"/>
  <c r="D45" i="7"/>
  <c r="F45" i="7" s="1"/>
  <c r="D55" i="7"/>
  <c r="F55" i="7" s="1"/>
  <c r="D77" i="7"/>
  <c r="F77" i="7" s="1"/>
  <c r="D19" i="7"/>
  <c r="F19" i="7" s="1"/>
  <c r="D29" i="7"/>
  <c r="F29" i="7" s="1"/>
  <c r="D56" i="7"/>
  <c r="F56" i="7" s="1"/>
  <c r="D58" i="7"/>
  <c r="F58" i="7" s="1"/>
  <c r="D22" i="7"/>
  <c r="F22" i="7" s="1"/>
  <c r="D30" i="7"/>
  <c r="F30" i="7" s="1"/>
  <c r="D66" i="7"/>
  <c r="F66" i="7" s="1"/>
  <c r="D60" i="7"/>
  <c r="F60" i="7" s="1"/>
  <c r="B65" i="7"/>
  <c r="B66" i="7"/>
  <c r="B40" i="7"/>
  <c r="D13" i="7"/>
  <c r="F13" i="7" s="1"/>
  <c r="D50" i="7"/>
  <c r="F50" i="7" s="1"/>
  <c r="D64" i="7"/>
  <c r="F64" i="7" s="1"/>
  <c r="D28" i="7"/>
  <c r="F28" i="7" s="1"/>
  <c r="B35" i="7"/>
  <c r="D15" i="7"/>
  <c r="F15" i="7" s="1"/>
  <c r="D33" i="7"/>
  <c r="F33" i="7" s="1"/>
  <c r="D16" i="7"/>
  <c r="F16" i="7" s="1"/>
  <c r="D43" i="7"/>
  <c r="F43" i="7" s="1"/>
  <c r="D17" i="7"/>
  <c r="F17" i="7" s="1"/>
  <c r="B79" i="7"/>
  <c r="B47" i="7"/>
  <c r="B37" i="7"/>
  <c r="B24" i="7"/>
  <c r="B20" i="7"/>
  <c r="B14" i="7"/>
  <c r="B72" i="7"/>
  <c r="B54" i="7"/>
  <c r="B50" i="7"/>
  <c r="B27" i="7"/>
  <c r="D34" i="7"/>
  <c r="F34" i="7" s="1"/>
  <c r="D47" i="7"/>
  <c r="F47" i="7" s="1"/>
  <c r="D68" i="7"/>
  <c r="F68" i="7" s="1"/>
  <c r="D24" i="7"/>
  <c r="F24" i="7" s="1"/>
  <c r="D69" i="7"/>
  <c r="F69" i="7" s="1"/>
  <c r="D11" i="7"/>
  <c r="F11" i="7" s="1"/>
  <c r="D25" i="7"/>
  <c r="F25" i="7" s="1"/>
  <c r="D48" i="7"/>
  <c r="F48" i="7" s="1"/>
  <c r="D78" i="7"/>
  <c r="F78" i="7" s="1"/>
  <c r="D72" i="7"/>
  <c r="F72" i="7" s="1"/>
  <c r="Y118" i="1"/>
  <c r="W114" i="7" s="1"/>
  <c r="Y117" i="1"/>
  <c r="W113" i="7" s="1"/>
  <c r="AI153" i="1"/>
  <c r="AF149" i="7" s="1"/>
  <c r="AI152" i="1"/>
  <c r="AF148" i="7" s="1"/>
  <c r="AI151" i="1"/>
  <c r="AF147" i="7" s="1"/>
  <c r="AI149" i="1"/>
  <c r="AF145" i="7" s="1"/>
  <c r="AI150" i="1"/>
  <c r="AF146" i="7" s="1"/>
  <c r="AI148" i="1"/>
  <c r="AF144" i="7" s="1"/>
  <c r="AI137" i="1"/>
  <c r="AF133" i="7" s="1"/>
  <c r="AI136" i="1"/>
  <c r="AF132" i="7" s="1"/>
  <c r="AI142" i="1"/>
  <c r="AF138" i="7" s="1"/>
  <c r="AI146" i="1"/>
  <c r="AF142" i="7" s="1"/>
  <c r="AI145" i="1"/>
  <c r="AF141" i="7" s="1"/>
  <c r="AI141" i="1"/>
  <c r="AF137" i="7" s="1"/>
  <c r="AI140" i="1"/>
  <c r="AF136" i="7" s="1"/>
  <c r="AI139" i="1"/>
  <c r="AF135" i="7" s="1"/>
  <c r="AI138" i="1"/>
  <c r="AF134" i="7" s="1"/>
  <c r="AI52" i="1"/>
  <c r="AF49" i="7" s="1"/>
  <c r="AI37" i="1"/>
  <c r="AF34" i="7" s="1"/>
  <c r="AI36" i="1"/>
  <c r="AF33" i="7" s="1"/>
  <c r="AI39" i="1"/>
  <c r="AF36" i="7" s="1"/>
  <c r="AI38" i="1"/>
  <c r="AF35" i="7" s="1"/>
  <c r="AI29" i="1"/>
  <c r="AF26" i="7" s="1"/>
  <c r="AI31" i="1"/>
  <c r="AF28" i="7" s="1"/>
  <c r="AI30" i="1"/>
  <c r="AF27" i="7" s="1"/>
  <c r="AI13" i="1"/>
  <c r="AF12" i="7" s="1"/>
  <c r="AI17" i="1"/>
  <c r="AF16" i="7" s="1"/>
  <c r="AI16" i="1"/>
  <c r="AF15" i="7" s="1"/>
  <c r="AI15" i="1"/>
  <c r="AF14" i="7" s="1"/>
  <c r="AI14" i="1"/>
  <c r="AF13" i="7" s="1"/>
  <c r="AI3" i="1"/>
  <c r="AF2" i="7" s="1"/>
  <c r="AI7" i="1"/>
  <c r="AF6" i="7" s="1"/>
  <c r="AI6" i="1"/>
  <c r="AF5" i="7" s="1"/>
  <c r="J117" i="1" l="1"/>
  <c r="J118" i="1"/>
  <c r="E2" i="7"/>
  <c r="F2" i="7" l="1"/>
  <c r="G2" i="7"/>
  <c r="B1" i="7"/>
  <c r="C1" i="7"/>
  <c r="D1" i="7"/>
  <c r="E1" i="7"/>
  <c r="A1" i="7"/>
  <c r="AI106" i="1"/>
  <c r="AF102" i="7" s="1"/>
  <c r="AI55" i="1"/>
  <c r="AF52" i="7" s="1"/>
  <c r="AI56" i="1"/>
  <c r="AF53" i="7" s="1"/>
  <c r="AI108" i="1"/>
  <c r="AF104" i="7" s="1"/>
  <c r="AI89" i="1"/>
  <c r="AF86" i="7" s="1"/>
  <c r="AI63" i="1"/>
  <c r="AF60" i="7" s="1"/>
  <c r="AI59" i="1"/>
  <c r="AF56" i="7" s="1"/>
  <c r="AI90" i="1"/>
  <c r="AF87" i="7" s="1"/>
  <c r="AI113" i="1"/>
  <c r="AF109" i="7" s="1"/>
  <c r="AI91" i="1"/>
  <c r="AF88" i="7" s="1"/>
  <c r="AI67" i="1"/>
  <c r="AF64" i="7" s="1"/>
  <c r="AI92" i="1"/>
  <c r="AF89" i="7" s="1"/>
  <c r="AI94" i="1"/>
  <c r="AF91" i="7" s="1"/>
  <c r="AI60" i="1"/>
  <c r="AF57" i="7" s="1"/>
  <c r="AI61" i="1"/>
  <c r="AF58" i="7" s="1"/>
  <c r="AI105" i="1"/>
  <c r="AF101" i="7" s="1"/>
  <c r="AI115" i="1"/>
  <c r="AF111" i="7" s="1"/>
  <c r="AI57" i="1"/>
  <c r="AF54" i="7" s="1"/>
  <c r="AI58" i="1"/>
  <c r="AF55" i="7" s="1"/>
  <c r="AI62" i="1"/>
  <c r="AF59" i="7" s="1"/>
  <c r="AI97" i="1"/>
  <c r="AF94" i="7" s="1"/>
  <c r="AI98" i="1"/>
  <c r="AF95" i="7" s="1"/>
  <c r="AI4" i="1"/>
  <c r="AF3" i="7" s="1"/>
  <c r="AI73" i="1"/>
  <c r="AF70" i="7" s="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80" i="1"/>
  <c r="AI284" i="1"/>
  <c r="AI288" i="1"/>
  <c r="AI292" i="1"/>
  <c r="AI296" i="1"/>
  <c r="AI300" i="1"/>
  <c r="AI304" i="1"/>
  <c r="AI308" i="1"/>
  <c r="AI312" i="1"/>
  <c r="AI316" i="1"/>
  <c r="BH2" i="7"/>
  <c r="BI2" i="7"/>
  <c r="AV5" i="1" l="1"/>
  <c r="AS4" i="7" s="1"/>
  <c r="AI168" i="1"/>
  <c r="AI166" i="1"/>
  <c r="AI164" i="1"/>
  <c r="AI162" i="1"/>
  <c r="AI160" i="1"/>
  <c r="AI158" i="1"/>
  <c r="AI156" i="1"/>
  <c r="AI154" i="1"/>
  <c r="AF150" i="7" s="1"/>
  <c r="AI87" i="1"/>
  <c r="AF84" i="7" s="1"/>
  <c r="AI134" i="1"/>
  <c r="AF130" i="7" s="1"/>
  <c r="AI132" i="1"/>
  <c r="AF128" i="7" s="1"/>
  <c r="AI130" i="1"/>
  <c r="AF126" i="7" s="1"/>
  <c r="AI126" i="1"/>
  <c r="AF122" i="7" s="1"/>
  <c r="AI85" i="1"/>
  <c r="AF82" i="7" s="1"/>
  <c r="AI83" i="1"/>
  <c r="AF80" i="7" s="1"/>
  <c r="AI125" i="1"/>
  <c r="AF121" i="7" s="1"/>
  <c r="AI123" i="1"/>
  <c r="AF119" i="7" s="1"/>
  <c r="AI112" i="1"/>
  <c r="AF108" i="7" s="1"/>
  <c r="AI82" i="1"/>
  <c r="AF79" i="7" s="1"/>
  <c r="AI79" i="1"/>
  <c r="AF76" i="7" s="1"/>
  <c r="AI78" i="1"/>
  <c r="AF75" i="7" s="1"/>
  <c r="AI76" i="1"/>
  <c r="AF73" i="7" s="1"/>
  <c r="AI110" i="1"/>
  <c r="AF106" i="7" s="1"/>
  <c r="AI33" i="1"/>
  <c r="AF30" i="7" s="1"/>
  <c r="AI99" i="1"/>
  <c r="AF96" i="7" s="1"/>
  <c r="AI12" i="1"/>
  <c r="AF11" i="7" s="1"/>
  <c r="AI144" i="1"/>
  <c r="AF140" i="7" s="1"/>
  <c r="AI74" i="1"/>
  <c r="AF71" i="7" s="1"/>
  <c r="AI72" i="1"/>
  <c r="AF69" i="7" s="1"/>
  <c r="AI102" i="1"/>
  <c r="AF98" i="7" s="1"/>
  <c r="AI101" i="1"/>
  <c r="AF97" i="7" s="1"/>
  <c r="AI64" i="1"/>
  <c r="AF61" i="7" s="1"/>
  <c r="AI107" i="1"/>
  <c r="AF103" i="7" s="1"/>
  <c r="AI96" i="1"/>
  <c r="AF93" i="7" s="1"/>
  <c r="AI95" i="1"/>
  <c r="AF92" i="7" s="1"/>
  <c r="AI93" i="1"/>
  <c r="AF90" i="7" s="1"/>
  <c r="AI318" i="1"/>
  <c r="AI314" i="1"/>
  <c r="AI310" i="1"/>
  <c r="AI306" i="1"/>
  <c r="AI302" i="1"/>
  <c r="AI298" i="1"/>
  <c r="AI294" i="1"/>
  <c r="AI290" i="1"/>
  <c r="AI286" i="1"/>
  <c r="AI282" i="1"/>
  <c r="AI278" i="1"/>
  <c r="AI315" i="1"/>
  <c r="AI311" i="1"/>
  <c r="AI307" i="1"/>
  <c r="AI303" i="1"/>
  <c r="AI299" i="1"/>
  <c r="AI295" i="1"/>
  <c r="AI291" i="1"/>
  <c r="AI287" i="1"/>
  <c r="AI283" i="1"/>
  <c r="AI279" i="1"/>
  <c r="AI317" i="1"/>
  <c r="AI313" i="1"/>
  <c r="AI309" i="1"/>
  <c r="AI305" i="1"/>
  <c r="AI301" i="1"/>
  <c r="AI297" i="1"/>
  <c r="AI293" i="1"/>
  <c r="AI289" i="1"/>
  <c r="AI285" i="1"/>
  <c r="AI281" i="1"/>
  <c r="AI65" i="1" l="1"/>
  <c r="AF62" i="7" s="1"/>
  <c r="AI75" i="1"/>
  <c r="AF72" i="7" s="1"/>
  <c r="AI66" i="1"/>
  <c r="AF63" i="7" s="1"/>
  <c r="AI9" i="1"/>
  <c r="AF8" i="7" s="1"/>
  <c r="AI116" i="1"/>
  <c r="AF112" i="7" s="1"/>
  <c r="AI11" i="1"/>
  <c r="AF10" i="7" s="1"/>
  <c r="AI70" i="1"/>
  <c r="AF67" i="7" s="1"/>
  <c r="AI71" i="1"/>
  <c r="AF68" i="7" s="1"/>
  <c r="AI104" i="1"/>
  <c r="AF100" i="7" s="1"/>
  <c r="AI68" i="1"/>
  <c r="AF65" i="7" s="1"/>
  <c r="AI69" i="1"/>
  <c r="AF66" i="7" s="1"/>
  <c r="AI32" i="1"/>
  <c r="AF29" i="7" s="1"/>
  <c r="AI109" i="1"/>
  <c r="AF105" i="7" s="1"/>
  <c r="AI19" i="1"/>
  <c r="AF18" i="7" s="1"/>
  <c r="AI77" i="1"/>
  <c r="AF74" i="7" s="1"/>
  <c r="AI53" i="1"/>
  <c r="AF50" i="7" s="1"/>
  <c r="AI80" i="1"/>
  <c r="AF77" i="7" s="1"/>
  <c r="AI120" i="1"/>
  <c r="AF116" i="7" s="1"/>
  <c r="AI111" i="1"/>
  <c r="AI21" i="1"/>
  <c r="AF20" i="7" s="1"/>
  <c r="AI122" i="1"/>
  <c r="AF118" i="7" s="1"/>
  <c r="AI124" i="1"/>
  <c r="AF120" i="7" s="1"/>
  <c r="AI20" i="1"/>
  <c r="AF19" i="7" s="1"/>
  <c r="AI84" i="1"/>
  <c r="AF81" i="7" s="1"/>
  <c r="AI86" i="1"/>
  <c r="AF83" i="7" s="1"/>
  <c r="AI127" i="1"/>
  <c r="AF123" i="7" s="1"/>
  <c r="AI129" i="1"/>
  <c r="AF125" i="7" s="1"/>
  <c r="AI131" i="1"/>
  <c r="AF127" i="7" s="1"/>
  <c r="AI133" i="1"/>
  <c r="AF129" i="7" s="1"/>
  <c r="AI135" i="1"/>
  <c r="AF131" i="7" s="1"/>
  <c r="AI88" i="1"/>
  <c r="AF85" i="7" s="1"/>
  <c r="AI155" i="1"/>
  <c r="AI157" i="1"/>
  <c r="AI159" i="1"/>
  <c r="AI161" i="1"/>
  <c r="AI163" i="1"/>
  <c r="AI165" i="1"/>
  <c r="AI167" i="1"/>
  <c r="AI169" i="1"/>
  <c r="AI103" i="1"/>
  <c r="AF99" i="7" s="1"/>
  <c r="AI143" i="1"/>
  <c r="AF139" i="7" s="1"/>
  <c r="AI8" i="1"/>
  <c r="AF7" i="7" s="1"/>
  <c r="AI18" i="1"/>
  <c r="AF17" i="7" s="1"/>
  <c r="AI119" i="1"/>
  <c r="AF115" i="7" s="1"/>
  <c r="AI114" i="1"/>
  <c r="AF110" i="7" s="1"/>
  <c r="AI10" i="1"/>
  <c r="AF9" i="7" s="1"/>
  <c r="AI81" i="1"/>
  <c r="AF78" i="7" s="1"/>
  <c r="AI121" i="1"/>
  <c r="AF117" i="7" s="1"/>
  <c r="AI128" i="1"/>
  <c r="AF124" i="7" s="1"/>
  <c r="AF107" i="7" l="1"/>
  <c r="D4" i="7"/>
  <c r="F4" i="7" s="1"/>
  <c r="B5" i="1"/>
  <c r="B4" i="7" s="1"/>
  <c r="AP136" i="1" l="1"/>
  <c r="AM132" i="7" s="1"/>
  <c r="AP137" i="1"/>
  <c r="AM133" i="7" s="1"/>
  <c r="AP151" i="1"/>
  <c r="AM147" i="7" s="1"/>
  <c r="AP152" i="1"/>
  <c r="AM148" i="7" s="1"/>
  <c r="AP153" i="1"/>
  <c r="AM149" i="7" s="1"/>
  <c r="AP96" i="1"/>
  <c r="AM93" i="7" s="1"/>
  <c r="AP97" i="1"/>
  <c r="AM94" i="7" s="1"/>
  <c r="AP98" i="1"/>
  <c r="AM95" i="7" s="1"/>
  <c r="AP107" i="1"/>
  <c r="AM103" i="7" s="1"/>
  <c r="AP143" i="1"/>
  <c r="AM139" i="7" s="1"/>
  <c r="AP4" i="1"/>
  <c r="AM3" i="7" s="1"/>
  <c r="AP64" i="1"/>
  <c r="AM61" i="7" s="1"/>
  <c r="AP101" i="1"/>
  <c r="AM97" i="7" s="1"/>
  <c r="AP102" i="1"/>
  <c r="AM98" i="7" s="1"/>
  <c r="AP72" i="1"/>
  <c r="AM69" i="7" s="1"/>
  <c r="AP73" i="1"/>
  <c r="AM70" i="7" s="1"/>
  <c r="AP103" i="1"/>
  <c r="AM99" i="7" s="1"/>
  <c r="AP65" i="1"/>
  <c r="AM62" i="7" s="1"/>
  <c r="AP74" i="1"/>
  <c r="AM71" i="7" s="1"/>
  <c r="AP66" i="1"/>
  <c r="AM63" i="7" s="1"/>
  <c r="AP8" i="1"/>
  <c r="AM7" i="7" s="1"/>
  <c r="AP9" i="1"/>
  <c r="AM8" i="7" s="1"/>
  <c r="AP75" i="1"/>
  <c r="AM72" i="7" s="1"/>
  <c r="AP116" i="1"/>
  <c r="AM112" i="7" s="1"/>
  <c r="AP144" i="1"/>
  <c r="AM140" i="7" s="1"/>
  <c r="AP11" i="1"/>
  <c r="AM10" i="7" s="1"/>
  <c r="AP12" i="1"/>
  <c r="AM11" i="7" s="1"/>
  <c r="AP70" i="1"/>
  <c r="AM67" i="7" s="1"/>
  <c r="AP99" i="1"/>
  <c r="AM96" i="7" s="1"/>
  <c r="AP71" i="1"/>
  <c r="AM68" i="7" s="1"/>
  <c r="AP18" i="1"/>
  <c r="AM17" i="7" s="1"/>
  <c r="AP104" i="1"/>
  <c r="AM100" i="7" s="1"/>
  <c r="AP119" i="1"/>
  <c r="AM115" i="7" s="1"/>
  <c r="AP68" i="1"/>
  <c r="AM65" i="7" s="1"/>
  <c r="AP114" i="1"/>
  <c r="AM110" i="7" s="1"/>
  <c r="AP69" i="1"/>
  <c r="AM66" i="7" s="1"/>
  <c r="AP10" i="1"/>
  <c r="AM9" i="7" s="1"/>
  <c r="AP32" i="1"/>
  <c r="AM29" i="7" s="1"/>
  <c r="AP33" i="1"/>
  <c r="AM30" i="7" s="1"/>
  <c r="AP109" i="1"/>
  <c r="AM105" i="7" s="1"/>
  <c r="AP110" i="1"/>
  <c r="AM106" i="7" s="1"/>
  <c r="AP19" i="1"/>
  <c r="AM18" i="7" s="1"/>
  <c r="AP76" i="1"/>
  <c r="AM73" i="7" s="1"/>
  <c r="AP77" i="1"/>
  <c r="AM74" i="7" s="1"/>
  <c r="AP78" i="1"/>
  <c r="AM75" i="7" s="1"/>
  <c r="AP53" i="1"/>
  <c r="AM50" i="7" s="1"/>
  <c r="AP79" i="1"/>
  <c r="AM76" i="7" s="1"/>
  <c r="AP80" i="1"/>
  <c r="AM77" i="7" s="1"/>
  <c r="AP81" i="1"/>
  <c r="AM78" i="7" s="1"/>
  <c r="AP120" i="1"/>
  <c r="AM116" i="7" s="1"/>
  <c r="AP121" i="1"/>
  <c r="AM117" i="7" s="1"/>
  <c r="AP111" i="1"/>
  <c r="AM107" i="7" s="1"/>
  <c r="AP82" i="1"/>
  <c r="AM79" i="7" s="1"/>
  <c r="AP21" i="1"/>
  <c r="AM20" i="7" s="1"/>
  <c r="AP112" i="1"/>
  <c r="AM108" i="7" s="1"/>
  <c r="AP122" i="1"/>
  <c r="AM118" i="7" s="1"/>
  <c r="AP123" i="1"/>
  <c r="AM119" i="7" s="1"/>
  <c r="AP124" i="1"/>
  <c r="AM120" i="7" s="1"/>
  <c r="AP125" i="1"/>
  <c r="AM121" i="7" s="1"/>
  <c r="AP20" i="1"/>
  <c r="AM19" i="7" s="1"/>
  <c r="AP83" i="1"/>
  <c r="AM80" i="7" s="1"/>
  <c r="AP84" i="1"/>
  <c r="AM81" i="7" s="1"/>
  <c r="AP85" i="1"/>
  <c r="AM82" i="7" s="1"/>
  <c r="AP86" i="1"/>
  <c r="AM83" i="7" s="1"/>
  <c r="AC126" i="1"/>
  <c r="AA122" i="7" s="1"/>
  <c r="AP126" i="1"/>
  <c r="AM122" i="7" s="1"/>
  <c r="AP127" i="1"/>
  <c r="AM123" i="7" s="1"/>
  <c r="AP128" i="1"/>
  <c r="AM124" i="7" s="1"/>
  <c r="AP129" i="1"/>
  <c r="AM125" i="7" s="1"/>
  <c r="AP130" i="1"/>
  <c r="AM126" i="7" s="1"/>
  <c r="AP131" i="1"/>
  <c r="AM127" i="7" s="1"/>
  <c r="AP132" i="1"/>
  <c r="AM128" i="7" s="1"/>
  <c r="AP133" i="1"/>
  <c r="AM129" i="7" s="1"/>
  <c r="AP134" i="1"/>
  <c r="AM130" i="7" s="1"/>
  <c r="AP35" i="1"/>
  <c r="AM32" i="7" s="1"/>
  <c r="AP87" i="1"/>
  <c r="AM84" i="7" s="1"/>
  <c r="AP135" i="1"/>
  <c r="AM131" i="7" s="1"/>
  <c r="AP88" i="1"/>
  <c r="AM85" i="7" s="1"/>
  <c r="AB154" i="1"/>
  <c r="Z150" i="7" s="1"/>
  <c r="AP154" i="1"/>
  <c r="AM150" i="7" s="1"/>
  <c r="AP155" i="1"/>
  <c r="AP156" i="1"/>
  <c r="AC157" i="1"/>
  <c r="AP157" i="1"/>
  <c r="AP158" i="1"/>
  <c r="AP159" i="1"/>
  <c r="AP160" i="1"/>
  <c r="AP161" i="1"/>
  <c r="AB162" i="1"/>
  <c r="AP162" i="1"/>
  <c r="AA163" i="1"/>
  <c r="AP163" i="1"/>
  <c r="AP164" i="1"/>
  <c r="AP165" i="1"/>
  <c r="AP166" i="1"/>
  <c r="AP167" i="1"/>
  <c r="AP168" i="1"/>
  <c r="AC169" i="1"/>
  <c r="AP169" i="1"/>
  <c r="AC170" i="1"/>
  <c r="AP170" i="1"/>
  <c r="AP171" i="1"/>
  <c r="AP172" i="1"/>
  <c r="AP173" i="1"/>
  <c r="AP174" i="1"/>
  <c r="AP175" i="1"/>
  <c r="AP176" i="1"/>
  <c r="AP177" i="1"/>
  <c r="AP178" i="1"/>
  <c r="AP179" i="1"/>
  <c r="AP180" i="1"/>
  <c r="AP181" i="1"/>
  <c r="AP182" i="1"/>
  <c r="AP183" i="1"/>
  <c r="AP184" i="1"/>
  <c r="AP185" i="1"/>
  <c r="AC186" i="1"/>
  <c r="AP186" i="1"/>
  <c r="AP187" i="1"/>
  <c r="AP188" i="1"/>
  <c r="AP189" i="1"/>
  <c r="AP190" i="1"/>
  <c r="AP191" i="1"/>
  <c r="AP192" i="1"/>
  <c r="AP193" i="1"/>
  <c r="AP194" i="1"/>
  <c r="AP195" i="1"/>
  <c r="AP196" i="1"/>
  <c r="AP197" i="1"/>
  <c r="AB198" i="1"/>
  <c r="AP198" i="1"/>
  <c r="AP199" i="1"/>
  <c r="AP200" i="1"/>
  <c r="AP201" i="1"/>
  <c r="AC202"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61" i="1"/>
  <c r="AM58" i="7" s="1"/>
  <c r="AP93" i="1"/>
  <c r="AM90" i="7" s="1"/>
  <c r="AP55" i="1"/>
  <c r="AM52" i="7" s="1"/>
  <c r="AP56" i="1"/>
  <c r="AM53" i="7" s="1"/>
  <c r="AP145" i="1"/>
  <c r="AM141" i="7" s="1"/>
  <c r="AP30" i="1"/>
  <c r="AM27" i="7" s="1"/>
  <c r="AP7" i="1"/>
  <c r="AM6" i="7" s="1"/>
  <c r="AP146" i="1"/>
  <c r="AM142" i="7" s="1"/>
  <c r="AP31" i="1"/>
  <c r="AM28" i="7" s="1"/>
  <c r="AP95" i="1"/>
  <c r="AM92" i="7" s="1"/>
  <c r="AP57" i="1"/>
  <c r="AM54" i="7" s="1"/>
  <c r="AP58" i="1"/>
  <c r="AM55" i="7" s="1"/>
  <c r="AP62" i="1"/>
  <c r="AM59" i="7" s="1"/>
  <c r="AP29" i="1"/>
  <c r="AM26" i="7" s="1"/>
  <c r="AP52" i="1"/>
  <c r="AM49" i="7" s="1"/>
  <c r="AP3" i="1"/>
  <c r="AM2" i="7" s="1"/>
  <c r="AP148" i="1"/>
  <c r="AM144" i="7" s="1"/>
  <c r="AP142" i="1"/>
  <c r="AM138" i="7" s="1"/>
  <c r="AA148" i="1" l="1"/>
  <c r="Y144" i="7" s="1"/>
  <c r="AC3" i="1"/>
  <c r="AA2" i="7" s="1"/>
  <c r="AB70" i="1"/>
  <c r="Z67" i="7" s="1"/>
  <c r="AB73" i="1"/>
  <c r="Z70" i="7" s="1"/>
  <c r="AQ124" i="1"/>
  <c r="AN120" i="7" s="1"/>
  <c r="AQ19" i="1"/>
  <c r="AN18" i="7" s="1"/>
  <c r="AC114" i="1"/>
  <c r="AA110" i="7" s="1"/>
  <c r="AA52" i="1"/>
  <c r="Y49" i="7" s="1"/>
  <c r="AC142" i="1"/>
  <c r="AA138" i="7" s="1"/>
  <c r="Z315" i="1"/>
  <c r="Z311" i="1"/>
  <c r="AB306" i="1"/>
  <c r="AA305" i="1"/>
  <c r="AC300" i="1"/>
  <c r="AB290" i="1"/>
  <c r="AA289" i="1"/>
  <c r="AC234" i="1"/>
  <c r="AC230" i="1"/>
  <c r="AC226" i="1"/>
  <c r="AC218" i="1"/>
  <c r="AC214" i="1"/>
  <c r="AC210" i="1"/>
  <c r="AA116" i="1"/>
  <c r="Y112" i="7" s="1"/>
  <c r="AC110" i="1"/>
  <c r="AA106" i="7" s="1"/>
  <c r="AC144" i="1"/>
  <c r="AA140" i="7" s="1"/>
  <c r="Z136" i="1"/>
  <c r="X132" i="7" s="1"/>
  <c r="AQ199" i="1"/>
  <c r="AG199" i="1" s="1"/>
  <c r="AQ111" i="1"/>
  <c r="AQ75" i="1"/>
  <c r="AN72" i="7" s="1"/>
  <c r="AQ183" i="1"/>
  <c r="AG183" i="1" s="1"/>
  <c r="AQ175" i="1"/>
  <c r="AG175" i="1" s="1"/>
  <c r="AQ171" i="1"/>
  <c r="AQ167" i="1"/>
  <c r="AQ35" i="1"/>
  <c r="AN32" i="7" s="1"/>
  <c r="AQ131" i="1"/>
  <c r="AN127" i="7" s="1"/>
  <c r="AQ8" i="1"/>
  <c r="AN7" i="7" s="1"/>
  <c r="AQ64" i="1"/>
  <c r="AN61" i="7" s="1"/>
  <c r="AQ259" i="1"/>
  <c r="AG259" i="1" s="1"/>
  <c r="AQ235" i="1"/>
  <c r="AG235" i="1" s="1"/>
  <c r="AQ231" i="1"/>
  <c r="AG231" i="1" s="1"/>
  <c r="AQ227" i="1"/>
  <c r="AG227" i="1" s="1"/>
  <c r="AQ223" i="1"/>
  <c r="AG223" i="1" s="1"/>
  <c r="AQ293" i="1"/>
  <c r="AG293" i="1" s="1"/>
  <c r="AQ275" i="1"/>
  <c r="AG275" i="1" s="1"/>
  <c r="AQ315" i="1"/>
  <c r="AG315" i="1" s="1"/>
  <c r="AQ311" i="1"/>
  <c r="AG311" i="1" s="1"/>
  <c r="AQ309" i="1"/>
  <c r="AG309" i="1" s="1"/>
  <c r="AQ305" i="1"/>
  <c r="AG305" i="1" s="1"/>
  <c r="AQ292" i="1"/>
  <c r="AG292" i="1" s="1"/>
  <c r="AQ238" i="1"/>
  <c r="AG238" i="1" s="1"/>
  <c r="AQ234" i="1"/>
  <c r="AG234" i="1" s="1"/>
  <c r="AQ230" i="1"/>
  <c r="AG230" i="1" s="1"/>
  <c r="AQ226" i="1"/>
  <c r="AG226" i="1" s="1"/>
  <c r="AQ206" i="1"/>
  <c r="AG206" i="1" s="1"/>
  <c r="AQ200" i="1"/>
  <c r="AG200" i="1" s="1"/>
  <c r="AQ170" i="1"/>
  <c r="AQ166" i="1"/>
  <c r="AQ154" i="1"/>
  <c r="AN150" i="7" s="1"/>
  <c r="AQ134" i="1"/>
  <c r="AN130" i="7" s="1"/>
  <c r="AQ83" i="1"/>
  <c r="AN80" i="7" s="1"/>
  <c r="AQ82" i="1"/>
  <c r="AN79" i="7" s="1"/>
  <c r="AQ78" i="1"/>
  <c r="AN75" i="7" s="1"/>
  <c r="AQ110" i="1"/>
  <c r="AN106" i="7" s="1"/>
  <c r="AQ119" i="1"/>
  <c r="AN115" i="7" s="1"/>
  <c r="AQ153" i="1"/>
  <c r="AN149" i="7" s="1"/>
  <c r="AQ316" i="1"/>
  <c r="AG316" i="1" s="1"/>
  <c r="AQ312" i="1"/>
  <c r="AG312" i="1" s="1"/>
  <c r="AQ308" i="1"/>
  <c r="AG308" i="1" s="1"/>
  <c r="AQ304" i="1"/>
  <c r="AG304" i="1" s="1"/>
  <c r="AQ269" i="1"/>
  <c r="AG269" i="1" s="1"/>
  <c r="AQ263" i="1"/>
  <c r="AG263" i="1" s="1"/>
  <c r="AQ165" i="1"/>
  <c r="AQ163" i="1"/>
  <c r="AQ161" i="1"/>
  <c r="AQ179" i="1"/>
  <c r="AG179" i="1" s="1"/>
  <c r="AQ177" i="1"/>
  <c r="AG177" i="1" s="1"/>
  <c r="AQ173" i="1"/>
  <c r="AG173" i="1" s="1"/>
  <c r="AQ103" i="1"/>
  <c r="AN99" i="7" s="1"/>
  <c r="AQ270" i="1"/>
  <c r="AG270" i="1" s="1"/>
  <c r="AQ268" i="1"/>
  <c r="AG268" i="1" s="1"/>
  <c r="AQ266" i="1"/>
  <c r="AG266" i="1" s="1"/>
  <c r="AQ242" i="1"/>
  <c r="AG242" i="1" s="1"/>
  <c r="AQ222" i="1"/>
  <c r="AG222" i="1" s="1"/>
  <c r="AQ220" i="1"/>
  <c r="AG220" i="1" s="1"/>
  <c r="AQ218" i="1"/>
  <c r="AG218" i="1" s="1"/>
  <c r="AQ214" i="1"/>
  <c r="AG214" i="1" s="1"/>
  <c r="AQ210" i="1"/>
  <c r="AG210" i="1" s="1"/>
  <c r="AQ129" i="1"/>
  <c r="AN125" i="7" s="1"/>
  <c r="AQ127" i="1"/>
  <c r="AN123" i="7" s="1"/>
  <c r="AQ86" i="1"/>
  <c r="AN83" i="7" s="1"/>
  <c r="AQ84" i="1"/>
  <c r="AN81" i="7" s="1"/>
  <c r="AQ72" i="1"/>
  <c r="AN69" i="7" s="1"/>
  <c r="AQ101" i="1"/>
  <c r="AN97" i="7" s="1"/>
  <c r="AQ198" i="1"/>
  <c r="AG198" i="1" s="1"/>
  <c r="AQ196" i="1"/>
  <c r="AQ194" i="1"/>
  <c r="AG194" i="1" s="1"/>
  <c r="AQ178" i="1"/>
  <c r="AG178" i="1" s="1"/>
  <c r="AQ174" i="1"/>
  <c r="AG174" i="1" s="1"/>
  <c r="AQ164" i="1"/>
  <c r="AQ162" i="1"/>
  <c r="AQ122" i="1"/>
  <c r="AN118" i="7" s="1"/>
  <c r="AQ21" i="1"/>
  <c r="AN20" i="7" s="1"/>
  <c r="AQ80" i="1"/>
  <c r="AN77" i="7" s="1"/>
  <c r="AQ53" i="1"/>
  <c r="AN50" i="7" s="1"/>
  <c r="AQ104" i="1"/>
  <c r="AN100" i="7" s="1"/>
  <c r="AQ71" i="1"/>
  <c r="AN68" i="7" s="1"/>
  <c r="AQ70" i="1"/>
  <c r="AN67" i="7" s="1"/>
  <c r="AQ11" i="1"/>
  <c r="AN10" i="7" s="1"/>
  <c r="AQ116" i="1"/>
  <c r="AN112" i="7" s="1"/>
  <c r="AQ98" i="1"/>
  <c r="AN95" i="7" s="1"/>
  <c r="AQ294" i="1"/>
  <c r="AG294" i="1" s="1"/>
  <c r="AQ289" i="1"/>
  <c r="AG289" i="1" s="1"/>
  <c r="AQ287" i="1"/>
  <c r="AG287" i="1" s="1"/>
  <c r="AQ285" i="1"/>
  <c r="AG285" i="1" s="1"/>
  <c r="AQ279" i="1"/>
  <c r="AG279" i="1" s="1"/>
  <c r="AQ254" i="1"/>
  <c r="AG254" i="1" s="1"/>
  <c r="AQ252" i="1"/>
  <c r="AG252" i="1" s="1"/>
  <c r="AQ250" i="1"/>
  <c r="AG250" i="1" s="1"/>
  <c r="AQ246" i="1"/>
  <c r="AG246" i="1" s="1"/>
  <c r="AQ221" i="1"/>
  <c r="AG221" i="1" s="1"/>
  <c r="AQ219" i="1"/>
  <c r="AG219" i="1" s="1"/>
  <c r="AQ217" i="1"/>
  <c r="AG217" i="1" s="1"/>
  <c r="AQ215" i="1"/>
  <c r="AG215" i="1" s="1"/>
  <c r="AQ213" i="1"/>
  <c r="AG213" i="1" s="1"/>
  <c r="AQ211" i="1"/>
  <c r="AG211" i="1" s="1"/>
  <c r="AQ209" i="1"/>
  <c r="AG209" i="1" s="1"/>
  <c r="AQ207" i="1"/>
  <c r="AG207" i="1" s="1"/>
  <c r="AQ197" i="1"/>
  <c r="AG197" i="1" s="1"/>
  <c r="AQ195" i="1"/>
  <c r="AG195" i="1" s="1"/>
  <c r="AQ130" i="1"/>
  <c r="AN126" i="7" s="1"/>
  <c r="AQ128" i="1"/>
  <c r="AN124" i="7" s="1"/>
  <c r="AQ126" i="1"/>
  <c r="AN122" i="7" s="1"/>
  <c r="AQ81" i="1"/>
  <c r="AN78" i="7" s="1"/>
  <c r="AQ18" i="1"/>
  <c r="AN17" i="7" s="1"/>
  <c r="AQ99" i="1"/>
  <c r="AN96" i="7" s="1"/>
  <c r="AQ12" i="1"/>
  <c r="AN11" i="7" s="1"/>
  <c r="AQ144" i="1"/>
  <c r="AN140" i="7" s="1"/>
  <c r="AQ107" i="1"/>
  <c r="AN103" i="7" s="1"/>
  <c r="AQ306" i="1"/>
  <c r="AG306" i="1" s="1"/>
  <c r="AQ301" i="1"/>
  <c r="AG301" i="1" s="1"/>
  <c r="AQ299" i="1"/>
  <c r="AG299" i="1" s="1"/>
  <c r="AQ297" i="1"/>
  <c r="AG297" i="1" s="1"/>
  <c r="AQ290" i="1"/>
  <c r="AG290" i="1" s="1"/>
  <c r="AQ288" i="1"/>
  <c r="AG288" i="1" s="1"/>
  <c r="AQ286" i="1"/>
  <c r="AG286" i="1" s="1"/>
  <c r="AQ282" i="1"/>
  <c r="AG282" i="1" s="1"/>
  <c r="AQ255" i="1"/>
  <c r="AG255" i="1" s="1"/>
  <c r="AQ253" i="1"/>
  <c r="AG253" i="1" s="1"/>
  <c r="AQ249" i="1"/>
  <c r="AG249" i="1" s="1"/>
  <c r="AQ245" i="1"/>
  <c r="AG245" i="1" s="1"/>
  <c r="AQ241" i="1"/>
  <c r="AG241" i="1" s="1"/>
  <c r="AQ239" i="1"/>
  <c r="AG239" i="1" s="1"/>
  <c r="AQ187" i="1"/>
  <c r="AG187" i="1" s="1"/>
  <c r="AQ185" i="1"/>
  <c r="AG185" i="1" s="1"/>
  <c r="AQ123" i="1"/>
  <c r="AN119" i="7" s="1"/>
  <c r="AQ112" i="1"/>
  <c r="AN108" i="7" s="1"/>
  <c r="AQ69" i="1"/>
  <c r="AN66" i="7" s="1"/>
  <c r="AQ68" i="1"/>
  <c r="AN65" i="7" s="1"/>
  <c r="AQ73" i="1"/>
  <c r="AN70" i="7" s="1"/>
  <c r="AB195" i="1"/>
  <c r="AQ281" i="1"/>
  <c r="AG281" i="1" s="1"/>
  <c r="AQ278" i="1"/>
  <c r="AG278" i="1" s="1"/>
  <c r="AQ271" i="1"/>
  <c r="AG271" i="1" s="1"/>
  <c r="AB270" i="1"/>
  <c r="AQ267" i="1"/>
  <c r="AG267" i="1" s="1"/>
  <c r="AQ262" i="1"/>
  <c r="AG262" i="1" s="1"/>
  <c r="AQ318" i="1"/>
  <c r="AG318" i="1" s="1"/>
  <c r="AQ314" i="1"/>
  <c r="AG314" i="1" s="1"/>
  <c r="AQ310" i="1"/>
  <c r="AG310" i="1" s="1"/>
  <c r="AQ307" i="1"/>
  <c r="AG307" i="1" s="1"/>
  <c r="AQ300" i="1"/>
  <c r="AG300" i="1" s="1"/>
  <c r="AQ295" i="1"/>
  <c r="AG295" i="1" s="1"/>
  <c r="AQ291" i="1"/>
  <c r="AG291" i="1" s="1"/>
  <c r="AQ274" i="1"/>
  <c r="AG274" i="1" s="1"/>
  <c r="AQ258" i="1"/>
  <c r="AG258" i="1" s="1"/>
  <c r="AQ251" i="1"/>
  <c r="AG251" i="1" s="1"/>
  <c r="AC250" i="1"/>
  <c r="AQ247" i="1"/>
  <c r="AG247" i="1" s="1"/>
  <c r="AC246" i="1"/>
  <c r="AQ243" i="1"/>
  <c r="AG243" i="1" s="1"/>
  <c r="AC242" i="1"/>
  <c r="AQ236" i="1"/>
  <c r="AG236" i="1" s="1"/>
  <c r="AQ205" i="1"/>
  <c r="AG205" i="1" s="1"/>
  <c r="AQ203" i="1"/>
  <c r="AG203" i="1" s="1"/>
  <c r="AQ201" i="1"/>
  <c r="AQ191" i="1"/>
  <c r="AG191" i="1" s="1"/>
  <c r="AQ168" i="1"/>
  <c r="AQ158" i="1"/>
  <c r="AQ156" i="1"/>
  <c r="AQ88" i="1"/>
  <c r="AN85" i="7" s="1"/>
  <c r="AQ87" i="1"/>
  <c r="AN84" i="7" s="1"/>
  <c r="AQ132" i="1"/>
  <c r="AN128" i="7" s="1"/>
  <c r="AQ20" i="1"/>
  <c r="AN19" i="7" s="1"/>
  <c r="AQ77" i="1"/>
  <c r="AN74" i="7" s="1"/>
  <c r="AQ109" i="1"/>
  <c r="AN105" i="7" s="1"/>
  <c r="AQ237" i="1"/>
  <c r="AG237" i="1" s="1"/>
  <c r="AQ233" i="1"/>
  <c r="AG233" i="1" s="1"/>
  <c r="AQ229" i="1"/>
  <c r="AG229" i="1" s="1"/>
  <c r="AQ225" i="1"/>
  <c r="AG225" i="1" s="1"/>
  <c r="AG204" i="1"/>
  <c r="AQ202" i="1"/>
  <c r="AG202" i="1" s="1"/>
  <c r="AQ190" i="1"/>
  <c r="AG190" i="1" s="1"/>
  <c r="AQ182" i="1"/>
  <c r="AG182" i="1" s="1"/>
  <c r="AQ157" i="1"/>
  <c r="AQ135" i="1"/>
  <c r="AN131" i="7" s="1"/>
  <c r="AQ133" i="1"/>
  <c r="AN129" i="7" s="1"/>
  <c r="AQ125" i="1"/>
  <c r="AN121" i="7" s="1"/>
  <c r="AQ76" i="1"/>
  <c r="AN73" i="7" s="1"/>
  <c r="AQ66" i="1"/>
  <c r="AN63" i="7" s="1"/>
  <c r="AQ4" i="1"/>
  <c r="AQ152" i="1"/>
  <c r="AN148" i="7" s="1"/>
  <c r="AC29" i="1"/>
  <c r="AA26" i="7" s="1"/>
  <c r="AA62" i="1"/>
  <c r="Y59" i="7" s="1"/>
  <c r="AC58" i="1"/>
  <c r="AA55" i="7" s="1"/>
  <c r="AA57" i="1"/>
  <c r="Y54" i="7" s="1"/>
  <c r="AC95" i="1"/>
  <c r="AA92" i="7" s="1"/>
  <c r="AQ31" i="1"/>
  <c r="AN28" i="7" s="1"/>
  <c r="AA31" i="1"/>
  <c r="Y28" i="7" s="1"/>
  <c r="AC146" i="1"/>
  <c r="AA142" i="7" s="1"/>
  <c r="AA7" i="1"/>
  <c r="Y6" i="7" s="1"/>
  <c r="AC30" i="1"/>
  <c r="AA27" i="7" s="1"/>
  <c r="AQ145" i="1"/>
  <c r="AN141" i="7" s="1"/>
  <c r="AA145" i="1"/>
  <c r="Y141" i="7" s="1"/>
  <c r="AC56" i="1"/>
  <c r="AA53" i="7" s="1"/>
  <c r="AQ55" i="1"/>
  <c r="AN52" i="7" s="1"/>
  <c r="AA55" i="1"/>
  <c r="Y52" i="7" s="1"/>
  <c r="Z55" i="1"/>
  <c r="X52" i="7" s="1"/>
  <c r="AC93" i="1"/>
  <c r="AA90" i="7" s="1"/>
  <c r="AA61" i="1"/>
  <c r="Y58" i="7" s="1"/>
  <c r="AC318" i="1"/>
  <c r="Z318" i="1"/>
  <c r="AA318" i="1"/>
  <c r="AB318" i="1"/>
  <c r="AE318" i="1"/>
  <c r="AQ317" i="1"/>
  <c r="AG317" i="1" s="1"/>
  <c r="AB317" i="1"/>
  <c r="Z317" i="1"/>
  <c r="AA317" i="1"/>
  <c r="AE317" i="1"/>
  <c r="AA316" i="1"/>
  <c r="Z316" i="1"/>
  <c r="AE316" i="1"/>
  <c r="AC314" i="1"/>
  <c r="Z314" i="1"/>
  <c r="AA314" i="1"/>
  <c r="AB314" i="1"/>
  <c r="AE314" i="1"/>
  <c r="AQ313" i="1"/>
  <c r="AG313" i="1" s="1"/>
  <c r="AB313" i="1"/>
  <c r="Z313" i="1"/>
  <c r="AA313" i="1"/>
  <c r="AE313" i="1"/>
  <c r="AA312" i="1"/>
  <c r="Z312" i="1"/>
  <c r="AE312" i="1"/>
  <c r="AC310" i="1"/>
  <c r="Z310" i="1"/>
  <c r="AA310" i="1"/>
  <c r="AB310" i="1"/>
  <c r="AE310" i="1"/>
  <c r="AA309" i="1"/>
  <c r="AC309" i="1"/>
  <c r="AC307" i="1"/>
  <c r="Z307" i="1"/>
  <c r="AA307" i="1"/>
  <c r="AB307" i="1"/>
  <c r="AE307" i="1"/>
  <c r="AA304" i="1"/>
  <c r="AC304" i="1"/>
  <c r="AC303" i="1"/>
  <c r="Z303" i="1"/>
  <c r="AA303" i="1"/>
  <c r="AB303" i="1"/>
  <c r="AE303" i="1"/>
  <c r="AQ302" i="1"/>
  <c r="AG302" i="1" s="1"/>
  <c r="AB302" i="1"/>
  <c r="Z302" i="1"/>
  <c r="AC302" i="1"/>
  <c r="AE302" i="1"/>
  <c r="AA301" i="1"/>
  <c r="Z301" i="1"/>
  <c r="AC301" i="1"/>
  <c r="AE301" i="1"/>
  <c r="AC299" i="1"/>
  <c r="Z299" i="1"/>
  <c r="AA299" i="1"/>
  <c r="AB299" i="1"/>
  <c r="AE299" i="1"/>
  <c r="AQ298" i="1"/>
  <c r="AG298" i="1" s="1"/>
  <c r="AB298" i="1"/>
  <c r="AC298" i="1"/>
  <c r="AE298" i="1"/>
  <c r="AA297" i="1"/>
  <c r="AC297" i="1"/>
  <c r="AE297" i="1"/>
  <c r="AQ296" i="1"/>
  <c r="AG296" i="1" s="1"/>
  <c r="AA296" i="1"/>
  <c r="AC296" i="1"/>
  <c r="AC295" i="1"/>
  <c r="Z295" i="1"/>
  <c r="AA295" i="1"/>
  <c r="AB295" i="1"/>
  <c r="AE295" i="1"/>
  <c r="AB294" i="1"/>
  <c r="AC294" i="1"/>
  <c r="AA293" i="1"/>
  <c r="AC293" i="1"/>
  <c r="AC291" i="1"/>
  <c r="Z291" i="1"/>
  <c r="AA291" i="1"/>
  <c r="AB291" i="1"/>
  <c r="AE291" i="1"/>
  <c r="AC288" i="1"/>
  <c r="Z288" i="1"/>
  <c r="AA288" i="1"/>
  <c r="Z287" i="1"/>
  <c r="AA287" i="1"/>
  <c r="Z286" i="1"/>
  <c r="AB286" i="1"/>
  <c r="AC285" i="1"/>
  <c r="AA285" i="1"/>
  <c r="AC284" i="1"/>
  <c r="Z284" i="1"/>
  <c r="AA284" i="1"/>
  <c r="AB284" i="1"/>
  <c r="AE284" i="1"/>
  <c r="AQ283" i="1"/>
  <c r="AG283" i="1" s="1"/>
  <c r="AB283" i="1"/>
  <c r="Z283" i="1"/>
  <c r="AE283" i="1"/>
  <c r="AA282" i="1"/>
  <c r="Z282" i="1"/>
  <c r="AE282" i="1"/>
  <c r="AA281" i="1"/>
  <c r="AC281" i="1"/>
  <c r="AC280" i="1"/>
  <c r="Z280" i="1"/>
  <c r="AA280" i="1"/>
  <c r="AB280" i="1"/>
  <c r="AE280" i="1"/>
  <c r="Z279" i="1"/>
  <c r="AC279" i="1"/>
  <c r="AE279" i="1"/>
  <c r="AB278" i="1"/>
  <c r="AC278" i="1"/>
  <c r="AC277" i="1"/>
  <c r="AA277" i="1"/>
  <c r="AB277" i="1"/>
  <c r="AC276" i="1"/>
  <c r="Z276" i="1"/>
  <c r="AA276" i="1"/>
  <c r="AB276" i="1"/>
  <c r="AE276" i="1"/>
  <c r="AC273" i="1"/>
  <c r="AA273" i="1"/>
  <c r="AB273" i="1"/>
  <c r="AC272" i="1"/>
  <c r="Z272" i="1"/>
  <c r="AA272" i="1"/>
  <c r="AB272" i="1"/>
  <c r="AE272" i="1"/>
  <c r="Z271" i="1"/>
  <c r="AE271" i="1"/>
  <c r="AC269" i="1"/>
  <c r="AA269" i="1"/>
  <c r="AB269" i="1"/>
  <c r="AC268" i="1"/>
  <c r="Z268" i="1"/>
  <c r="AA268" i="1"/>
  <c r="AB268" i="1"/>
  <c r="AE268" i="1"/>
  <c r="Z267" i="1"/>
  <c r="AC267" i="1"/>
  <c r="AE267" i="1"/>
  <c r="AB266" i="1"/>
  <c r="AC266" i="1"/>
  <c r="AC265" i="1"/>
  <c r="AA265" i="1"/>
  <c r="AB265" i="1"/>
  <c r="AC264" i="1"/>
  <c r="Z264" i="1"/>
  <c r="AA264" i="1"/>
  <c r="AB264" i="1"/>
  <c r="AE264" i="1"/>
  <c r="Z263" i="1"/>
  <c r="AC263" i="1"/>
  <c r="AE263" i="1"/>
  <c r="AB262" i="1"/>
  <c r="AC262" i="1"/>
  <c r="AC261" i="1"/>
  <c r="AA261" i="1"/>
  <c r="AB261" i="1"/>
  <c r="AC260" i="1"/>
  <c r="Z260" i="1"/>
  <c r="AA260" i="1"/>
  <c r="AB260" i="1"/>
  <c r="AE260" i="1"/>
  <c r="AC257" i="1"/>
  <c r="AA257" i="1"/>
  <c r="AB257" i="1"/>
  <c r="AC256" i="1"/>
  <c r="Z256" i="1"/>
  <c r="AA256" i="1"/>
  <c r="AB256" i="1"/>
  <c r="AE256" i="1"/>
  <c r="AA255" i="1"/>
  <c r="Z255" i="1"/>
  <c r="AE255" i="1"/>
  <c r="AC253" i="1"/>
  <c r="AA253" i="1"/>
  <c r="AB253" i="1"/>
  <c r="AC252" i="1"/>
  <c r="Z252" i="1"/>
  <c r="AA252" i="1"/>
  <c r="AB252" i="1"/>
  <c r="AE252" i="1"/>
  <c r="AA251" i="1"/>
  <c r="Z251" i="1"/>
  <c r="AE251" i="1"/>
  <c r="AC249" i="1"/>
  <c r="AA249" i="1"/>
  <c r="AB249" i="1"/>
  <c r="AC248" i="1"/>
  <c r="Z248" i="1"/>
  <c r="AA248" i="1"/>
  <c r="AB248" i="1"/>
  <c r="AE248" i="1"/>
  <c r="AA247" i="1"/>
  <c r="Z247" i="1"/>
  <c r="AE247" i="1"/>
  <c r="AC245" i="1"/>
  <c r="AA245" i="1"/>
  <c r="AB245" i="1"/>
  <c r="AC244" i="1"/>
  <c r="Z244" i="1"/>
  <c r="AA244" i="1"/>
  <c r="AB244" i="1"/>
  <c r="AE244" i="1"/>
  <c r="AA243" i="1"/>
  <c r="Z243" i="1"/>
  <c r="AE243" i="1"/>
  <c r="AC241" i="1"/>
  <c r="AA241" i="1"/>
  <c r="AB241" i="1"/>
  <c r="AC240" i="1"/>
  <c r="Z240" i="1"/>
  <c r="AA240" i="1"/>
  <c r="AB240" i="1"/>
  <c r="AE240" i="1"/>
  <c r="AA239" i="1"/>
  <c r="Z239" i="1"/>
  <c r="AE239" i="1"/>
  <c r="AC237" i="1"/>
  <c r="AA237" i="1"/>
  <c r="AB237" i="1"/>
  <c r="AC236" i="1"/>
  <c r="Z236" i="1"/>
  <c r="AA236" i="1"/>
  <c r="AB236" i="1"/>
  <c r="AE236" i="1"/>
  <c r="AA235" i="1"/>
  <c r="Z235" i="1"/>
  <c r="AE235" i="1"/>
  <c r="AC233" i="1"/>
  <c r="AA233" i="1"/>
  <c r="AB233" i="1"/>
  <c r="AC232" i="1"/>
  <c r="Z232" i="1"/>
  <c r="AA232" i="1"/>
  <c r="AB232" i="1"/>
  <c r="AE232" i="1"/>
  <c r="AA231" i="1"/>
  <c r="Z231" i="1"/>
  <c r="AE231" i="1"/>
  <c r="AC229" i="1"/>
  <c r="AA229" i="1"/>
  <c r="AB229" i="1"/>
  <c r="AC228" i="1"/>
  <c r="Z228" i="1"/>
  <c r="AA228" i="1"/>
  <c r="AB228" i="1"/>
  <c r="AE228" i="1"/>
  <c r="AA227" i="1"/>
  <c r="Z227" i="1"/>
  <c r="AE227" i="1"/>
  <c r="AC225" i="1"/>
  <c r="AA225" i="1"/>
  <c r="AB225" i="1"/>
  <c r="AC224" i="1"/>
  <c r="Z224" i="1"/>
  <c r="AA224" i="1"/>
  <c r="AB224" i="1"/>
  <c r="AE224" i="1"/>
  <c r="AA223" i="1"/>
  <c r="Z223" i="1"/>
  <c r="AE223" i="1"/>
  <c r="AC221" i="1"/>
  <c r="AA221" i="1"/>
  <c r="AB221" i="1"/>
  <c r="AC220" i="1"/>
  <c r="Z220" i="1"/>
  <c r="AA220" i="1"/>
  <c r="AB220" i="1"/>
  <c r="AE220" i="1"/>
  <c r="AA219" i="1"/>
  <c r="Z219" i="1"/>
  <c r="AE219" i="1"/>
  <c r="AC217" i="1"/>
  <c r="AA217" i="1"/>
  <c r="AB217" i="1"/>
  <c r="AC216" i="1"/>
  <c r="Z216" i="1"/>
  <c r="AA216" i="1"/>
  <c r="AB216" i="1"/>
  <c r="AE216" i="1"/>
  <c r="AA215" i="1"/>
  <c r="Z215" i="1"/>
  <c r="AE215" i="1"/>
  <c r="AC213" i="1"/>
  <c r="AA213" i="1"/>
  <c r="AB213" i="1"/>
  <c r="AC212" i="1"/>
  <c r="Z212" i="1"/>
  <c r="AA212" i="1"/>
  <c r="AB212" i="1"/>
  <c r="AE212" i="1"/>
  <c r="AA211" i="1"/>
  <c r="Z211" i="1"/>
  <c r="AE211" i="1"/>
  <c r="AC209" i="1"/>
  <c r="AA209" i="1"/>
  <c r="AB209" i="1"/>
  <c r="AC208" i="1"/>
  <c r="Z208" i="1"/>
  <c r="AA208" i="1"/>
  <c r="AB208" i="1"/>
  <c r="AE208" i="1"/>
  <c r="AA207" i="1"/>
  <c r="Z207" i="1"/>
  <c r="AE207" i="1"/>
  <c r="AC205" i="1"/>
  <c r="AA205" i="1"/>
  <c r="AB205" i="1"/>
  <c r="AB204" i="1"/>
  <c r="Z204" i="1"/>
  <c r="AC204" i="1"/>
  <c r="AE204" i="1"/>
  <c r="AA203" i="1"/>
  <c r="Z203" i="1"/>
  <c r="AC203" i="1"/>
  <c r="AE203" i="1"/>
  <c r="AC201" i="1"/>
  <c r="Z201" i="1"/>
  <c r="AA201" i="1"/>
  <c r="AB201" i="1"/>
  <c r="AE201" i="1"/>
  <c r="AB200" i="1"/>
  <c r="AC200" i="1"/>
  <c r="AA199" i="1"/>
  <c r="AC199" i="1"/>
  <c r="AC197" i="1"/>
  <c r="Z197" i="1"/>
  <c r="AA197" i="1"/>
  <c r="AB197" i="1"/>
  <c r="AE197" i="1"/>
  <c r="AC194" i="1"/>
  <c r="AA194" i="1"/>
  <c r="AC193" i="1"/>
  <c r="Z193" i="1"/>
  <c r="AA193" i="1"/>
  <c r="AB193" i="1"/>
  <c r="AQ192" i="1"/>
  <c r="AG192" i="1" s="1"/>
  <c r="AB192" i="1"/>
  <c r="Z192" i="1"/>
  <c r="AE192" i="1"/>
  <c r="AA191" i="1"/>
  <c r="Z191" i="1"/>
  <c r="AE191" i="1"/>
  <c r="AA190" i="1"/>
  <c r="AC190" i="1"/>
  <c r="AC189" i="1"/>
  <c r="Z189" i="1"/>
  <c r="AA189" i="1"/>
  <c r="AB189" i="1"/>
  <c r="AE189" i="1"/>
  <c r="AQ188" i="1"/>
  <c r="AG188" i="1" s="1"/>
  <c r="AB188" i="1"/>
  <c r="Z188" i="1"/>
  <c r="AC188" i="1"/>
  <c r="AE188" i="1"/>
  <c r="AA187" i="1"/>
  <c r="Z187" i="1"/>
  <c r="AC187" i="1"/>
  <c r="AE187" i="1"/>
  <c r="AC185" i="1"/>
  <c r="Z185" i="1"/>
  <c r="AA185" i="1"/>
  <c r="AB185" i="1"/>
  <c r="AE185" i="1"/>
  <c r="AQ184" i="1"/>
  <c r="AG184" i="1" s="1"/>
  <c r="AB184" i="1"/>
  <c r="Z184" i="1"/>
  <c r="AA184" i="1"/>
  <c r="AE184" i="1"/>
  <c r="Z183" i="1"/>
  <c r="AC183" i="1"/>
  <c r="AE183" i="1"/>
  <c r="AB182" i="1"/>
  <c r="AC182" i="1"/>
  <c r="AC181" i="1"/>
  <c r="Z181" i="1"/>
  <c r="AA181" i="1"/>
  <c r="AB181" i="1"/>
  <c r="AE181" i="1"/>
  <c r="AQ180" i="1"/>
  <c r="AG180" i="1" s="1"/>
  <c r="AB180" i="1"/>
  <c r="Z180" i="1"/>
  <c r="AA180" i="1"/>
  <c r="AE180" i="1"/>
  <c r="Z179" i="1"/>
  <c r="AC179" i="1"/>
  <c r="AE179" i="1"/>
  <c r="AB178" i="1"/>
  <c r="AC178" i="1"/>
  <c r="AC177" i="1"/>
  <c r="Z177" i="1"/>
  <c r="AA177" i="1"/>
  <c r="AB177" i="1"/>
  <c r="AE177" i="1"/>
  <c r="AQ176" i="1"/>
  <c r="AG176" i="1" s="1"/>
  <c r="AB176" i="1"/>
  <c r="Z176" i="1"/>
  <c r="AA176" i="1"/>
  <c r="AE176" i="1"/>
  <c r="AC173" i="1"/>
  <c r="Z173" i="1"/>
  <c r="AA173" i="1"/>
  <c r="AB173" i="1"/>
  <c r="AE173" i="1"/>
  <c r="AQ172" i="1"/>
  <c r="AG172" i="1" s="1"/>
  <c r="AB172" i="1"/>
  <c r="Z172" i="1"/>
  <c r="AA172" i="1"/>
  <c r="AE172" i="1"/>
  <c r="AA171" i="1"/>
  <c r="Z171" i="1"/>
  <c r="AE171" i="1"/>
  <c r="AQ169" i="1"/>
  <c r="AC168" i="1"/>
  <c r="Z168" i="1"/>
  <c r="AA168" i="1"/>
  <c r="AB168" i="1"/>
  <c r="AE168" i="1"/>
  <c r="AB167" i="1"/>
  <c r="AC167" i="1"/>
  <c r="AA166" i="1"/>
  <c r="AC166" i="1"/>
  <c r="AC164" i="1"/>
  <c r="Z164" i="1"/>
  <c r="AA164" i="1"/>
  <c r="AB164" i="1"/>
  <c r="AE164" i="1"/>
  <c r="AA161" i="1"/>
  <c r="AC161" i="1"/>
  <c r="AC160" i="1"/>
  <c r="Z160" i="1"/>
  <c r="AA160" i="1"/>
  <c r="AB160" i="1"/>
  <c r="AE160" i="1"/>
  <c r="AQ159" i="1"/>
  <c r="AB159" i="1"/>
  <c r="Z159" i="1"/>
  <c r="AC159" i="1"/>
  <c r="AE159" i="1"/>
  <c r="AA158" i="1"/>
  <c r="Z158" i="1"/>
  <c r="AC158" i="1"/>
  <c r="AE158" i="1"/>
  <c r="AC156" i="1"/>
  <c r="Z156" i="1"/>
  <c r="AA156" i="1"/>
  <c r="AB156" i="1"/>
  <c r="AE156" i="1"/>
  <c r="AQ155" i="1"/>
  <c r="AB155" i="1"/>
  <c r="AC155" i="1"/>
  <c r="AE155" i="1"/>
  <c r="AC88" i="1"/>
  <c r="AA85" i="7" s="1"/>
  <c r="AA88" i="1"/>
  <c r="Y85" i="7" s="1"/>
  <c r="AB88" i="1"/>
  <c r="Z85" i="7" s="1"/>
  <c r="AC135" i="1"/>
  <c r="AA131" i="7" s="1"/>
  <c r="AA135" i="1"/>
  <c r="Y131" i="7" s="1"/>
  <c r="AB135" i="1"/>
  <c r="Z131" i="7" s="1"/>
  <c r="AC87" i="1"/>
  <c r="AA84" i="7" s="1"/>
  <c r="Z87" i="1"/>
  <c r="X84" i="7" s="1"/>
  <c r="AA87" i="1"/>
  <c r="Y84" i="7" s="1"/>
  <c r="AB87" i="1"/>
  <c r="Z84" i="7" s="1"/>
  <c r="AE87" i="1"/>
  <c r="AB84" i="7" s="1"/>
  <c r="Z35" i="1"/>
  <c r="X32" i="7" s="1"/>
  <c r="AB134" i="1"/>
  <c r="Z130" i="7" s="1"/>
  <c r="AC134" i="1"/>
  <c r="AA130" i="7" s="1"/>
  <c r="AC133" i="1"/>
  <c r="AA129" i="7" s="1"/>
  <c r="AA133" i="1"/>
  <c r="Y129" i="7" s="1"/>
  <c r="AB133" i="1"/>
  <c r="Z129" i="7" s="1"/>
  <c r="AC132" i="1"/>
  <c r="AA128" i="7" s="1"/>
  <c r="Z132" i="1"/>
  <c r="X128" i="7" s="1"/>
  <c r="AA132" i="1"/>
  <c r="Y128" i="7" s="1"/>
  <c r="AB132" i="1"/>
  <c r="Z128" i="7" s="1"/>
  <c r="AE132" i="1"/>
  <c r="AB128" i="7" s="1"/>
  <c r="AA131" i="1"/>
  <c r="Y127" i="7" s="1"/>
  <c r="Z131" i="1"/>
  <c r="X127" i="7" s="1"/>
  <c r="AE131" i="1"/>
  <c r="AB127" i="7" s="1"/>
  <c r="AC129" i="1"/>
  <c r="AA125" i="7" s="1"/>
  <c r="AA129" i="1"/>
  <c r="Y125" i="7" s="1"/>
  <c r="AB129" i="1"/>
  <c r="Z125" i="7" s="1"/>
  <c r="AC128" i="1"/>
  <c r="AA124" i="7" s="1"/>
  <c r="Z128" i="1"/>
  <c r="X124" i="7" s="1"/>
  <c r="AA128" i="1"/>
  <c r="Y124" i="7" s="1"/>
  <c r="AB128" i="1"/>
  <c r="Z124" i="7" s="1"/>
  <c r="AE128" i="1"/>
  <c r="AB124" i="7" s="1"/>
  <c r="AA127" i="1"/>
  <c r="Y123" i="7" s="1"/>
  <c r="Z127" i="1"/>
  <c r="X123" i="7" s="1"/>
  <c r="AE127" i="1"/>
  <c r="AB123" i="7" s="1"/>
  <c r="AC86" i="1"/>
  <c r="AA83" i="7" s="1"/>
  <c r="AA86" i="1"/>
  <c r="Y83" i="7" s="1"/>
  <c r="AB86" i="1"/>
  <c r="Z83" i="7" s="1"/>
  <c r="AC85" i="1"/>
  <c r="AA82" i="7" s="1"/>
  <c r="Z85" i="1"/>
  <c r="X82" i="7" s="1"/>
  <c r="AA85" i="1"/>
  <c r="Y82" i="7" s="1"/>
  <c r="AB85" i="1"/>
  <c r="Z82" i="7" s="1"/>
  <c r="AE85" i="1"/>
  <c r="AB82" i="7" s="1"/>
  <c r="AA84" i="1"/>
  <c r="Y81" i="7" s="1"/>
  <c r="Z84" i="1"/>
  <c r="X81" i="7" s="1"/>
  <c r="AE84" i="1"/>
  <c r="AB81" i="7" s="1"/>
  <c r="AC20" i="1"/>
  <c r="AA19" i="7" s="1"/>
  <c r="AA20" i="1"/>
  <c r="Y19" i="7" s="1"/>
  <c r="AB20" i="1"/>
  <c r="Z19" i="7" s="1"/>
  <c r="AC125" i="1"/>
  <c r="AA121" i="7" s="1"/>
  <c r="Z125" i="1"/>
  <c r="X121" i="7" s="1"/>
  <c r="AA125" i="1"/>
  <c r="Y121" i="7" s="1"/>
  <c r="AB125" i="1"/>
  <c r="Z121" i="7" s="1"/>
  <c r="AE125" i="1"/>
  <c r="AB121" i="7" s="1"/>
  <c r="AA124" i="1"/>
  <c r="Y120" i="7" s="1"/>
  <c r="Z124" i="1"/>
  <c r="X120" i="7" s="1"/>
  <c r="AE124" i="1"/>
  <c r="AB120" i="7" s="1"/>
  <c r="AC122" i="1"/>
  <c r="AA118" i="7" s="1"/>
  <c r="AA122" i="1"/>
  <c r="Y118" i="7" s="1"/>
  <c r="AB122" i="1"/>
  <c r="Z118" i="7" s="1"/>
  <c r="AC112" i="1"/>
  <c r="AA108" i="7" s="1"/>
  <c r="Z112" i="1"/>
  <c r="X108" i="7" s="1"/>
  <c r="AA112" i="1"/>
  <c r="Y108" i="7" s="1"/>
  <c r="AB112" i="1"/>
  <c r="Z108" i="7" s="1"/>
  <c r="AE112" i="1"/>
  <c r="AB108" i="7" s="1"/>
  <c r="AA21" i="1"/>
  <c r="Y20" i="7" s="1"/>
  <c r="Z21" i="1"/>
  <c r="X20" i="7" s="1"/>
  <c r="AE21" i="1"/>
  <c r="AB20" i="7" s="1"/>
  <c r="AC111" i="1"/>
  <c r="AA107" i="7" s="1"/>
  <c r="AA111" i="1"/>
  <c r="Y107" i="7" s="1"/>
  <c r="AC121" i="1"/>
  <c r="AA117" i="7" s="1"/>
  <c r="Z121" i="1"/>
  <c r="X117" i="7" s="1"/>
  <c r="AA121" i="1"/>
  <c r="Y117" i="7" s="1"/>
  <c r="AB121" i="1"/>
  <c r="Z117" i="7" s="1"/>
  <c r="AE121" i="1"/>
  <c r="AB117" i="7" s="1"/>
  <c r="AQ120" i="1"/>
  <c r="AN116" i="7" s="1"/>
  <c r="AB120" i="1"/>
  <c r="Z116" i="7" s="1"/>
  <c r="Z120" i="1"/>
  <c r="X116" i="7" s="1"/>
  <c r="AE120" i="1"/>
  <c r="AB116" i="7" s="1"/>
  <c r="AA81" i="1"/>
  <c r="Y78" i="7" s="1"/>
  <c r="Z81" i="1"/>
  <c r="X78" i="7" s="1"/>
  <c r="AE81" i="1"/>
  <c r="AB78" i="7" s="1"/>
  <c r="AA80" i="1"/>
  <c r="Y77" i="7" s="1"/>
  <c r="AC80" i="1"/>
  <c r="AA77" i="7" s="1"/>
  <c r="AC79" i="1"/>
  <c r="AA76" i="7" s="1"/>
  <c r="Z79" i="1"/>
  <c r="X76" i="7" s="1"/>
  <c r="AA79" i="1"/>
  <c r="Y76" i="7" s="1"/>
  <c r="AB79" i="1"/>
  <c r="Z76" i="7" s="1"/>
  <c r="AE79" i="1"/>
  <c r="AB76" i="7" s="1"/>
  <c r="AC77" i="1"/>
  <c r="AA74" i="7" s="1"/>
  <c r="AA77" i="1"/>
  <c r="Y74" i="7" s="1"/>
  <c r="AB77" i="1"/>
  <c r="Z74" i="7" s="1"/>
  <c r="AC76" i="1"/>
  <c r="AA73" i="7" s="1"/>
  <c r="Z76" i="1"/>
  <c r="X73" i="7" s="1"/>
  <c r="AA76" i="1"/>
  <c r="Y73" i="7" s="1"/>
  <c r="AB76" i="1"/>
  <c r="Z73" i="7" s="1"/>
  <c r="AE76" i="1"/>
  <c r="AB73" i="7" s="1"/>
  <c r="AA19" i="1"/>
  <c r="Y18" i="7" s="1"/>
  <c r="Z19" i="1"/>
  <c r="X18" i="7" s="1"/>
  <c r="AE19" i="1"/>
  <c r="AB18" i="7" s="1"/>
  <c r="AC109" i="1"/>
  <c r="AA105" i="7" s="1"/>
  <c r="AB109" i="1"/>
  <c r="Z105" i="7" s="1"/>
  <c r="AC33" i="1"/>
  <c r="AA30" i="7" s="1"/>
  <c r="AC32" i="1"/>
  <c r="AA29" i="7" s="1"/>
  <c r="Z32" i="1"/>
  <c r="X29" i="7" s="1"/>
  <c r="AB32" i="1"/>
  <c r="Z29" i="7" s="1"/>
  <c r="AE32" i="1"/>
  <c r="AB29" i="7" s="1"/>
  <c r="AQ10" i="1"/>
  <c r="AN9" i="7" s="1"/>
  <c r="AB10" i="1"/>
  <c r="Z9" i="7" s="1"/>
  <c r="Z10" i="1"/>
  <c r="X9" i="7" s="1"/>
  <c r="AC10" i="1"/>
  <c r="AA9" i="7" s="1"/>
  <c r="AE10" i="1"/>
  <c r="AB9" i="7" s="1"/>
  <c r="AA69" i="1"/>
  <c r="Y66" i="7" s="1"/>
  <c r="Z69" i="1"/>
  <c r="X66" i="7" s="1"/>
  <c r="AC69" i="1"/>
  <c r="AA66" i="7" s="1"/>
  <c r="AE69" i="1"/>
  <c r="AB66" i="7" s="1"/>
  <c r="AC68" i="1"/>
  <c r="AA65" i="7" s="1"/>
  <c r="Z68" i="1"/>
  <c r="X65" i="7" s="1"/>
  <c r="AA68" i="1"/>
  <c r="Y65" i="7" s="1"/>
  <c r="AB68" i="1"/>
  <c r="Z65" i="7" s="1"/>
  <c r="AE68" i="1"/>
  <c r="AB65" i="7" s="1"/>
  <c r="AC71" i="1"/>
  <c r="AA68" i="7" s="1"/>
  <c r="Z71" i="1"/>
  <c r="X68" i="7" s="1"/>
  <c r="AA71" i="1"/>
  <c r="Y68" i="7" s="1"/>
  <c r="AB71" i="1"/>
  <c r="Z68" i="7" s="1"/>
  <c r="AE71" i="1"/>
  <c r="AB68" i="7" s="1"/>
  <c r="Z99" i="1"/>
  <c r="X96" i="7" s="1"/>
  <c r="AE99" i="1"/>
  <c r="AB96" i="7" s="1"/>
  <c r="AC12" i="1"/>
  <c r="AA11" i="7" s="1"/>
  <c r="AA12" i="1"/>
  <c r="Y11" i="7" s="1"/>
  <c r="AB12" i="1"/>
  <c r="Z11" i="7" s="1"/>
  <c r="AC11" i="1"/>
  <c r="AA10" i="7" s="1"/>
  <c r="Z11" i="1"/>
  <c r="X10" i="7" s="1"/>
  <c r="AA11" i="1"/>
  <c r="Y10" i="7" s="1"/>
  <c r="AB11" i="1"/>
  <c r="Z10" i="7" s="1"/>
  <c r="AE11" i="1"/>
  <c r="AB10" i="7" s="1"/>
  <c r="AC75" i="1"/>
  <c r="AA72" i="7" s="1"/>
  <c r="AA75" i="1"/>
  <c r="Y72" i="7" s="1"/>
  <c r="AC9" i="1"/>
  <c r="AA8" i="7" s="1"/>
  <c r="Z9" i="1"/>
  <c r="X8" i="7" s="1"/>
  <c r="AA9" i="1"/>
  <c r="Y8" i="7" s="1"/>
  <c r="AB9" i="1"/>
  <c r="Z8" i="7" s="1"/>
  <c r="AE9" i="1"/>
  <c r="AB8" i="7" s="1"/>
  <c r="AB8" i="1"/>
  <c r="Z7" i="7" s="1"/>
  <c r="Z8" i="1"/>
  <c r="X7" i="7" s="1"/>
  <c r="AA66" i="1"/>
  <c r="Y63" i="7" s="1"/>
  <c r="Z66" i="1"/>
  <c r="X63" i="7" s="1"/>
  <c r="AC74" i="1"/>
  <c r="AA71" i="7" s="1"/>
  <c r="Z74" i="1"/>
  <c r="X71" i="7" s="1"/>
  <c r="AA74" i="1"/>
  <c r="Y71" i="7" s="1"/>
  <c r="AB74" i="1"/>
  <c r="Z71" i="7" s="1"/>
  <c r="AE74" i="1"/>
  <c r="AB71" i="7" s="1"/>
  <c r="AQ65" i="1"/>
  <c r="AN62" i="7" s="1"/>
  <c r="AB65" i="1"/>
  <c r="Z62" i="7" s="1"/>
  <c r="Z65" i="1"/>
  <c r="X62" i="7" s="1"/>
  <c r="AA65" i="1"/>
  <c r="Y62" i="7" s="1"/>
  <c r="AE65" i="1"/>
  <c r="AB62" i="7" s="1"/>
  <c r="Z103" i="1"/>
  <c r="X99" i="7" s="1"/>
  <c r="AE103" i="1"/>
  <c r="AB99" i="7" s="1"/>
  <c r="AC72" i="1"/>
  <c r="AA69" i="7" s="1"/>
  <c r="Z72" i="1"/>
  <c r="X69" i="7" s="1"/>
  <c r="AA72" i="1"/>
  <c r="Y69" i="7" s="1"/>
  <c r="AB72" i="1"/>
  <c r="Z69" i="7" s="1"/>
  <c r="AE72" i="1"/>
  <c r="AB69" i="7" s="1"/>
  <c r="AQ102" i="1"/>
  <c r="AN98" i="7" s="1"/>
  <c r="AB102" i="1"/>
  <c r="Z98" i="7" s="1"/>
  <c r="Z102" i="1"/>
  <c r="X98" i="7" s="1"/>
  <c r="AA102" i="1"/>
  <c r="Y98" i="7" s="1"/>
  <c r="AE102" i="1"/>
  <c r="AB98" i="7" s="1"/>
  <c r="AC4" i="1"/>
  <c r="AA3" i="7" s="1"/>
  <c r="Z4" i="1"/>
  <c r="X3" i="7" s="1"/>
  <c r="AA4" i="1"/>
  <c r="Y3" i="7" s="1"/>
  <c r="AB4" i="1"/>
  <c r="Z3" i="7" s="1"/>
  <c r="AE4" i="1"/>
  <c r="AB3" i="7" s="1"/>
  <c r="AQ143" i="1"/>
  <c r="AN139" i="7" s="1"/>
  <c r="AB143" i="1"/>
  <c r="Z139" i="7" s="1"/>
  <c r="Z143" i="1"/>
  <c r="X139" i="7" s="1"/>
  <c r="AA143" i="1"/>
  <c r="Y139" i="7" s="1"/>
  <c r="AE143" i="1"/>
  <c r="AB139" i="7" s="1"/>
  <c r="Z107" i="1"/>
  <c r="X103" i="7" s="1"/>
  <c r="AC107" i="1"/>
  <c r="AA103" i="7" s="1"/>
  <c r="AB98" i="1"/>
  <c r="Z95" i="7" s="1"/>
  <c r="AC98" i="1"/>
  <c r="AA95" i="7" s="1"/>
  <c r="AC97" i="1"/>
  <c r="AA94" i="7" s="1"/>
  <c r="Z97" i="1"/>
  <c r="X94" i="7" s="1"/>
  <c r="AA97" i="1"/>
  <c r="Y94" i="7" s="1"/>
  <c r="AB97" i="1"/>
  <c r="Z94" i="7" s="1"/>
  <c r="AE97" i="1"/>
  <c r="AB94" i="7" s="1"/>
  <c r="AQ96" i="1"/>
  <c r="AN93" i="7" s="1"/>
  <c r="AB96" i="1"/>
  <c r="Z93" i="7" s="1"/>
  <c r="Z96" i="1"/>
  <c r="X93" i="7" s="1"/>
  <c r="AA96" i="1"/>
  <c r="Y93" i="7" s="1"/>
  <c r="AE96" i="1"/>
  <c r="AB93" i="7" s="1"/>
  <c r="Z153" i="1"/>
  <c r="X149" i="7" s="1"/>
  <c r="AC153" i="1"/>
  <c r="AA149" i="7" s="1"/>
  <c r="AE153" i="1"/>
  <c r="AB149" i="7" s="1"/>
  <c r="AB152" i="1"/>
  <c r="Z148" i="7" s="1"/>
  <c r="AC152" i="1"/>
  <c r="AA148" i="7" s="1"/>
  <c r="AC151" i="1"/>
  <c r="AA147" i="7" s="1"/>
  <c r="Z151" i="1"/>
  <c r="X147" i="7" s="1"/>
  <c r="AA151" i="1"/>
  <c r="Y147" i="7" s="1"/>
  <c r="AB151" i="1"/>
  <c r="Z147" i="7" s="1"/>
  <c r="AE151" i="1"/>
  <c r="AB147" i="7" s="1"/>
  <c r="AQ137" i="1"/>
  <c r="AN133" i="7" s="1"/>
  <c r="AB137" i="1"/>
  <c r="Z133" i="7" s="1"/>
  <c r="Z137" i="1"/>
  <c r="X133" i="7" s="1"/>
  <c r="AA137" i="1"/>
  <c r="Y133" i="7" s="1"/>
  <c r="AE137" i="1"/>
  <c r="AB133" i="7" s="1"/>
  <c r="Z57" i="1"/>
  <c r="X54" i="7" s="1"/>
  <c r="AQ95" i="1"/>
  <c r="AN92" i="7" s="1"/>
  <c r="AA93" i="1"/>
  <c r="Y90" i="7" s="1"/>
  <c r="AQ136" i="1"/>
  <c r="AN132" i="7" s="1"/>
  <c r="AQ57" i="1"/>
  <c r="AN54" i="7" s="1"/>
  <c r="AQ93" i="1"/>
  <c r="AN90" i="7" s="1"/>
  <c r="AQ61" i="1"/>
  <c r="AN58" i="7" s="1"/>
  <c r="AB56" i="1"/>
  <c r="Z53" i="7" s="1"/>
  <c r="AQ142" i="1"/>
  <c r="AN138" i="7" s="1"/>
  <c r="AA95" i="1"/>
  <c r="Y92" i="7" s="1"/>
  <c r="Z145" i="1"/>
  <c r="X141" i="7" s="1"/>
  <c r="AQ56" i="1"/>
  <c r="AN53" i="7" s="1"/>
  <c r="AA56" i="1"/>
  <c r="Y53" i="7" s="1"/>
  <c r="AE55" i="1"/>
  <c r="AB52" i="7" s="1"/>
  <c r="AB93" i="1"/>
  <c r="Z90" i="7" s="1"/>
  <c r="AE136" i="1"/>
  <c r="AB132" i="7" s="1"/>
  <c r="AC315" i="1"/>
  <c r="Z308" i="1"/>
  <c r="AE308" i="1"/>
  <c r="Z292" i="1"/>
  <c r="AE292" i="1"/>
  <c r="AB292" i="1"/>
  <c r="AB289" i="1"/>
  <c r="AA275" i="1"/>
  <c r="AB275" i="1"/>
  <c r="Z275" i="1"/>
  <c r="AC275" i="1"/>
  <c r="AE275" i="1"/>
  <c r="AC316" i="1"/>
  <c r="AC312" i="1"/>
  <c r="AB309" i="1"/>
  <c r="Z306" i="1"/>
  <c r="Z305" i="1"/>
  <c r="AB296" i="1"/>
  <c r="Z290" i="1"/>
  <c r="Z254" i="1"/>
  <c r="AE254" i="1"/>
  <c r="AA254" i="1"/>
  <c r="AB254" i="1"/>
  <c r="AC254" i="1"/>
  <c r="AE306" i="1"/>
  <c r="AE305" i="1"/>
  <c r="AB297" i="1"/>
  <c r="Z294" i="1"/>
  <c r="AC311" i="1"/>
  <c r="AB308" i="1"/>
  <c r="AA306" i="1"/>
  <c r="AB305" i="1"/>
  <c r="AA290" i="1"/>
  <c r="AQ148" i="1"/>
  <c r="AN144" i="7" s="1"/>
  <c r="AB315" i="1"/>
  <c r="AB311" i="1"/>
  <c r="AA308" i="1"/>
  <c r="Z296" i="1"/>
  <c r="AE296" i="1"/>
  <c r="AA294" i="1"/>
  <c r="AB293" i="1"/>
  <c r="AA292" i="1"/>
  <c r="Z289" i="1"/>
  <c r="Z258" i="1"/>
  <c r="AE258" i="1"/>
  <c r="AA258" i="1"/>
  <c r="AB258" i="1"/>
  <c r="AC258" i="1"/>
  <c r="Z222" i="1"/>
  <c r="AE222" i="1"/>
  <c r="AA222" i="1"/>
  <c r="AB222" i="1"/>
  <c r="AC222" i="1"/>
  <c r="AC317" i="1"/>
  <c r="AB316" i="1"/>
  <c r="AA315" i="1"/>
  <c r="AC313" i="1"/>
  <c r="AB312" i="1"/>
  <c r="AA311" i="1"/>
  <c r="Z309" i="1"/>
  <c r="Z300" i="1"/>
  <c r="AE300" i="1"/>
  <c r="AB300" i="1"/>
  <c r="AA298" i="1"/>
  <c r="Z293" i="1"/>
  <c r="AE290" i="1"/>
  <c r="AE289" i="1"/>
  <c r="AA259" i="1"/>
  <c r="AB259" i="1"/>
  <c r="Z259" i="1"/>
  <c r="AC259" i="1"/>
  <c r="AE259" i="1"/>
  <c r="AE315" i="1"/>
  <c r="AE311" i="1"/>
  <c r="AE309" i="1"/>
  <c r="AC308" i="1"/>
  <c r="AC306" i="1"/>
  <c r="AC305" i="1"/>
  <c r="Z304" i="1"/>
  <c r="AE304" i="1"/>
  <c r="AB304" i="1"/>
  <c r="AQ303" i="1"/>
  <c r="AG303" i="1" s="1"/>
  <c r="AA302" i="1"/>
  <c r="AB301" i="1"/>
  <c r="AA300" i="1"/>
  <c r="Z298" i="1"/>
  <c r="Z297" i="1"/>
  <c r="AE294" i="1"/>
  <c r="AE293" i="1"/>
  <c r="AC292" i="1"/>
  <c r="AC290" i="1"/>
  <c r="AC289" i="1"/>
  <c r="AB287" i="1"/>
  <c r="AC287" i="1"/>
  <c r="AE287" i="1"/>
  <c r="AA286" i="1"/>
  <c r="AC286" i="1"/>
  <c r="AE286" i="1"/>
  <c r="Z274" i="1"/>
  <c r="AE274" i="1"/>
  <c r="AA274" i="1"/>
  <c r="AB274" i="1"/>
  <c r="AC274" i="1"/>
  <c r="Z238" i="1"/>
  <c r="AE238" i="1"/>
  <c r="AA238" i="1"/>
  <c r="AB238" i="1"/>
  <c r="AC238" i="1"/>
  <c r="Z206" i="1"/>
  <c r="AE206" i="1"/>
  <c r="AA206" i="1"/>
  <c r="AB206" i="1"/>
  <c r="AC206" i="1"/>
  <c r="AE288" i="1"/>
  <c r="AC283" i="1"/>
  <c r="AC282" i="1"/>
  <c r="Z281" i="1"/>
  <c r="AE281" i="1"/>
  <c r="AB281" i="1"/>
  <c r="AQ280" i="1"/>
  <c r="AG280" i="1" s="1"/>
  <c r="AA279" i="1"/>
  <c r="AB279" i="1"/>
  <c r="Z278" i="1"/>
  <c r="AE278" i="1"/>
  <c r="AA278" i="1"/>
  <c r="AQ273" i="1"/>
  <c r="AG273" i="1" s="1"/>
  <c r="AQ272" i="1"/>
  <c r="AG272" i="1" s="1"/>
  <c r="AC271" i="1"/>
  <c r="AC270" i="1"/>
  <c r="AA263" i="1"/>
  <c r="AB263" i="1"/>
  <c r="Z262" i="1"/>
  <c r="AE262" i="1"/>
  <c r="AA262" i="1"/>
  <c r="AQ257" i="1"/>
  <c r="AG257" i="1" s="1"/>
  <c r="AQ256" i="1"/>
  <c r="AG256" i="1" s="1"/>
  <c r="Z242" i="1"/>
  <c r="AE242" i="1"/>
  <c r="AA242" i="1"/>
  <c r="AB242" i="1"/>
  <c r="AQ240" i="1"/>
  <c r="AG240" i="1" s="1"/>
  <c r="Z226" i="1"/>
  <c r="AE226" i="1"/>
  <c r="AA226" i="1"/>
  <c r="AB226" i="1"/>
  <c r="AQ224" i="1"/>
  <c r="AG224" i="1" s="1"/>
  <c r="Z210" i="1"/>
  <c r="AE210" i="1"/>
  <c r="AA210" i="1"/>
  <c r="AB210" i="1"/>
  <c r="AQ208" i="1"/>
  <c r="AG208" i="1" s="1"/>
  <c r="Z198" i="1"/>
  <c r="AE198" i="1"/>
  <c r="AC198" i="1"/>
  <c r="AA198" i="1"/>
  <c r="AA195" i="1"/>
  <c r="AC195" i="1"/>
  <c r="AE195" i="1"/>
  <c r="Z195" i="1"/>
  <c r="AB288" i="1"/>
  <c r="Z285" i="1"/>
  <c r="AE285" i="1"/>
  <c r="AB285" i="1"/>
  <c r="AQ284" i="1"/>
  <c r="AG284" i="1" s="1"/>
  <c r="AA283" i="1"/>
  <c r="AB282" i="1"/>
  <c r="AQ277" i="1"/>
  <c r="AG277" i="1" s="1"/>
  <c r="AQ276" i="1"/>
  <c r="AG276" i="1" s="1"/>
  <c r="AA267" i="1"/>
  <c r="AB267" i="1"/>
  <c r="Z266" i="1"/>
  <c r="AE266" i="1"/>
  <c r="AA266" i="1"/>
  <c r="AQ261" i="1"/>
  <c r="AG261" i="1" s="1"/>
  <c r="AQ260" i="1"/>
  <c r="AG260" i="1" s="1"/>
  <c r="Z246" i="1"/>
  <c r="AE246" i="1"/>
  <c r="AA246" i="1"/>
  <c r="AB246" i="1"/>
  <c r="AQ244" i="1"/>
  <c r="AG244" i="1" s="1"/>
  <c r="Z230" i="1"/>
  <c r="AE230" i="1"/>
  <c r="AA230" i="1"/>
  <c r="AB230" i="1"/>
  <c r="AQ228" i="1"/>
  <c r="AG228" i="1" s="1"/>
  <c r="Z214" i="1"/>
  <c r="AE214" i="1"/>
  <c r="AA214" i="1"/>
  <c r="AB214" i="1"/>
  <c r="AQ212" i="1"/>
  <c r="AG212" i="1" s="1"/>
  <c r="AA271" i="1"/>
  <c r="AB271" i="1"/>
  <c r="Z270" i="1"/>
  <c r="AE270" i="1"/>
  <c r="AA270" i="1"/>
  <c r="AQ265" i="1"/>
  <c r="AG265" i="1" s="1"/>
  <c r="AQ264" i="1"/>
  <c r="AG264" i="1" s="1"/>
  <c r="Z250" i="1"/>
  <c r="AE250" i="1"/>
  <c r="AA250" i="1"/>
  <c r="AB250" i="1"/>
  <c r="AQ248" i="1"/>
  <c r="AG248" i="1" s="1"/>
  <c r="Z234" i="1"/>
  <c r="AE234" i="1"/>
  <c r="AA234" i="1"/>
  <c r="AB234" i="1"/>
  <c r="AQ232" i="1"/>
  <c r="AG232" i="1" s="1"/>
  <c r="Z218" i="1"/>
  <c r="AE218" i="1"/>
  <c r="AA218" i="1"/>
  <c r="AB218" i="1"/>
  <c r="AQ216" i="1"/>
  <c r="AG216" i="1" s="1"/>
  <c r="AB196" i="1"/>
  <c r="AC196" i="1"/>
  <c r="AE196" i="1"/>
  <c r="Z196" i="1"/>
  <c r="AQ186" i="1"/>
  <c r="AG186" i="1" s="1"/>
  <c r="AA175" i="1"/>
  <c r="AB175" i="1"/>
  <c r="Z175" i="1"/>
  <c r="AC175" i="1"/>
  <c r="AE175" i="1"/>
  <c r="Z174" i="1"/>
  <c r="AE174" i="1"/>
  <c r="AA174" i="1"/>
  <c r="AB174" i="1"/>
  <c r="AC174" i="1"/>
  <c r="AC255" i="1"/>
  <c r="AC251" i="1"/>
  <c r="AC247" i="1"/>
  <c r="AC243" i="1"/>
  <c r="AC239" i="1"/>
  <c r="AC235" i="1"/>
  <c r="AC231" i="1"/>
  <c r="AC227" i="1"/>
  <c r="AC223" i="1"/>
  <c r="AC219" i="1"/>
  <c r="AC215" i="1"/>
  <c r="AC211" i="1"/>
  <c r="AC207" i="1"/>
  <c r="Z202" i="1"/>
  <c r="AE202" i="1"/>
  <c r="AB202" i="1"/>
  <c r="AA200" i="1"/>
  <c r="AB199" i="1"/>
  <c r="Z186" i="1"/>
  <c r="AE186" i="1"/>
  <c r="AB186" i="1"/>
  <c r="Z165" i="1"/>
  <c r="AE165" i="1"/>
  <c r="AC165" i="1"/>
  <c r="AA165" i="1"/>
  <c r="AA82" i="1"/>
  <c r="Y79" i="7" s="1"/>
  <c r="AC82" i="1"/>
  <c r="AA79" i="7" s="1"/>
  <c r="AE82" i="1"/>
  <c r="AB79" i="7" s="1"/>
  <c r="Z82" i="1"/>
  <c r="X79" i="7" s="1"/>
  <c r="AB82" i="1"/>
  <c r="Z79" i="7" s="1"/>
  <c r="AE277" i="1"/>
  <c r="Z277" i="1"/>
  <c r="AE273" i="1"/>
  <c r="Z273" i="1"/>
  <c r="AE269" i="1"/>
  <c r="Z269" i="1"/>
  <c r="AE265" i="1"/>
  <c r="Z265" i="1"/>
  <c r="AE261" i="1"/>
  <c r="Z261" i="1"/>
  <c r="AE257" i="1"/>
  <c r="Z257" i="1"/>
  <c r="AB255" i="1"/>
  <c r="AE253" i="1"/>
  <c r="Z253" i="1"/>
  <c r="AB251" i="1"/>
  <c r="AE249" i="1"/>
  <c r="Z249" i="1"/>
  <c r="AB247" i="1"/>
  <c r="AE245" i="1"/>
  <c r="Z245" i="1"/>
  <c r="AB243" i="1"/>
  <c r="AE241" i="1"/>
  <c r="Z241" i="1"/>
  <c r="AB239" i="1"/>
  <c r="AE237" i="1"/>
  <c r="Z237" i="1"/>
  <c r="AB235" i="1"/>
  <c r="AE233" i="1"/>
  <c r="Z233" i="1"/>
  <c r="AB231" i="1"/>
  <c r="AE229" i="1"/>
  <c r="Z229" i="1"/>
  <c r="AB227" i="1"/>
  <c r="AE225" i="1"/>
  <c r="Z225" i="1"/>
  <c r="AB223" i="1"/>
  <c r="AE221" i="1"/>
  <c r="Z221" i="1"/>
  <c r="AB219" i="1"/>
  <c r="AE217" i="1"/>
  <c r="Z217" i="1"/>
  <c r="AB215" i="1"/>
  <c r="AE213" i="1"/>
  <c r="Z213" i="1"/>
  <c r="AB211" i="1"/>
  <c r="AE209" i="1"/>
  <c r="Z209" i="1"/>
  <c r="AB207" i="1"/>
  <c r="AE205" i="1"/>
  <c r="Z205" i="1"/>
  <c r="AA204" i="1"/>
  <c r="AB203" i="1"/>
  <c r="AA202" i="1"/>
  <c r="Z200" i="1"/>
  <c r="Z199" i="1"/>
  <c r="AC192" i="1"/>
  <c r="AC191" i="1"/>
  <c r="Z190" i="1"/>
  <c r="AE190" i="1"/>
  <c r="AB190" i="1"/>
  <c r="AQ189" i="1"/>
  <c r="AG189" i="1" s="1"/>
  <c r="AA188" i="1"/>
  <c r="AB187" i="1"/>
  <c r="AA186" i="1"/>
  <c r="AA183" i="1"/>
  <c r="AB183" i="1"/>
  <c r="Z182" i="1"/>
  <c r="AE182" i="1"/>
  <c r="AA182" i="1"/>
  <c r="AB165" i="1"/>
  <c r="AB163" i="1"/>
  <c r="AC163" i="1"/>
  <c r="AE163" i="1"/>
  <c r="Z163" i="1"/>
  <c r="AE200" i="1"/>
  <c r="AE199" i="1"/>
  <c r="Z194" i="1"/>
  <c r="AE194" i="1"/>
  <c r="AB194" i="1"/>
  <c r="AQ193" i="1"/>
  <c r="AG193" i="1" s="1"/>
  <c r="AB191" i="1"/>
  <c r="AQ181" i="1"/>
  <c r="AG181" i="1" s="1"/>
  <c r="AA179" i="1"/>
  <c r="AB179" i="1"/>
  <c r="Z178" i="1"/>
  <c r="AE178" i="1"/>
  <c r="AA178" i="1"/>
  <c r="Z170" i="1"/>
  <c r="AE170" i="1"/>
  <c r="AA170" i="1"/>
  <c r="AB170" i="1"/>
  <c r="AA162" i="1"/>
  <c r="AC162" i="1"/>
  <c r="AE162" i="1"/>
  <c r="Z162" i="1"/>
  <c r="Z130" i="1"/>
  <c r="X126" i="7" s="1"/>
  <c r="AE130" i="1"/>
  <c r="AB126" i="7" s="1"/>
  <c r="AA130" i="1"/>
  <c r="Y126" i="7" s="1"/>
  <c r="AB130" i="1"/>
  <c r="Z126" i="7" s="1"/>
  <c r="AC130" i="1"/>
  <c r="AA126" i="7" s="1"/>
  <c r="AC171" i="1"/>
  <c r="Z169" i="1"/>
  <c r="AE169" i="1"/>
  <c r="AB169" i="1"/>
  <c r="AA167" i="1"/>
  <c r="AB166" i="1"/>
  <c r="Z154" i="1"/>
  <c r="X150" i="7" s="1"/>
  <c r="AE154" i="1"/>
  <c r="AB150" i="7" s="1"/>
  <c r="AA154" i="1"/>
  <c r="Y150" i="7" s="1"/>
  <c r="Z123" i="1"/>
  <c r="X119" i="7" s="1"/>
  <c r="AE123" i="1"/>
  <c r="AB119" i="7" s="1"/>
  <c r="AA123" i="1"/>
  <c r="Y119" i="7" s="1"/>
  <c r="AB123" i="1"/>
  <c r="Z119" i="7" s="1"/>
  <c r="AC184" i="1"/>
  <c r="AC180" i="1"/>
  <c r="AC176" i="1"/>
  <c r="AC172" i="1"/>
  <c r="AB171" i="1"/>
  <c r="AA169" i="1"/>
  <c r="Z167" i="1"/>
  <c r="Z166" i="1"/>
  <c r="Z157" i="1"/>
  <c r="AE157" i="1"/>
  <c r="AB157" i="1"/>
  <c r="AA155" i="1"/>
  <c r="Z83" i="1"/>
  <c r="X80" i="7" s="1"/>
  <c r="AE83" i="1"/>
  <c r="AB80" i="7" s="1"/>
  <c r="AA83" i="1"/>
  <c r="Y80" i="7" s="1"/>
  <c r="AB83" i="1"/>
  <c r="Z80" i="7" s="1"/>
  <c r="AC123" i="1"/>
  <c r="AA119" i="7" s="1"/>
  <c r="AE167" i="1"/>
  <c r="AE166" i="1"/>
  <c r="Z161" i="1"/>
  <c r="AE161" i="1"/>
  <c r="AB161" i="1"/>
  <c r="AQ160" i="1"/>
  <c r="AA159" i="1"/>
  <c r="AB158" i="1"/>
  <c r="AA157" i="1"/>
  <c r="Z155" i="1"/>
  <c r="AC154" i="1"/>
  <c r="AA150" i="7" s="1"/>
  <c r="Z134" i="1"/>
  <c r="X130" i="7" s="1"/>
  <c r="AE134" i="1"/>
  <c r="AB130" i="7" s="1"/>
  <c r="AA134" i="1"/>
  <c r="Y130" i="7" s="1"/>
  <c r="Z126" i="1"/>
  <c r="X122" i="7" s="1"/>
  <c r="AE126" i="1"/>
  <c r="AB122" i="7" s="1"/>
  <c r="AA126" i="1"/>
  <c r="Y122" i="7" s="1"/>
  <c r="AB126" i="1"/>
  <c r="Z122" i="7" s="1"/>
  <c r="AQ85" i="1"/>
  <c r="AN82" i="7" s="1"/>
  <c r="AC83" i="1"/>
  <c r="AA80" i="7" s="1"/>
  <c r="AB53" i="1"/>
  <c r="Z50" i="7" s="1"/>
  <c r="Z53" i="1"/>
  <c r="X50" i="7" s="1"/>
  <c r="AC53" i="1"/>
  <c r="AA50" i="7" s="1"/>
  <c r="AE53" i="1"/>
  <c r="AB50" i="7" s="1"/>
  <c r="Z78" i="1"/>
  <c r="X75" i="7" s="1"/>
  <c r="AE78" i="1"/>
  <c r="AB75" i="7" s="1"/>
  <c r="AA78" i="1"/>
  <c r="Y75" i="7" s="1"/>
  <c r="AB78" i="1"/>
  <c r="Z75" i="7" s="1"/>
  <c r="AC78" i="1"/>
  <c r="AA75" i="7" s="1"/>
  <c r="AC131" i="1"/>
  <c r="AA127" i="7" s="1"/>
  <c r="AC127" i="1"/>
  <c r="AA123" i="7" s="1"/>
  <c r="AC84" i="1"/>
  <c r="AA81" i="7" s="1"/>
  <c r="AC124" i="1"/>
  <c r="AA120" i="7" s="1"/>
  <c r="AC21" i="1"/>
  <c r="AA20" i="7" s="1"/>
  <c r="AA119" i="1"/>
  <c r="Y115" i="7" s="1"/>
  <c r="AB119" i="1"/>
  <c r="Z115" i="7" s="1"/>
  <c r="Z119" i="1"/>
  <c r="X115" i="7" s="1"/>
  <c r="AC119" i="1"/>
  <c r="AA115" i="7" s="1"/>
  <c r="AE119" i="1"/>
  <c r="AB115" i="7" s="1"/>
  <c r="Z104" i="1"/>
  <c r="X100" i="7" s="1"/>
  <c r="AE104" i="1"/>
  <c r="AB100" i="7" s="1"/>
  <c r="AA104" i="1"/>
  <c r="Y100" i="7" s="1"/>
  <c r="AB104" i="1"/>
  <c r="Z100" i="7" s="1"/>
  <c r="AC104" i="1"/>
  <c r="AA100" i="7" s="1"/>
  <c r="AE88" i="1"/>
  <c r="AB85" i="7" s="1"/>
  <c r="Z88" i="1"/>
  <c r="X85" i="7" s="1"/>
  <c r="AE135" i="1"/>
  <c r="AB131" i="7" s="1"/>
  <c r="Z135" i="1"/>
  <c r="X131" i="7" s="1"/>
  <c r="AE133" i="1"/>
  <c r="AB129" i="7" s="1"/>
  <c r="Z133" i="1"/>
  <c r="X129" i="7" s="1"/>
  <c r="AB131" i="1"/>
  <c r="Z127" i="7" s="1"/>
  <c r="AE129" i="1"/>
  <c r="AB125" i="7" s="1"/>
  <c r="Z129" i="1"/>
  <c r="X125" i="7" s="1"/>
  <c r="AB127" i="1"/>
  <c r="Z123" i="7" s="1"/>
  <c r="AE86" i="1"/>
  <c r="AB83" i="7" s="1"/>
  <c r="Z86" i="1"/>
  <c r="X83" i="7" s="1"/>
  <c r="AB84" i="1"/>
  <c r="Z81" i="7" s="1"/>
  <c r="AE20" i="1"/>
  <c r="AB19" i="7" s="1"/>
  <c r="Z20" i="1"/>
  <c r="X19" i="7" s="1"/>
  <c r="AB124" i="1"/>
  <c r="Z120" i="7" s="1"/>
  <c r="AE122" i="1"/>
  <c r="AB118" i="7" s="1"/>
  <c r="Z122" i="1"/>
  <c r="X118" i="7" s="1"/>
  <c r="AB21" i="1"/>
  <c r="Z20" i="7" s="1"/>
  <c r="AC120" i="1"/>
  <c r="AA116" i="7" s="1"/>
  <c r="AC81" i="1"/>
  <c r="AA78" i="7" s="1"/>
  <c r="Z80" i="1"/>
  <c r="X77" i="7" s="1"/>
  <c r="AE80" i="1"/>
  <c r="AB77" i="7" s="1"/>
  <c r="AB80" i="1"/>
  <c r="Z77" i="7" s="1"/>
  <c r="AQ79" i="1"/>
  <c r="AN76" i="7" s="1"/>
  <c r="AQ33" i="1"/>
  <c r="AN30" i="7" s="1"/>
  <c r="AQ114" i="1"/>
  <c r="AN110" i="7" s="1"/>
  <c r="Z111" i="1"/>
  <c r="X107" i="7" s="1"/>
  <c r="AE111" i="1"/>
  <c r="AB107" i="7" s="1"/>
  <c r="AB111" i="1"/>
  <c r="Z107" i="7" s="1"/>
  <c r="AQ121" i="1"/>
  <c r="AN117" i="7" s="1"/>
  <c r="AA120" i="1"/>
  <c r="Y116" i="7" s="1"/>
  <c r="AB81" i="1"/>
  <c r="Z78" i="7" s="1"/>
  <c r="Z110" i="1"/>
  <c r="X106" i="7" s="1"/>
  <c r="AE110" i="1"/>
  <c r="AB106" i="7" s="1"/>
  <c r="AB110" i="1"/>
  <c r="Z106" i="7" s="1"/>
  <c r="AC19" i="1"/>
  <c r="AA18" i="7" s="1"/>
  <c r="Z114" i="1"/>
  <c r="X110" i="7" s="1"/>
  <c r="AE114" i="1"/>
  <c r="AB110" i="7" s="1"/>
  <c r="AB114" i="1"/>
  <c r="Z110" i="7" s="1"/>
  <c r="AC99" i="1"/>
  <c r="AA96" i="7" s="1"/>
  <c r="AC70" i="1"/>
  <c r="AA67" i="7" s="1"/>
  <c r="AA101" i="1"/>
  <c r="Y97" i="7" s="1"/>
  <c r="AB101" i="1"/>
  <c r="Z97" i="7" s="1"/>
  <c r="Z101" i="1"/>
  <c r="X97" i="7" s="1"/>
  <c r="AC101" i="1"/>
  <c r="AA97" i="7" s="1"/>
  <c r="AE101" i="1"/>
  <c r="AB97" i="7" s="1"/>
  <c r="Z64" i="1"/>
  <c r="X61" i="7" s="1"/>
  <c r="AE64" i="1"/>
  <c r="AB61" i="7" s="1"/>
  <c r="AA64" i="1"/>
  <c r="Y61" i="7" s="1"/>
  <c r="AB64" i="1"/>
  <c r="Z61" i="7" s="1"/>
  <c r="AC64" i="1"/>
  <c r="AA61" i="7" s="1"/>
  <c r="AE77" i="1"/>
  <c r="AB74" i="7" s="1"/>
  <c r="Z77" i="1"/>
  <c r="X74" i="7" s="1"/>
  <c r="AB19" i="1"/>
  <c r="Z18" i="7" s="1"/>
  <c r="AE109" i="1"/>
  <c r="AB105" i="7" s="1"/>
  <c r="Z109" i="1"/>
  <c r="X105" i="7" s="1"/>
  <c r="Z33" i="1"/>
  <c r="X30" i="7" s="1"/>
  <c r="AE33" i="1"/>
  <c r="AB30" i="7" s="1"/>
  <c r="AQ32" i="1"/>
  <c r="AN29" i="7" s="1"/>
  <c r="AA10" i="1"/>
  <c r="Y9" i="7" s="1"/>
  <c r="AB69" i="1"/>
  <c r="Z66" i="7" s="1"/>
  <c r="AA114" i="1"/>
  <c r="Y110" i="7" s="1"/>
  <c r="AA99" i="1"/>
  <c r="Y96" i="7" s="1"/>
  <c r="AB99" i="1"/>
  <c r="Z96" i="7" s="1"/>
  <c r="Z70" i="1"/>
  <c r="X67" i="7" s="1"/>
  <c r="AE70" i="1"/>
  <c r="AB67" i="7" s="1"/>
  <c r="AA70" i="1"/>
  <c r="Y67" i="7" s="1"/>
  <c r="Z144" i="1"/>
  <c r="X140" i="7" s="1"/>
  <c r="AE144" i="1"/>
  <c r="AB140" i="7" s="1"/>
  <c r="AA144" i="1"/>
  <c r="Y140" i="7" s="1"/>
  <c r="AB144" i="1"/>
  <c r="Z140" i="7" s="1"/>
  <c r="AB116" i="1"/>
  <c r="Z112" i="7" s="1"/>
  <c r="AC116" i="1"/>
  <c r="AA112" i="7" s="1"/>
  <c r="AE116" i="1"/>
  <c r="AB112" i="7" s="1"/>
  <c r="Z116" i="1"/>
  <c r="X112" i="7" s="1"/>
  <c r="AE12" i="1"/>
  <c r="AB11" i="7" s="1"/>
  <c r="Z12" i="1"/>
  <c r="X11" i="7" s="1"/>
  <c r="AE8" i="1"/>
  <c r="AB7" i="7" s="1"/>
  <c r="AE66" i="1"/>
  <c r="AB63" i="7" s="1"/>
  <c r="AC103" i="1"/>
  <c r="AA99" i="7" s="1"/>
  <c r="AC73" i="1"/>
  <c r="AA70" i="7" s="1"/>
  <c r="AA107" i="1"/>
  <c r="Y103" i="7" s="1"/>
  <c r="AB107" i="1"/>
  <c r="Z103" i="7" s="1"/>
  <c r="Z98" i="1"/>
  <c r="X95" i="7" s="1"/>
  <c r="AE98" i="1"/>
  <c r="AB95" i="7" s="1"/>
  <c r="AA98" i="1"/>
  <c r="Y95" i="7" s="1"/>
  <c r="AC136" i="1"/>
  <c r="AA132" i="7" s="1"/>
  <c r="AC8" i="1"/>
  <c r="AA7" i="7" s="1"/>
  <c r="AC66" i="1"/>
  <c r="AA63" i="7" s="1"/>
  <c r="AQ74" i="1"/>
  <c r="AN71" i="7" s="1"/>
  <c r="AE107" i="1"/>
  <c r="AB103" i="7" s="1"/>
  <c r="AQ97" i="1"/>
  <c r="AN94" i="7" s="1"/>
  <c r="AA153" i="1"/>
  <c r="Y149" i="7" s="1"/>
  <c r="AB153" i="1"/>
  <c r="Z149" i="7" s="1"/>
  <c r="Z152" i="1"/>
  <c r="X148" i="7" s="1"/>
  <c r="AE152" i="1"/>
  <c r="AB148" i="7" s="1"/>
  <c r="AA152" i="1"/>
  <c r="Y148" i="7" s="1"/>
  <c r="Z75" i="1"/>
  <c r="X72" i="7" s="1"/>
  <c r="AE75" i="1"/>
  <c r="AB72" i="7" s="1"/>
  <c r="AB75" i="1"/>
  <c r="Z72" i="7" s="1"/>
  <c r="AQ9" i="1"/>
  <c r="AN8" i="7" s="1"/>
  <c r="AA8" i="1"/>
  <c r="Y7" i="7" s="1"/>
  <c r="AB66" i="1"/>
  <c r="Z63" i="7" s="1"/>
  <c r="AA103" i="1"/>
  <c r="Y99" i="7" s="1"/>
  <c r="AB103" i="1"/>
  <c r="Z99" i="7" s="1"/>
  <c r="Z73" i="1"/>
  <c r="X70" i="7" s="1"/>
  <c r="AE73" i="1"/>
  <c r="AB70" i="7" s="1"/>
  <c r="AA73" i="1"/>
  <c r="Y70" i="7" s="1"/>
  <c r="AQ151" i="1"/>
  <c r="AN147" i="7" s="1"/>
  <c r="AA136" i="1"/>
  <c r="Y132" i="7" s="1"/>
  <c r="AB136" i="1"/>
  <c r="Z132" i="7" s="1"/>
  <c r="AC65" i="1"/>
  <c r="AA62" i="7" s="1"/>
  <c r="AC102" i="1"/>
  <c r="AA98" i="7" s="1"/>
  <c r="AC143" i="1"/>
  <c r="AA139" i="7" s="1"/>
  <c r="AC96" i="1"/>
  <c r="AA93" i="7" s="1"/>
  <c r="AC137" i="1"/>
  <c r="AA133" i="7" s="1"/>
  <c r="AA142" i="1"/>
  <c r="Y138" i="7" s="1"/>
  <c r="AE62" i="1"/>
  <c r="AB59" i="7" s="1"/>
  <c r="AB58" i="1"/>
  <c r="Z55" i="7" s="1"/>
  <c r="AQ7" i="1"/>
  <c r="AN6" i="7" s="1"/>
  <c r="AB142" i="1"/>
  <c r="Z138" i="7" s="1"/>
  <c r="AQ52" i="1"/>
  <c r="AN49" i="7" s="1"/>
  <c r="AQ62" i="1"/>
  <c r="AN59" i="7" s="1"/>
  <c r="Z62" i="1"/>
  <c r="X59" i="7" s="1"/>
  <c r="AQ58" i="1"/>
  <c r="AN55" i="7" s="1"/>
  <c r="AA58" i="1"/>
  <c r="Y55" i="7" s="1"/>
  <c r="AE57" i="1"/>
  <c r="AB54" i="7" s="1"/>
  <c r="AB95" i="1"/>
  <c r="Z92" i="7" s="1"/>
  <c r="AQ146" i="1"/>
  <c r="AN142" i="7" s="1"/>
  <c r="AE148" i="1"/>
  <c r="AB144" i="7" s="1"/>
  <c r="AB3" i="1"/>
  <c r="Z2" i="7" s="1"/>
  <c r="AE31" i="1"/>
  <c r="AB28" i="7" s="1"/>
  <c r="AE61" i="1"/>
  <c r="AB58" i="7" s="1"/>
  <c r="Z148" i="1"/>
  <c r="X144" i="7" s="1"/>
  <c r="AQ3" i="1"/>
  <c r="AN2" i="7" s="1"/>
  <c r="AA3" i="1"/>
  <c r="Y2" i="7" s="1"/>
  <c r="AE52" i="1"/>
  <c r="AB49" i="7" s="1"/>
  <c r="AB29" i="1"/>
  <c r="Z26" i="7" s="1"/>
  <c r="Z31" i="1"/>
  <c r="X28" i="7" s="1"/>
  <c r="AA146" i="1"/>
  <c r="Y142" i="7" s="1"/>
  <c r="AE7" i="1"/>
  <c r="AB6" i="7" s="1"/>
  <c r="AB30" i="1"/>
  <c r="Z27" i="7" s="1"/>
  <c r="Z61" i="1"/>
  <c r="X58" i="7" s="1"/>
  <c r="AB146" i="1"/>
  <c r="Z142" i="7" s="1"/>
  <c r="Z52" i="1"/>
  <c r="X49" i="7" s="1"/>
  <c r="AQ29" i="1"/>
  <c r="AN26" i="7" s="1"/>
  <c r="AA29" i="1"/>
  <c r="Y26" i="7" s="1"/>
  <c r="Z7" i="1"/>
  <c r="X6" i="7" s="1"/>
  <c r="AQ30" i="1"/>
  <c r="AN27" i="7" s="1"/>
  <c r="AA30" i="1"/>
  <c r="Y27" i="7" s="1"/>
  <c r="AE145" i="1"/>
  <c r="AB141" i="7" s="1"/>
  <c r="AC52" i="1"/>
  <c r="AA49" i="7" s="1"/>
  <c r="AC57" i="1"/>
  <c r="AA54" i="7" s="1"/>
  <c r="AC7" i="1"/>
  <c r="AA6" i="7" s="1"/>
  <c r="AC145" i="1"/>
  <c r="AA141" i="7" s="1"/>
  <c r="AC55" i="1"/>
  <c r="AA52" i="7" s="1"/>
  <c r="AC61" i="1"/>
  <c r="AA58" i="7" s="1"/>
  <c r="AE142" i="1"/>
  <c r="AB138" i="7" s="1"/>
  <c r="Z142" i="1"/>
  <c r="X138" i="7" s="1"/>
  <c r="AB148" i="1"/>
  <c r="Z144" i="7" s="1"/>
  <c r="AE3" i="1"/>
  <c r="AB2" i="7" s="1"/>
  <c r="Z3" i="1"/>
  <c r="X2" i="7" s="1"/>
  <c r="AB52" i="1"/>
  <c r="Z49" i="7" s="1"/>
  <c r="AE29" i="1"/>
  <c r="AB26" i="7" s="1"/>
  <c r="Z29" i="1"/>
  <c r="X26" i="7" s="1"/>
  <c r="AB62" i="1"/>
  <c r="Z59" i="7" s="1"/>
  <c r="AE58" i="1"/>
  <c r="AB55" i="7" s="1"/>
  <c r="Z58" i="1"/>
  <c r="X55" i="7" s="1"/>
  <c r="AB57" i="1"/>
  <c r="Z54" i="7" s="1"/>
  <c r="AE95" i="1"/>
  <c r="AB92" i="7" s="1"/>
  <c r="Z95" i="1"/>
  <c r="X92" i="7" s="1"/>
  <c r="AB31" i="1"/>
  <c r="Z28" i="7" s="1"/>
  <c r="AE146" i="1"/>
  <c r="AB142" i="7" s="1"/>
  <c r="Z146" i="1"/>
  <c r="X142" i="7" s="1"/>
  <c r="AB7" i="1"/>
  <c r="Z6" i="7" s="1"/>
  <c r="AE30" i="1"/>
  <c r="AB27" i="7" s="1"/>
  <c r="Z30" i="1"/>
  <c r="X27" i="7" s="1"/>
  <c r="AB145" i="1"/>
  <c r="Z141" i="7" s="1"/>
  <c r="AE56" i="1"/>
  <c r="AB53" i="7" s="1"/>
  <c r="Z56" i="1"/>
  <c r="X53" i="7" s="1"/>
  <c r="AB55" i="1"/>
  <c r="Z52" i="7" s="1"/>
  <c r="AE93" i="1"/>
  <c r="AB90" i="7" s="1"/>
  <c r="Z93" i="1"/>
  <c r="X90" i="7" s="1"/>
  <c r="AB61" i="1"/>
  <c r="Z58" i="7" s="1"/>
  <c r="AC148" i="1"/>
  <c r="AA144" i="7" s="1"/>
  <c r="AC62" i="1"/>
  <c r="AA59" i="7" s="1"/>
  <c r="AC31" i="1"/>
  <c r="AA28" i="7" s="1"/>
  <c r="D5" i="5"/>
  <c r="AN3" i="7" l="1"/>
  <c r="D18" i="9"/>
  <c r="D9" i="9"/>
  <c r="AN107" i="7"/>
  <c r="AG18" i="1"/>
  <c r="AD17" i="7" s="1"/>
  <c r="AG170" i="1"/>
  <c r="AG171" i="1"/>
  <c r="AG19" i="1"/>
  <c r="AD18" i="7" s="1"/>
  <c r="AG124" i="1"/>
  <c r="AD120" i="7" s="1"/>
  <c r="AG35" i="1"/>
  <c r="AD32" i="7" s="1"/>
  <c r="AG82" i="1"/>
  <c r="AD79" i="7" s="1"/>
  <c r="AG83" i="1"/>
  <c r="AD80" i="7" s="1"/>
  <c r="AG119" i="1"/>
  <c r="AD115" i="7" s="1"/>
  <c r="AG75" i="1"/>
  <c r="AD72" i="7" s="1"/>
  <c r="AG78" i="1"/>
  <c r="AD75" i="7" s="1"/>
  <c r="AG160" i="1"/>
  <c r="AG155" i="1"/>
  <c r="AG125" i="1"/>
  <c r="AD121" i="7" s="1"/>
  <c r="AG20" i="1"/>
  <c r="AD19" i="7" s="1"/>
  <c r="AG131" i="1"/>
  <c r="AD127" i="7" s="1"/>
  <c r="AG79" i="1"/>
  <c r="AD76" i="7" s="1"/>
  <c r="AG120" i="1"/>
  <c r="AD116" i="7" s="1"/>
  <c r="AG135" i="1"/>
  <c r="AD131" i="7" s="1"/>
  <c r="AG88" i="1"/>
  <c r="AD85" i="7" s="1"/>
  <c r="AG130" i="1"/>
  <c r="AD126" i="7" s="1"/>
  <c r="AG122" i="1"/>
  <c r="AD118" i="7" s="1"/>
  <c r="AG86" i="1"/>
  <c r="AD83" i="7" s="1"/>
  <c r="AG161" i="1"/>
  <c r="AG154" i="1"/>
  <c r="AD150" i="7" s="1"/>
  <c r="AG85" i="1"/>
  <c r="AD82" i="7" s="1"/>
  <c r="AG133" i="1"/>
  <c r="AD129" i="7" s="1"/>
  <c r="AG128" i="1"/>
  <c r="AD124" i="7" s="1"/>
  <c r="AG21" i="1"/>
  <c r="AD20" i="7" s="1"/>
  <c r="AG164" i="1"/>
  <c r="AG121" i="1"/>
  <c r="AD117" i="7" s="1"/>
  <c r="AG159" i="1"/>
  <c r="AG156" i="1"/>
  <c r="AG112" i="1"/>
  <c r="AD108" i="7" s="1"/>
  <c r="AG81" i="1"/>
  <c r="AD78" i="7" s="1"/>
  <c r="AG126" i="1"/>
  <c r="AD122" i="7" s="1"/>
  <c r="AG53" i="1"/>
  <c r="AD50" i="7" s="1"/>
  <c r="AG127" i="1"/>
  <c r="AD123" i="7" s="1"/>
  <c r="AG163" i="1"/>
  <c r="AG166" i="1"/>
  <c r="AG167" i="1"/>
  <c r="AG169" i="1"/>
  <c r="AG87" i="1"/>
  <c r="AD84" i="7" s="1"/>
  <c r="AG84" i="1"/>
  <c r="AD81" i="7" s="1"/>
  <c r="AG157" i="1"/>
  <c r="AG132" i="1"/>
  <c r="AD128" i="7" s="1"/>
  <c r="AG158" i="1"/>
  <c r="AG168" i="1"/>
  <c r="AG123" i="1"/>
  <c r="AD119" i="7" s="1"/>
  <c r="AG80" i="1"/>
  <c r="AD77" i="7" s="1"/>
  <c r="AG162" i="1"/>
  <c r="AG129" i="1"/>
  <c r="AD125" i="7" s="1"/>
  <c r="AG165" i="1"/>
  <c r="AG134" i="1"/>
  <c r="AD130" i="7" s="1"/>
  <c r="AG111" i="1"/>
  <c r="AD107" i="7" s="1"/>
  <c r="AG103" i="1"/>
  <c r="AD99" i="7" s="1"/>
  <c r="AG114" i="1"/>
  <c r="AD110" i="7" s="1"/>
  <c r="AG52" i="1"/>
  <c r="AD49" i="7" s="1"/>
  <c r="AG32" i="1"/>
  <c r="AD29" i="7" s="1"/>
  <c r="AG151" i="1"/>
  <c r="AD147" i="7" s="1"/>
  <c r="AG9" i="1"/>
  <c r="AD8" i="7" s="1"/>
  <c r="AG74" i="1"/>
  <c r="AD71" i="7" s="1"/>
  <c r="AG142" i="1"/>
  <c r="AD138" i="7" s="1"/>
  <c r="AG96" i="1"/>
  <c r="AD93" i="7" s="1"/>
  <c r="AG102" i="1"/>
  <c r="AD98" i="7" s="1"/>
  <c r="AG65" i="1"/>
  <c r="AD62" i="7" s="1"/>
  <c r="AG4" i="1"/>
  <c r="AG109" i="1"/>
  <c r="AD105" i="7" s="1"/>
  <c r="AG99" i="1"/>
  <c r="AD96" i="7" s="1"/>
  <c r="AG71" i="1"/>
  <c r="AD68" i="7" s="1"/>
  <c r="AG101" i="1"/>
  <c r="AD97" i="7" s="1"/>
  <c r="AG64" i="1"/>
  <c r="AD61" i="7" s="1"/>
  <c r="AG97" i="1"/>
  <c r="AD94" i="7" s="1"/>
  <c r="AG136" i="1"/>
  <c r="AD132" i="7" s="1"/>
  <c r="AG137" i="1"/>
  <c r="AD133" i="7" s="1"/>
  <c r="AG66" i="1"/>
  <c r="AD63" i="7" s="1"/>
  <c r="AG77" i="1"/>
  <c r="AD74" i="7" s="1"/>
  <c r="AG73" i="1"/>
  <c r="AD70" i="7" s="1"/>
  <c r="AG107" i="1"/>
  <c r="AD103" i="7" s="1"/>
  <c r="AG11" i="1"/>
  <c r="AD10" i="7" s="1"/>
  <c r="AG104" i="1"/>
  <c r="AD100" i="7" s="1"/>
  <c r="AG72" i="1"/>
  <c r="AD69" i="7" s="1"/>
  <c r="AG110" i="1"/>
  <c r="AD106" i="7" s="1"/>
  <c r="AG143" i="1"/>
  <c r="AD139" i="7" s="1"/>
  <c r="AG152" i="1"/>
  <c r="AD148" i="7" s="1"/>
  <c r="AG76" i="1"/>
  <c r="AD73" i="7" s="1"/>
  <c r="AG68" i="1"/>
  <c r="AD65" i="7" s="1"/>
  <c r="AG144" i="1"/>
  <c r="AD140" i="7" s="1"/>
  <c r="AG70" i="1"/>
  <c r="AD67" i="7" s="1"/>
  <c r="AG153" i="1"/>
  <c r="AD149" i="7" s="1"/>
  <c r="AG3" i="1"/>
  <c r="AD2" i="7" s="1"/>
  <c r="AG33" i="1"/>
  <c r="AD30" i="7" s="1"/>
  <c r="AG148" i="1"/>
  <c r="AD144" i="7" s="1"/>
  <c r="AG10" i="1"/>
  <c r="AD9" i="7" s="1"/>
  <c r="AG69" i="1"/>
  <c r="AD66" i="7" s="1"/>
  <c r="AG12" i="1"/>
  <c r="AD11" i="7" s="1"/>
  <c r="AG98" i="1"/>
  <c r="AD95" i="7" s="1"/>
  <c r="AG116" i="1"/>
  <c r="AD112" i="7" s="1"/>
  <c r="AG8" i="1"/>
  <c r="AD7" i="7" s="1"/>
  <c r="AF97" i="1"/>
  <c r="AC94" i="7" s="1"/>
  <c r="AF187" i="1"/>
  <c r="Y187" i="1" s="1"/>
  <c r="J187" i="1" s="1"/>
  <c r="AF120" i="1"/>
  <c r="AC116" i="7" s="1"/>
  <c r="AF283" i="1"/>
  <c r="Y283" i="1" s="1"/>
  <c r="J283" i="1" s="1"/>
  <c r="AF168" i="1"/>
  <c r="AF143" i="1"/>
  <c r="AC139" i="7" s="1"/>
  <c r="AF18" i="1"/>
  <c r="AC17" i="7" s="1"/>
  <c r="AF191" i="1"/>
  <c r="Y191" i="1" s="1"/>
  <c r="J191" i="1" s="1"/>
  <c r="AF235" i="1"/>
  <c r="Y235" i="1" s="1"/>
  <c r="J235" i="1" s="1"/>
  <c r="AF251" i="1"/>
  <c r="Y251" i="1" s="1"/>
  <c r="J251" i="1" s="1"/>
  <c r="AF84" i="1"/>
  <c r="AC81" i="7" s="1"/>
  <c r="AF129" i="1"/>
  <c r="AC125" i="7" s="1"/>
  <c r="AF176" i="1"/>
  <c r="Y176" i="1" s="1"/>
  <c r="J176" i="1" s="1"/>
  <c r="AF312" i="1"/>
  <c r="Y312" i="1" s="1"/>
  <c r="J312" i="1" s="1"/>
  <c r="AF74" i="1"/>
  <c r="AC71" i="7" s="1"/>
  <c r="AF11" i="1"/>
  <c r="AC10" i="7" s="1"/>
  <c r="AF71" i="1"/>
  <c r="AC68" i="7" s="1"/>
  <c r="AF32" i="1"/>
  <c r="AC29" i="7" s="1"/>
  <c r="AF125" i="1"/>
  <c r="AC121" i="7" s="1"/>
  <c r="AF156" i="1"/>
  <c r="AF201" i="1"/>
  <c r="Y201" i="1" s="1"/>
  <c r="J201" i="1" s="1"/>
  <c r="AF203" i="1"/>
  <c r="Y203" i="1" s="1"/>
  <c r="J203" i="1" s="1"/>
  <c r="AF228" i="1"/>
  <c r="Y228" i="1" s="1"/>
  <c r="J228" i="1" s="1"/>
  <c r="AF264" i="1"/>
  <c r="Y264" i="1" s="1"/>
  <c r="J264" i="1" s="1"/>
  <c r="AF280" i="1"/>
  <c r="Y280" i="1" s="1"/>
  <c r="J280" i="1" s="1"/>
  <c r="AF282" i="1"/>
  <c r="Y282" i="1" s="1"/>
  <c r="J282" i="1" s="1"/>
  <c r="AF314" i="1"/>
  <c r="Y314" i="1" s="1"/>
  <c r="J314" i="1" s="1"/>
  <c r="AF81" i="1"/>
  <c r="AC78" i="7" s="1"/>
  <c r="AF135" i="1"/>
  <c r="AC131" i="7" s="1"/>
  <c r="AF207" i="1"/>
  <c r="Y207" i="1" s="1"/>
  <c r="J207" i="1" s="1"/>
  <c r="AF223" i="1"/>
  <c r="Y223" i="1" s="1"/>
  <c r="J223" i="1" s="1"/>
  <c r="AF239" i="1"/>
  <c r="Y239" i="1" s="1"/>
  <c r="J239" i="1" s="1"/>
  <c r="AF255" i="1"/>
  <c r="Y255" i="1" s="1"/>
  <c r="J255" i="1" s="1"/>
  <c r="AF313" i="1"/>
  <c r="Y313" i="1" s="1"/>
  <c r="J313" i="1" s="1"/>
  <c r="AF102" i="1"/>
  <c r="AC98" i="7" s="1"/>
  <c r="AF124" i="1"/>
  <c r="AC120" i="7" s="1"/>
  <c r="AF86" i="1"/>
  <c r="AC83" i="7" s="1"/>
  <c r="AF180" i="1"/>
  <c r="Y180" i="1" s="1"/>
  <c r="J180" i="1" s="1"/>
  <c r="AF188" i="1"/>
  <c r="Y188" i="1" s="1"/>
  <c r="J188" i="1" s="1"/>
  <c r="AF204" i="1"/>
  <c r="Y204" i="1" s="1"/>
  <c r="J204" i="1" s="1"/>
  <c r="AF298" i="1"/>
  <c r="Y298" i="1" s="1"/>
  <c r="J298" i="1" s="1"/>
  <c r="AF302" i="1"/>
  <c r="Y302" i="1" s="1"/>
  <c r="J302" i="1" s="1"/>
  <c r="AF301" i="1"/>
  <c r="Y301" i="1" s="1"/>
  <c r="J301" i="1" s="1"/>
  <c r="AF137" i="1"/>
  <c r="AC133" i="7" s="1"/>
  <c r="AF65" i="1"/>
  <c r="AC62" i="7" s="1"/>
  <c r="AF116" i="1"/>
  <c r="AC112" i="7" s="1"/>
  <c r="AF99" i="1"/>
  <c r="AC96" i="7" s="1"/>
  <c r="AF69" i="1"/>
  <c r="AC66" i="7" s="1"/>
  <c r="AF19" i="1"/>
  <c r="AC18" i="7" s="1"/>
  <c r="AF21" i="1"/>
  <c r="AC20" i="7" s="1"/>
  <c r="AF131" i="1"/>
  <c r="AC127" i="7" s="1"/>
  <c r="AF158" i="1"/>
  <c r="AF171" i="1"/>
  <c r="AF184" i="1"/>
  <c r="Y184" i="1" s="1"/>
  <c r="J184" i="1" s="1"/>
  <c r="AF192" i="1"/>
  <c r="Y192" i="1" s="1"/>
  <c r="J192" i="1" s="1"/>
  <c r="AF163" i="1"/>
  <c r="AF205" i="1"/>
  <c r="Y205" i="1" s="1"/>
  <c r="J205" i="1" s="1"/>
  <c r="AF215" i="1"/>
  <c r="Y215" i="1" s="1"/>
  <c r="J215" i="1" s="1"/>
  <c r="AF221" i="1"/>
  <c r="Y221" i="1" s="1"/>
  <c r="J221" i="1" s="1"/>
  <c r="AF231" i="1"/>
  <c r="Y231" i="1" s="1"/>
  <c r="J231" i="1" s="1"/>
  <c r="AF237" i="1"/>
  <c r="Y237" i="1" s="1"/>
  <c r="J237" i="1" s="1"/>
  <c r="AF247" i="1"/>
  <c r="Y247" i="1" s="1"/>
  <c r="J247" i="1" s="1"/>
  <c r="AF253" i="1"/>
  <c r="Y253" i="1" s="1"/>
  <c r="J253" i="1" s="1"/>
  <c r="AF316" i="1"/>
  <c r="Y316" i="1" s="1"/>
  <c r="J316" i="1" s="1"/>
  <c r="AF284" i="1"/>
  <c r="Y284" i="1" s="1"/>
  <c r="J284" i="1" s="1"/>
  <c r="AF96" i="1"/>
  <c r="AC93" i="7" s="1"/>
  <c r="AF66" i="1"/>
  <c r="AC63" i="7" s="1"/>
  <c r="AF10" i="1"/>
  <c r="AC9" i="7" s="1"/>
  <c r="AF127" i="1"/>
  <c r="AC123" i="7" s="1"/>
  <c r="AF159" i="1"/>
  <c r="AF172" i="1"/>
  <c r="Y172" i="1" s="1"/>
  <c r="J172" i="1" s="1"/>
  <c r="AF211" i="1"/>
  <c r="Y211" i="1" s="1"/>
  <c r="J211" i="1" s="1"/>
  <c r="AF217" i="1"/>
  <c r="Y217" i="1" s="1"/>
  <c r="J217" i="1" s="1"/>
  <c r="AF227" i="1"/>
  <c r="Y227" i="1" s="1"/>
  <c r="J227" i="1" s="1"/>
  <c r="AF233" i="1"/>
  <c r="Y233" i="1" s="1"/>
  <c r="J233" i="1" s="1"/>
  <c r="AF243" i="1"/>
  <c r="Y243" i="1" s="1"/>
  <c r="J243" i="1" s="1"/>
  <c r="AF249" i="1"/>
  <c r="Y249" i="1" s="1"/>
  <c r="J249" i="1" s="1"/>
  <c r="AF261" i="1"/>
  <c r="Y261" i="1" s="1"/>
  <c r="J261" i="1" s="1"/>
  <c r="AF269" i="1"/>
  <c r="Y269" i="1" s="1"/>
  <c r="J269" i="1" s="1"/>
  <c r="AF277" i="1"/>
  <c r="Y277" i="1" s="1"/>
  <c r="J277" i="1" s="1"/>
  <c r="AF196" i="1"/>
  <c r="Y196" i="1" s="1"/>
  <c r="J196" i="1" s="1"/>
  <c r="AF317" i="1"/>
  <c r="Y317" i="1" s="1"/>
  <c r="J317" i="1" s="1"/>
  <c r="AF260" i="1"/>
  <c r="Y260" i="1" s="1"/>
  <c r="J260" i="1" s="1"/>
  <c r="AF276" i="1"/>
  <c r="Y276" i="1" s="1"/>
  <c r="J276" i="1" s="1"/>
  <c r="AG31" i="1"/>
  <c r="AD28" i="7" s="1"/>
  <c r="AF57" i="1"/>
  <c r="AC54" i="7" s="1"/>
  <c r="AG30" i="1"/>
  <c r="AD27" i="7" s="1"/>
  <c r="AG29" i="1"/>
  <c r="AD26" i="7" s="1"/>
  <c r="AG146" i="1"/>
  <c r="AD142" i="7" s="1"/>
  <c r="AG58" i="1"/>
  <c r="AD55" i="7" s="1"/>
  <c r="AG62" i="1"/>
  <c r="AD59" i="7" s="1"/>
  <c r="AG7" i="1"/>
  <c r="AD6" i="7" s="1"/>
  <c r="AF103" i="1"/>
  <c r="AC99" i="7" s="1"/>
  <c r="AF153" i="1"/>
  <c r="AC149" i="7" s="1"/>
  <c r="AF98" i="1"/>
  <c r="AC95" i="7" s="1"/>
  <c r="AF107" i="1"/>
  <c r="AC103" i="7" s="1"/>
  <c r="AF114" i="1"/>
  <c r="AC110" i="7" s="1"/>
  <c r="AF35" i="1"/>
  <c r="AC32" i="7" s="1"/>
  <c r="AF157" i="1"/>
  <c r="AF169" i="1"/>
  <c r="AF179" i="1"/>
  <c r="Y179" i="1" s="1"/>
  <c r="J179" i="1" s="1"/>
  <c r="AF194" i="1"/>
  <c r="Y194" i="1" s="1"/>
  <c r="J194" i="1" s="1"/>
  <c r="AF183" i="1"/>
  <c r="Y183" i="1" s="1"/>
  <c r="J183" i="1" s="1"/>
  <c r="AF200" i="1"/>
  <c r="Y200" i="1" s="1"/>
  <c r="J200" i="1" s="1"/>
  <c r="AF219" i="1"/>
  <c r="Y219" i="1" s="1"/>
  <c r="J219" i="1" s="1"/>
  <c r="AF218" i="1"/>
  <c r="Y218" i="1" s="1"/>
  <c r="J218" i="1" s="1"/>
  <c r="AF271" i="1"/>
  <c r="Y271" i="1" s="1"/>
  <c r="J271" i="1" s="1"/>
  <c r="AF230" i="1"/>
  <c r="Y230" i="1" s="1"/>
  <c r="J230" i="1" s="1"/>
  <c r="AF267" i="1"/>
  <c r="Y267" i="1" s="1"/>
  <c r="J267" i="1" s="1"/>
  <c r="AF285" i="1"/>
  <c r="Y285" i="1" s="1"/>
  <c r="J285" i="1" s="1"/>
  <c r="AF226" i="1"/>
  <c r="Y226" i="1" s="1"/>
  <c r="J226" i="1" s="1"/>
  <c r="AF263" i="1"/>
  <c r="Y263" i="1" s="1"/>
  <c r="J263" i="1" s="1"/>
  <c r="AF279" i="1"/>
  <c r="Y279" i="1" s="1"/>
  <c r="J279" i="1" s="1"/>
  <c r="AF286" i="1"/>
  <c r="Y286" i="1" s="1"/>
  <c r="J286" i="1" s="1"/>
  <c r="AF304" i="1"/>
  <c r="Y304" i="1" s="1"/>
  <c r="J304" i="1" s="1"/>
  <c r="AF315" i="1"/>
  <c r="Y315" i="1" s="1"/>
  <c r="J315" i="1" s="1"/>
  <c r="AF311" i="1"/>
  <c r="Y311" i="1" s="1"/>
  <c r="J311" i="1" s="1"/>
  <c r="AF275" i="1"/>
  <c r="Y275" i="1" s="1"/>
  <c r="J275" i="1" s="1"/>
  <c r="AG56" i="1"/>
  <c r="AD53" i="7" s="1"/>
  <c r="AG61" i="1"/>
  <c r="AD58" i="7" s="1"/>
  <c r="AG93" i="1"/>
  <c r="AD90" i="7" s="1"/>
  <c r="AG57" i="1"/>
  <c r="AD54" i="7" s="1"/>
  <c r="AG95" i="1"/>
  <c r="AD92" i="7" s="1"/>
  <c r="AF151" i="1"/>
  <c r="AC147" i="7" s="1"/>
  <c r="AF4" i="1"/>
  <c r="AC3" i="7" s="1"/>
  <c r="AF72" i="1"/>
  <c r="AC69" i="7" s="1"/>
  <c r="AF9" i="1"/>
  <c r="AC8" i="7" s="1"/>
  <c r="AF68" i="1"/>
  <c r="AC65" i="7" s="1"/>
  <c r="AF76" i="1"/>
  <c r="AC73" i="7" s="1"/>
  <c r="AF79" i="1"/>
  <c r="AC76" i="7" s="1"/>
  <c r="AF121" i="1"/>
  <c r="AC117" i="7" s="1"/>
  <c r="AF112" i="1"/>
  <c r="AC108" i="7" s="1"/>
  <c r="AF85" i="1"/>
  <c r="AC82" i="7" s="1"/>
  <c r="AF128" i="1"/>
  <c r="AC124" i="7" s="1"/>
  <c r="AF132" i="1"/>
  <c r="AC128" i="7" s="1"/>
  <c r="AF87" i="1"/>
  <c r="AC84" i="7" s="1"/>
  <c r="AF160" i="1"/>
  <c r="AF164" i="1"/>
  <c r="AF173" i="1"/>
  <c r="Y173" i="1" s="1"/>
  <c r="J173" i="1" s="1"/>
  <c r="AF177" i="1"/>
  <c r="Y177" i="1" s="1"/>
  <c r="J177" i="1" s="1"/>
  <c r="AF181" i="1"/>
  <c r="Y181" i="1" s="1"/>
  <c r="J181" i="1" s="1"/>
  <c r="AF185" i="1"/>
  <c r="Y185" i="1" s="1"/>
  <c r="J185" i="1" s="1"/>
  <c r="AF189" i="1"/>
  <c r="Y189" i="1" s="1"/>
  <c r="J189" i="1" s="1"/>
  <c r="AF193" i="1"/>
  <c r="Y193" i="1" s="1"/>
  <c r="J193" i="1" s="1"/>
  <c r="AF197" i="1"/>
  <c r="Y197" i="1" s="1"/>
  <c r="J197" i="1" s="1"/>
  <c r="AF208" i="1"/>
  <c r="Y208" i="1" s="1"/>
  <c r="J208" i="1" s="1"/>
  <c r="AF212" i="1"/>
  <c r="Y212" i="1" s="1"/>
  <c r="J212" i="1" s="1"/>
  <c r="AF216" i="1"/>
  <c r="Y216" i="1" s="1"/>
  <c r="J216" i="1" s="1"/>
  <c r="AF220" i="1"/>
  <c r="Y220" i="1" s="1"/>
  <c r="J220" i="1" s="1"/>
  <c r="AF224" i="1"/>
  <c r="Y224" i="1" s="1"/>
  <c r="J224" i="1" s="1"/>
  <c r="AF232" i="1"/>
  <c r="Y232" i="1" s="1"/>
  <c r="J232" i="1" s="1"/>
  <c r="AF236" i="1"/>
  <c r="Y236" i="1" s="1"/>
  <c r="J236" i="1" s="1"/>
  <c r="AF240" i="1"/>
  <c r="Y240" i="1" s="1"/>
  <c r="J240" i="1" s="1"/>
  <c r="AF244" i="1"/>
  <c r="Y244" i="1" s="1"/>
  <c r="J244" i="1" s="1"/>
  <c r="AF248" i="1"/>
  <c r="Y248" i="1" s="1"/>
  <c r="J248" i="1" s="1"/>
  <c r="AF252" i="1"/>
  <c r="Y252" i="1" s="1"/>
  <c r="J252" i="1" s="1"/>
  <c r="AF256" i="1"/>
  <c r="Y256" i="1" s="1"/>
  <c r="J256" i="1" s="1"/>
  <c r="AF268" i="1"/>
  <c r="Y268" i="1" s="1"/>
  <c r="J268" i="1" s="1"/>
  <c r="AF272" i="1"/>
  <c r="Y272" i="1" s="1"/>
  <c r="J272" i="1" s="1"/>
  <c r="AF291" i="1"/>
  <c r="Y291" i="1" s="1"/>
  <c r="J291" i="1" s="1"/>
  <c r="AF295" i="1"/>
  <c r="Y295" i="1" s="1"/>
  <c r="J295" i="1" s="1"/>
  <c r="AF299" i="1"/>
  <c r="Y299" i="1" s="1"/>
  <c r="J299" i="1" s="1"/>
  <c r="AF303" i="1"/>
  <c r="Y303" i="1" s="1"/>
  <c r="J303" i="1" s="1"/>
  <c r="AF307" i="1"/>
  <c r="Y307" i="1" s="1"/>
  <c r="J307" i="1" s="1"/>
  <c r="AF310" i="1"/>
  <c r="Y310" i="1" s="1"/>
  <c r="J310" i="1" s="1"/>
  <c r="AF318" i="1"/>
  <c r="Y318" i="1" s="1"/>
  <c r="J318" i="1" s="1"/>
  <c r="AG55" i="1"/>
  <c r="AD52" i="7" s="1"/>
  <c r="AG145" i="1"/>
  <c r="AD141" i="7" s="1"/>
  <c r="AF52" i="1"/>
  <c r="AC49" i="7" s="1"/>
  <c r="AF61" i="1"/>
  <c r="AC58" i="7" s="1"/>
  <c r="AF136" i="1"/>
  <c r="AC132" i="7" s="1"/>
  <c r="AF165" i="1"/>
  <c r="AF254" i="1"/>
  <c r="Y254" i="1" s="1"/>
  <c r="J254" i="1" s="1"/>
  <c r="AF110" i="1"/>
  <c r="AC106" i="7" s="1"/>
  <c r="AF111" i="1"/>
  <c r="AC107" i="7" s="1"/>
  <c r="AF130" i="1"/>
  <c r="AC126" i="7" s="1"/>
  <c r="AF182" i="1"/>
  <c r="Y182" i="1" s="1"/>
  <c r="J182" i="1" s="1"/>
  <c r="AF202" i="1"/>
  <c r="Y202" i="1" s="1"/>
  <c r="J202" i="1" s="1"/>
  <c r="AF270" i="1"/>
  <c r="Y270" i="1" s="1"/>
  <c r="J270" i="1" s="1"/>
  <c r="AF214" i="1"/>
  <c r="Y214" i="1" s="1"/>
  <c r="J214" i="1" s="1"/>
  <c r="AF288" i="1"/>
  <c r="Y288" i="1" s="1"/>
  <c r="J288" i="1" s="1"/>
  <c r="AF210" i="1"/>
  <c r="Y210" i="1" s="1"/>
  <c r="J210" i="1" s="1"/>
  <c r="AF281" i="1"/>
  <c r="Y281" i="1" s="1"/>
  <c r="J281" i="1" s="1"/>
  <c r="AF287" i="1"/>
  <c r="Y287" i="1" s="1"/>
  <c r="J287" i="1" s="1"/>
  <c r="AF259" i="1"/>
  <c r="Y259" i="1" s="1"/>
  <c r="J259" i="1" s="1"/>
  <c r="AF293" i="1"/>
  <c r="Y293" i="1" s="1"/>
  <c r="J293" i="1" s="1"/>
  <c r="AF300" i="1"/>
  <c r="Y300" i="1" s="1"/>
  <c r="J300" i="1" s="1"/>
  <c r="AF296" i="1"/>
  <c r="Y296" i="1" s="1"/>
  <c r="J296" i="1" s="1"/>
  <c r="AF305" i="1"/>
  <c r="Y305" i="1" s="1"/>
  <c r="J305" i="1" s="1"/>
  <c r="AF308" i="1"/>
  <c r="Y308" i="1" s="1"/>
  <c r="J308" i="1" s="1"/>
  <c r="AF152" i="1"/>
  <c r="AC148" i="7" s="1"/>
  <c r="AF12" i="1"/>
  <c r="AC11" i="7" s="1"/>
  <c r="AF33" i="1"/>
  <c r="AC30" i="7" s="1"/>
  <c r="AF77" i="1"/>
  <c r="AC74" i="7" s="1"/>
  <c r="AF64" i="1"/>
  <c r="AC61" i="7" s="1"/>
  <c r="AF20" i="1"/>
  <c r="AC19" i="7" s="1"/>
  <c r="AF119" i="1"/>
  <c r="AC115" i="7" s="1"/>
  <c r="AF126" i="1"/>
  <c r="AC122" i="7" s="1"/>
  <c r="AF134" i="1"/>
  <c r="AC130" i="7" s="1"/>
  <c r="AF155" i="1"/>
  <c r="AF161" i="1"/>
  <c r="AF167" i="1"/>
  <c r="AF123" i="1"/>
  <c r="AC119" i="7" s="1"/>
  <c r="AF170" i="1"/>
  <c r="AF178" i="1"/>
  <c r="Y178" i="1" s="1"/>
  <c r="J178" i="1" s="1"/>
  <c r="AF199" i="1"/>
  <c r="Y199" i="1" s="1"/>
  <c r="J199" i="1" s="1"/>
  <c r="AF213" i="1"/>
  <c r="Y213" i="1" s="1"/>
  <c r="J213" i="1" s="1"/>
  <c r="AF229" i="1"/>
  <c r="Y229" i="1" s="1"/>
  <c r="J229" i="1" s="1"/>
  <c r="AF245" i="1"/>
  <c r="Y245" i="1" s="1"/>
  <c r="J245" i="1" s="1"/>
  <c r="AF250" i="1"/>
  <c r="Y250" i="1" s="1"/>
  <c r="J250" i="1" s="1"/>
  <c r="AF266" i="1"/>
  <c r="Y266" i="1" s="1"/>
  <c r="J266" i="1" s="1"/>
  <c r="AF195" i="1"/>
  <c r="Y195" i="1" s="1"/>
  <c r="J195" i="1" s="1"/>
  <c r="AF262" i="1"/>
  <c r="Y262" i="1" s="1"/>
  <c r="J262" i="1" s="1"/>
  <c r="AF206" i="1"/>
  <c r="Y206" i="1" s="1"/>
  <c r="J206" i="1" s="1"/>
  <c r="AF238" i="1"/>
  <c r="Y238" i="1" s="1"/>
  <c r="J238" i="1" s="1"/>
  <c r="AF309" i="1"/>
  <c r="Y309" i="1" s="1"/>
  <c r="J309" i="1" s="1"/>
  <c r="AF258" i="1"/>
  <c r="Y258" i="1" s="1"/>
  <c r="J258" i="1" s="1"/>
  <c r="AF290" i="1"/>
  <c r="Y290" i="1" s="1"/>
  <c r="J290" i="1" s="1"/>
  <c r="AF306" i="1"/>
  <c r="Y306" i="1" s="1"/>
  <c r="J306" i="1" s="1"/>
  <c r="AF78" i="1"/>
  <c r="AC75" i="7" s="1"/>
  <c r="AF186" i="1"/>
  <c r="Y186" i="1" s="1"/>
  <c r="J186" i="1" s="1"/>
  <c r="AF174" i="1"/>
  <c r="Y174" i="1" s="1"/>
  <c r="J174" i="1" s="1"/>
  <c r="AF101" i="1"/>
  <c r="AC97" i="7" s="1"/>
  <c r="AF83" i="1"/>
  <c r="AC80" i="7" s="1"/>
  <c r="AF166" i="1"/>
  <c r="AF82" i="1"/>
  <c r="AC79" i="7" s="1"/>
  <c r="AF73" i="1"/>
  <c r="AC70" i="7" s="1"/>
  <c r="AF8" i="1"/>
  <c r="AC7" i="7" s="1"/>
  <c r="AF75" i="1"/>
  <c r="AC72" i="7" s="1"/>
  <c r="AF144" i="1"/>
  <c r="AC140" i="7" s="1"/>
  <c r="AF70" i="1"/>
  <c r="AC67" i="7" s="1"/>
  <c r="AF109" i="1"/>
  <c r="AC105" i="7" s="1"/>
  <c r="AF80" i="1"/>
  <c r="AC77" i="7" s="1"/>
  <c r="AF122" i="1"/>
  <c r="AC118" i="7" s="1"/>
  <c r="AF133" i="1"/>
  <c r="AC129" i="7" s="1"/>
  <c r="AF88" i="1"/>
  <c r="AC85" i="7" s="1"/>
  <c r="AF104" i="1"/>
  <c r="AC100" i="7" s="1"/>
  <c r="AF53" i="1"/>
  <c r="AC50" i="7" s="1"/>
  <c r="AF154" i="1"/>
  <c r="AC150" i="7" s="1"/>
  <c r="AF162" i="1"/>
  <c r="AF190" i="1"/>
  <c r="Y190" i="1" s="1"/>
  <c r="J190" i="1" s="1"/>
  <c r="AF209" i="1"/>
  <c r="Y209" i="1" s="1"/>
  <c r="J209" i="1" s="1"/>
  <c r="AF225" i="1"/>
  <c r="Y225" i="1" s="1"/>
  <c r="J225" i="1" s="1"/>
  <c r="AF241" i="1"/>
  <c r="Y241" i="1" s="1"/>
  <c r="J241" i="1" s="1"/>
  <c r="AF257" i="1"/>
  <c r="Y257" i="1" s="1"/>
  <c r="J257" i="1" s="1"/>
  <c r="AF265" i="1"/>
  <c r="Y265" i="1" s="1"/>
  <c r="J265" i="1" s="1"/>
  <c r="AF273" i="1"/>
  <c r="Y273" i="1" s="1"/>
  <c r="J273" i="1" s="1"/>
  <c r="AF175" i="1"/>
  <c r="Y175" i="1" s="1"/>
  <c r="J175" i="1" s="1"/>
  <c r="AF234" i="1"/>
  <c r="Y234" i="1" s="1"/>
  <c r="J234" i="1" s="1"/>
  <c r="AF246" i="1"/>
  <c r="Y246" i="1" s="1"/>
  <c r="J246" i="1" s="1"/>
  <c r="AF198" i="1"/>
  <c r="Y198" i="1" s="1"/>
  <c r="J198" i="1" s="1"/>
  <c r="AF242" i="1"/>
  <c r="Y242" i="1" s="1"/>
  <c r="J242" i="1" s="1"/>
  <c r="AF278" i="1"/>
  <c r="Y278" i="1" s="1"/>
  <c r="J278" i="1" s="1"/>
  <c r="AF274" i="1"/>
  <c r="Y274" i="1" s="1"/>
  <c r="J274" i="1" s="1"/>
  <c r="AF297" i="1"/>
  <c r="Y297" i="1" s="1"/>
  <c r="J297" i="1" s="1"/>
  <c r="AF222" i="1"/>
  <c r="Y222" i="1" s="1"/>
  <c r="J222" i="1" s="1"/>
  <c r="AF289" i="1"/>
  <c r="Y289" i="1" s="1"/>
  <c r="J289" i="1" s="1"/>
  <c r="AF294" i="1"/>
  <c r="Y294" i="1" s="1"/>
  <c r="J294" i="1" s="1"/>
  <c r="AF292" i="1"/>
  <c r="Y292" i="1" s="1"/>
  <c r="J292" i="1" s="1"/>
  <c r="AF93" i="1"/>
  <c r="AC90" i="7" s="1"/>
  <c r="AF7" i="1"/>
  <c r="AC6" i="7" s="1"/>
  <c r="AF95" i="1"/>
  <c r="AC92" i="7" s="1"/>
  <c r="AF142" i="1"/>
  <c r="AC138" i="7" s="1"/>
  <c r="AF55" i="1"/>
  <c r="AC52" i="7" s="1"/>
  <c r="AF62" i="1"/>
  <c r="AC59" i="7" s="1"/>
  <c r="AF3" i="1"/>
  <c r="AC2" i="7" s="1"/>
  <c r="AF30" i="1"/>
  <c r="AC27" i="7" s="1"/>
  <c r="AF29" i="1"/>
  <c r="AC26" i="7" s="1"/>
  <c r="AF146" i="1"/>
  <c r="AC142" i="7" s="1"/>
  <c r="AF148" i="1"/>
  <c r="AC144" i="7" s="1"/>
  <c r="AF31" i="1"/>
  <c r="AC28" i="7" s="1"/>
  <c r="AF56" i="1"/>
  <c r="AC53" i="7" s="1"/>
  <c r="AF58" i="1"/>
  <c r="AC55" i="7" s="1"/>
  <c r="AD3" i="7" l="1"/>
  <c r="H23" i="9"/>
  <c r="H21" i="9"/>
  <c r="H22" i="9"/>
  <c r="H19" i="9"/>
  <c r="H20" i="9"/>
  <c r="Y170" i="1"/>
  <c r="Y171" i="1"/>
  <c r="Y133" i="1"/>
  <c r="W129" i="7" s="1"/>
  <c r="Y53" i="1"/>
  <c r="W50" i="7" s="1"/>
  <c r="Y122" i="1"/>
  <c r="W118" i="7" s="1"/>
  <c r="Y83" i="1"/>
  <c r="W80" i="7" s="1"/>
  <c r="Y78" i="1"/>
  <c r="W75" i="7" s="1"/>
  <c r="Y155" i="1"/>
  <c r="Y20" i="1"/>
  <c r="W19" i="7" s="1"/>
  <c r="Y164" i="1"/>
  <c r="Y132" i="1"/>
  <c r="W128" i="7" s="1"/>
  <c r="Y121" i="1"/>
  <c r="Y169" i="1"/>
  <c r="Y127" i="1"/>
  <c r="W123" i="7" s="1"/>
  <c r="Y21" i="1"/>
  <c r="W20" i="7" s="1"/>
  <c r="Y80" i="1"/>
  <c r="W77" i="7" s="1"/>
  <c r="Y160" i="1"/>
  <c r="Y128" i="1"/>
  <c r="W124" i="7" s="1"/>
  <c r="Y79" i="1"/>
  <c r="W76" i="7" s="1"/>
  <c r="Y157" i="1"/>
  <c r="Y86" i="1"/>
  <c r="W83" i="7" s="1"/>
  <c r="Y135" i="1"/>
  <c r="W131" i="7" s="1"/>
  <c r="Y168" i="1"/>
  <c r="Y123" i="1"/>
  <c r="W119" i="7" s="1"/>
  <c r="Y134" i="1"/>
  <c r="W130" i="7" s="1"/>
  <c r="Y162" i="1"/>
  <c r="Y88" i="1"/>
  <c r="W85" i="7" s="1"/>
  <c r="Y82" i="1"/>
  <c r="W79" i="7" s="1"/>
  <c r="Y167" i="1"/>
  <c r="Y126" i="1"/>
  <c r="W122" i="7" s="1"/>
  <c r="Y130" i="1"/>
  <c r="W126" i="7" s="1"/>
  <c r="Y165" i="1"/>
  <c r="Y85" i="1"/>
  <c r="W82" i="7" s="1"/>
  <c r="Y35" i="1"/>
  <c r="W32" i="7" s="1"/>
  <c r="Y163" i="1"/>
  <c r="Y158" i="1"/>
  <c r="Y124" i="1"/>
  <c r="W120" i="7" s="1"/>
  <c r="Y81" i="1"/>
  <c r="W78" i="7" s="1"/>
  <c r="Y156" i="1"/>
  <c r="Y129" i="1"/>
  <c r="W125" i="7" s="1"/>
  <c r="Y154" i="1"/>
  <c r="W150" i="7" s="1"/>
  <c r="Y166" i="1"/>
  <c r="Y161" i="1"/>
  <c r="Y111" i="1"/>
  <c r="Y87" i="1"/>
  <c r="W84" i="7" s="1"/>
  <c r="Y112" i="1"/>
  <c r="W108" i="7" s="1"/>
  <c r="Y159" i="1"/>
  <c r="Y131" i="1"/>
  <c r="W127" i="7" s="1"/>
  <c r="Y125" i="1"/>
  <c r="W121" i="7" s="1"/>
  <c r="Y84" i="1"/>
  <c r="W81" i="7" s="1"/>
  <c r="Y120" i="1"/>
  <c r="W116" i="7" s="1"/>
  <c r="Y142" i="1"/>
  <c r="W138" i="7" s="1"/>
  <c r="Y70" i="1"/>
  <c r="W67" i="7" s="1"/>
  <c r="Y75" i="1"/>
  <c r="W72" i="7" s="1"/>
  <c r="Y119" i="1"/>
  <c r="W115" i="7" s="1"/>
  <c r="Y33" i="1"/>
  <c r="W30" i="7" s="1"/>
  <c r="Y104" i="1"/>
  <c r="W100" i="7" s="1"/>
  <c r="Y73" i="1"/>
  <c r="W70" i="7" s="1"/>
  <c r="Y101" i="1"/>
  <c r="W97" i="7" s="1"/>
  <c r="Y64" i="1"/>
  <c r="W61" i="7" s="1"/>
  <c r="Y52" i="1"/>
  <c r="W49" i="7" s="1"/>
  <c r="Y72" i="1"/>
  <c r="W69" i="7" s="1"/>
  <c r="Y103" i="1"/>
  <c r="W99" i="7" s="1"/>
  <c r="Y116" i="1"/>
  <c r="W112" i="7" s="1"/>
  <c r="Y32" i="1"/>
  <c r="W29" i="7" s="1"/>
  <c r="Y18" i="1"/>
  <c r="W17" i="7" s="1"/>
  <c r="Y109" i="1"/>
  <c r="W105" i="7" s="1"/>
  <c r="Y77" i="1"/>
  <c r="W74" i="7" s="1"/>
  <c r="Y152" i="1"/>
  <c r="W148" i="7" s="1"/>
  <c r="Y76" i="1"/>
  <c r="W73" i="7" s="1"/>
  <c r="Y4" i="1"/>
  <c r="W3" i="7" s="1"/>
  <c r="Y107" i="1"/>
  <c r="W103" i="7" s="1"/>
  <c r="Y10" i="1"/>
  <c r="W9" i="7" s="1"/>
  <c r="Y19" i="1"/>
  <c r="W18" i="7" s="1"/>
  <c r="Y65" i="1"/>
  <c r="W62" i="7" s="1"/>
  <c r="Y71" i="1"/>
  <c r="W68" i="7" s="1"/>
  <c r="Y143" i="1"/>
  <c r="W139" i="7" s="1"/>
  <c r="Y136" i="1"/>
  <c r="W132" i="7" s="1"/>
  <c r="Y68" i="1"/>
  <c r="W65" i="7" s="1"/>
  <c r="Y151" i="1"/>
  <c r="W147" i="7" s="1"/>
  <c r="Y98" i="1"/>
  <c r="W95" i="7" s="1"/>
  <c r="Y66" i="1"/>
  <c r="W63" i="7" s="1"/>
  <c r="Y69" i="1"/>
  <c r="W66" i="7" s="1"/>
  <c r="Y137" i="1"/>
  <c r="W133" i="7" s="1"/>
  <c r="Y11" i="1"/>
  <c r="W10" i="7" s="1"/>
  <c r="Y97" i="1"/>
  <c r="W94" i="7" s="1"/>
  <c r="Y148" i="1"/>
  <c r="W144" i="7" s="1"/>
  <c r="Y3" i="1"/>
  <c r="W2" i="7" s="1"/>
  <c r="Y144" i="1"/>
  <c r="W140" i="7" s="1"/>
  <c r="Y8" i="1"/>
  <c r="W7" i="7" s="1"/>
  <c r="Y12" i="1"/>
  <c r="W11" i="7" s="1"/>
  <c r="Y110" i="1"/>
  <c r="W106" i="7" s="1"/>
  <c r="Y9" i="1"/>
  <c r="W8" i="7" s="1"/>
  <c r="Y114" i="1"/>
  <c r="W110" i="7" s="1"/>
  <c r="Y153" i="1"/>
  <c r="W149" i="7" s="1"/>
  <c r="Y96" i="1"/>
  <c r="W93" i="7" s="1"/>
  <c r="Y99" i="1"/>
  <c r="W96" i="7" s="1"/>
  <c r="Y102" i="1"/>
  <c r="W98" i="7" s="1"/>
  <c r="Y74" i="1"/>
  <c r="W71" i="7" s="1"/>
  <c r="Y58" i="1"/>
  <c r="W55" i="7" s="1"/>
  <c r="Y56" i="1"/>
  <c r="W53" i="7" s="1"/>
  <c r="Y31" i="1"/>
  <c r="W28" i="7" s="1"/>
  <c r="Y146" i="1"/>
  <c r="W142" i="7" s="1"/>
  <c r="Y29" i="1"/>
  <c r="W26" i="7" s="1"/>
  <c r="Y30" i="1"/>
  <c r="W27" i="7" s="1"/>
  <c r="Y62" i="1"/>
  <c r="W59" i="7" s="1"/>
  <c r="Y55" i="1"/>
  <c r="W52" i="7" s="1"/>
  <c r="Y95" i="1"/>
  <c r="W92" i="7" s="1"/>
  <c r="Y7" i="1"/>
  <c r="W6" i="7" s="1"/>
  <c r="Y93" i="1"/>
  <c r="W90" i="7" s="1"/>
  <c r="Y145" i="1"/>
  <c r="W141" i="7" s="1"/>
  <c r="Y61" i="1"/>
  <c r="W58" i="7" s="1"/>
  <c r="Y57" i="1"/>
  <c r="W54" i="7" s="1"/>
  <c r="D23" i="5"/>
  <c r="D24" i="5"/>
  <c r="D25" i="5"/>
  <c r="J111" i="1" l="1"/>
  <c r="W107" i="7"/>
  <c r="J121" i="1"/>
  <c r="W117" i="7"/>
  <c r="H24" i="9"/>
  <c r="J120" i="1"/>
  <c r="J53" i="1"/>
  <c r="J163" i="1"/>
  <c r="H142" i="7" s="1"/>
  <c r="J167" i="1"/>
  <c r="H146" i="7" s="1"/>
  <c r="J112" i="1"/>
  <c r="J166" i="1"/>
  <c r="H145" i="7" s="1"/>
  <c r="J157" i="1"/>
  <c r="H136" i="7" s="1"/>
  <c r="J122" i="1"/>
  <c r="J171" i="1"/>
  <c r="H150" i="7" s="1"/>
  <c r="J52" i="1"/>
  <c r="J124" i="1"/>
  <c r="J130" i="1"/>
  <c r="J135" i="1"/>
  <c r="J128" i="1"/>
  <c r="J170" i="1"/>
  <c r="H149" i="7" s="1"/>
  <c r="J133" i="1"/>
  <c r="J20" i="1"/>
  <c r="J78" i="1"/>
  <c r="J83" i="1"/>
  <c r="J164" i="1"/>
  <c r="H143" i="7" s="1"/>
  <c r="J88" i="1"/>
  <c r="J80" i="1"/>
  <c r="J156" i="1"/>
  <c r="H135" i="7" s="1"/>
  <c r="J132" i="1"/>
  <c r="J85" i="1"/>
  <c r="J126" i="1"/>
  <c r="J162" i="1"/>
  <c r="H141" i="7" s="1"/>
  <c r="J160" i="1"/>
  <c r="H139" i="7" s="1"/>
  <c r="J123" i="1"/>
  <c r="J127" i="1"/>
  <c r="J84" i="1"/>
  <c r="J165" i="1"/>
  <c r="H144" i="7" s="1"/>
  <c r="J82" i="1"/>
  <c r="J131" i="1"/>
  <c r="J134" i="1"/>
  <c r="J155" i="1"/>
  <c r="H134" i="7" s="1"/>
  <c r="J79" i="1"/>
  <c r="J169" i="1"/>
  <c r="H148" i="7" s="1"/>
  <c r="J86" i="1"/>
  <c r="J159" i="1"/>
  <c r="H138" i="7" s="1"/>
  <c r="J154" i="1"/>
  <c r="H133" i="7" s="1"/>
  <c r="J81" i="1"/>
  <c r="J125" i="1"/>
  <c r="J87" i="1"/>
  <c r="J129" i="1"/>
  <c r="J158" i="1"/>
  <c r="H137" i="7" s="1"/>
  <c r="J161" i="1"/>
  <c r="H140" i="7" s="1"/>
  <c r="J35" i="1"/>
  <c r="J168" i="1"/>
  <c r="H147" i="7" s="1"/>
  <c r="J21" i="1"/>
  <c r="J74" i="1"/>
  <c r="J153" i="1"/>
  <c r="J9" i="1"/>
  <c r="H8" i="7" s="1"/>
  <c r="J12" i="1"/>
  <c r="J144" i="1"/>
  <c r="J148" i="1"/>
  <c r="J11" i="1"/>
  <c r="J69" i="1"/>
  <c r="J98" i="1"/>
  <c r="J68" i="1"/>
  <c r="J143" i="1"/>
  <c r="J65" i="1"/>
  <c r="J10" i="1"/>
  <c r="J4" i="1"/>
  <c r="H3" i="7" s="1"/>
  <c r="J152" i="1"/>
  <c r="H131" i="7" s="1"/>
  <c r="J18" i="1"/>
  <c r="J116" i="1"/>
  <c r="J64" i="1"/>
  <c r="J73" i="1"/>
  <c r="J104" i="1"/>
  <c r="J119" i="1"/>
  <c r="J70" i="1"/>
  <c r="J99" i="1"/>
  <c r="J102" i="1"/>
  <c r="J96" i="1"/>
  <c r="J114" i="1"/>
  <c r="J110" i="1"/>
  <c r="J8" i="1"/>
  <c r="H7" i="7" s="1"/>
  <c r="J3" i="1"/>
  <c r="H2" i="7" s="1"/>
  <c r="J97" i="1"/>
  <c r="J137" i="1"/>
  <c r="J66" i="1"/>
  <c r="J151" i="1"/>
  <c r="J136" i="1"/>
  <c r="J71" i="1"/>
  <c r="J19" i="1"/>
  <c r="J107" i="1"/>
  <c r="J76" i="1"/>
  <c r="J77" i="1"/>
  <c r="J109" i="1"/>
  <c r="J32" i="1"/>
  <c r="J103" i="1"/>
  <c r="J72" i="1"/>
  <c r="J101" i="1"/>
  <c r="J33" i="1"/>
  <c r="J75" i="1"/>
  <c r="J142" i="1"/>
  <c r="J57" i="1"/>
  <c r="J61" i="1"/>
  <c r="J145" i="1"/>
  <c r="J93" i="1"/>
  <c r="J7" i="1"/>
  <c r="H6" i="7" s="1"/>
  <c r="J95" i="1"/>
  <c r="J55" i="1"/>
  <c r="J62" i="1"/>
  <c r="J30" i="1"/>
  <c r="J29" i="1"/>
  <c r="J146" i="1"/>
  <c r="J31" i="1"/>
  <c r="J56" i="1"/>
  <c r="J58" i="1"/>
  <c r="D15" i="5"/>
  <c r="H104" i="7" l="1"/>
  <c r="G9" i="9"/>
  <c r="H130" i="7"/>
  <c r="H132" i="7"/>
  <c r="H107" i="7"/>
  <c r="H113" i="7"/>
  <c r="H108" i="7"/>
  <c r="H118" i="7"/>
  <c r="H99" i="7"/>
  <c r="H123" i="7"/>
  <c r="H126" i="7"/>
  <c r="H105" i="7"/>
  <c r="H115" i="7"/>
  <c r="H124" i="7"/>
  <c r="H125" i="7"/>
  <c r="H114" i="7"/>
  <c r="H127" i="7"/>
  <c r="H117" i="7"/>
  <c r="H110" i="7"/>
  <c r="H116" i="7"/>
  <c r="H92" i="7"/>
  <c r="H97" i="7"/>
  <c r="H95" i="7"/>
  <c r="H90" i="7"/>
  <c r="H62" i="7"/>
  <c r="H9" i="7"/>
  <c r="H87" i="7"/>
  <c r="H49" i="7"/>
  <c r="H17" i="7"/>
  <c r="H50" i="7"/>
  <c r="D3" i="5"/>
  <c r="G6" i="6" l="1"/>
  <c r="G7" i="6"/>
  <c r="G8" i="6"/>
  <c r="G5" i="6"/>
  <c r="F8" i="6"/>
  <c r="L6" i="6" s="1"/>
  <c r="F7" i="6"/>
  <c r="K6" i="6" s="1"/>
  <c r="F6" i="6"/>
  <c r="M6" i="6" s="1"/>
  <c r="F5" i="6"/>
  <c r="O6" i="6" s="1"/>
  <c r="F10" i="6" l="1"/>
  <c r="D6" i="5"/>
  <c r="AP38" i="1" l="1"/>
  <c r="AM35" i="7" s="1"/>
  <c r="AP39" i="1"/>
  <c r="AM36" i="7" s="1"/>
  <c r="AP36" i="1"/>
  <c r="AM33" i="7" s="1"/>
  <c r="AP37" i="1"/>
  <c r="AM34" i="7" s="1"/>
  <c r="AP139" i="1"/>
  <c r="AM135" i="7" s="1"/>
  <c r="AP140" i="1"/>
  <c r="AM136" i="7" s="1"/>
  <c r="AP141" i="1"/>
  <c r="AM137" i="7" s="1"/>
  <c r="AP89" i="1"/>
  <c r="AM86" i="7" s="1"/>
  <c r="AP63" i="1"/>
  <c r="AM60" i="7" s="1"/>
  <c r="AP59" i="1"/>
  <c r="AM56" i="7" s="1"/>
  <c r="AP90" i="1"/>
  <c r="AM87" i="7" s="1"/>
  <c r="AP113" i="1"/>
  <c r="AM109" i="7" s="1"/>
  <c r="AP91" i="1"/>
  <c r="AM88" i="7" s="1"/>
  <c r="AP5" i="1"/>
  <c r="AM4" i="7" s="1"/>
  <c r="AP105" i="1"/>
  <c r="AM101" i="7" s="1"/>
  <c r="AP67" i="1"/>
  <c r="AM64" i="7" s="1"/>
  <c r="AP92" i="1"/>
  <c r="AM89" i="7" s="1"/>
  <c r="AP115" i="1"/>
  <c r="AM111" i="7" s="1"/>
  <c r="AP106" i="1"/>
  <c r="AM102" i="7" s="1"/>
  <c r="AP108" i="1"/>
  <c r="AM104" i="7" s="1"/>
  <c r="AP14" i="1"/>
  <c r="AM13" i="7" s="1"/>
  <c r="AP150" i="1"/>
  <c r="AM146" i="7" s="1"/>
  <c r="AP15" i="1"/>
  <c r="AM14" i="7" s="1"/>
  <c r="AP16" i="1"/>
  <c r="AM15" i="7" s="1"/>
  <c r="AP17" i="1"/>
  <c r="AM16" i="7" s="1"/>
  <c r="AP149" i="1"/>
  <c r="AM145" i="7" s="1"/>
  <c r="AP94" i="1"/>
  <c r="AM91" i="7" s="1"/>
  <c r="AP13" i="1"/>
  <c r="AM12" i="7" s="1"/>
  <c r="AP6" i="1"/>
  <c r="AM5" i="7" s="1"/>
  <c r="AP60" i="1"/>
  <c r="AM57" i="7" s="1"/>
  <c r="AP138" i="1"/>
  <c r="AM134" i="7" s="1"/>
  <c r="AL2" i="1"/>
  <c r="AI1" i="7" s="1"/>
  <c r="AM2" i="1"/>
  <c r="AJ1" i="7" s="1"/>
  <c r="AN2" i="1"/>
  <c r="AK1" i="7" s="1"/>
  <c r="AO2" i="1"/>
  <c r="AL1" i="7" s="1"/>
  <c r="AK2" i="1"/>
  <c r="AH1" i="7" s="1"/>
  <c r="D4" i="5" l="1"/>
  <c r="D38" i="5" l="1"/>
  <c r="D39" i="5"/>
  <c r="D40" i="5"/>
  <c r="D33" i="5"/>
  <c r="D34" i="5"/>
  <c r="D35" i="5"/>
  <c r="D36" i="5"/>
  <c r="D37" i="5"/>
  <c r="D32" i="5"/>
  <c r="D10" i="5"/>
  <c r="D11" i="5"/>
  <c r="D12" i="5"/>
  <c r="D13" i="5"/>
  <c r="D9" i="5"/>
  <c r="D41" i="5"/>
  <c r="D42" i="5"/>
  <c r="D43" i="5"/>
  <c r="D7" i="5"/>
  <c r="D8" i="5"/>
  <c r="D14" i="5"/>
  <c r="D16" i="5"/>
  <c r="D17" i="5"/>
  <c r="D18" i="5"/>
  <c r="D19" i="5"/>
  <c r="D20" i="5"/>
  <c r="D21" i="5"/>
  <c r="D22" i="5"/>
  <c r="D26" i="5"/>
  <c r="D27" i="5"/>
  <c r="D28" i="5"/>
  <c r="D29" i="5"/>
  <c r="D30" i="5"/>
  <c r="D31" i="5"/>
  <c r="D2" i="5"/>
  <c r="AC139" i="1" l="1"/>
  <c r="AA135" i="7" s="1"/>
  <c r="Z139" i="1"/>
  <c r="X135" i="7" s="1"/>
  <c r="AQ139" i="1"/>
  <c r="AN135" i="7" s="1"/>
  <c r="AA139" i="1"/>
  <c r="Y135" i="7" s="1"/>
  <c r="AB139" i="1"/>
  <c r="Z135" i="7" s="1"/>
  <c r="AE139" i="1"/>
  <c r="AB135" i="7" s="1"/>
  <c r="AA39" i="1" l="1"/>
  <c r="Y36" i="7" s="1"/>
  <c r="AQ60" i="1"/>
  <c r="AN57" i="7" s="1"/>
  <c r="AQ6" i="1"/>
  <c r="AN5" i="7" s="1"/>
  <c r="AQ13" i="1"/>
  <c r="AN12" i="7" s="1"/>
  <c r="AQ94" i="1"/>
  <c r="AN91" i="7" s="1"/>
  <c r="AQ149" i="1"/>
  <c r="AN145" i="7" s="1"/>
  <c r="AQ17" i="1"/>
  <c r="AN16" i="7" s="1"/>
  <c r="AQ16" i="1"/>
  <c r="AN15" i="7" s="1"/>
  <c r="AQ15" i="1"/>
  <c r="AN14" i="7" s="1"/>
  <c r="AQ150" i="1"/>
  <c r="AN146" i="7" s="1"/>
  <c r="AQ14" i="1"/>
  <c r="AN13" i="7" s="1"/>
  <c r="AQ108" i="1"/>
  <c r="AN104" i="7" s="1"/>
  <c r="AQ106" i="1"/>
  <c r="AN102" i="7" s="1"/>
  <c r="AQ115" i="1"/>
  <c r="AN111" i="7" s="1"/>
  <c r="AQ92" i="1"/>
  <c r="AN89" i="7" s="1"/>
  <c r="AQ67" i="1"/>
  <c r="AN64" i="7" s="1"/>
  <c r="AQ105" i="1"/>
  <c r="AN101" i="7" s="1"/>
  <c r="AG139" i="1"/>
  <c r="AD135" i="7" s="1"/>
  <c r="AB15" i="1"/>
  <c r="Z14" i="7" s="1"/>
  <c r="AC15" i="1"/>
  <c r="AA14" i="7" s="1"/>
  <c r="AA15" i="1"/>
  <c r="Y14" i="7" s="1"/>
  <c r="Z15" i="1"/>
  <c r="X14" i="7" s="1"/>
  <c r="AB90" i="1"/>
  <c r="Z87" i="7" s="1"/>
  <c r="AC90" i="1"/>
  <c r="AA87" i="7" s="1"/>
  <c r="AA90" i="1"/>
  <c r="Y87" i="7" s="1"/>
  <c r="Z90" i="1"/>
  <c r="X87" i="7" s="1"/>
  <c r="AC60" i="1"/>
  <c r="AA57" i="7" s="1"/>
  <c r="AA60" i="1"/>
  <c r="Y57" i="7" s="1"/>
  <c r="Z60" i="1"/>
  <c r="X57" i="7" s="1"/>
  <c r="AB60" i="1"/>
  <c r="Z57" i="7" s="1"/>
  <c r="AC149" i="1"/>
  <c r="AA145" i="7" s="1"/>
  <c r="AA149" i="1"/>
  <c r="Y145" i="7" s="1"/>
  <c r="Z149" i="1"/>
  <c r="X145" i="7" s="1"/>
  <c r="AB149" i="1"/>
  <c r="Z145" i="7" s="1"/>
  <c r="AC150" i="1"/>
  <c r="AA146" i="7" s="1"/>
  <c r="AA150" i="1"/>
  <c r="Y146" i="7" s="1"/>
  <c r="Z150" i="1"/>
  <c r="X146" i="7" s="1"/>
  <c r="AB150" i="1"/>
  <c r="Z146" i="7" s="1"/>
  <c r="AC115" i="1"/>
  <c r="AA111" i="7" s="1"/>
  <c r="AA115" i="1"/>
  <c r="Y111" i="7" s="1"/>
  <c r="Z115" i="1"/>
  <c r="X111" i="7" s="1"/>
  <c r="AB115" i="1"/>
  <c r="Z111" i="7" s="1"/>
  <c r="AC5" i="1"/>
  <c r="AA4" i="7" s="1"/>
  <c r="AA5" i="1"/>
  <c r="Y4" i="7" s="1"/>
  <c r="Z5" i="1"/>
  <c r="X4" i="7" s="1"/>
  <c r="AB5" i="1"/>
  <c r="Z4" i="7" s="1"/>
  <c r="AC59" i="1"/>
  <c r="AA56" i="7" s="1"/>
  <c r="Z59" i="1"/>
  <c r="X56" i="7" s="1"/>
  <c r="AC37" i="1"/>
  <c r="AA34" i="7" s="1"/>
  <c r="Z37" i="1"/>
  <c r="X34" i="7" s="1"/>
  <c r="AC140" i="1"/>
  <c r="AA136" i="7" s="1"/>
  <c r="Z140" i="1"/>
  <c r="X136" i="7" s="1"/>
  <c r="AB94" i="1"/>
  <c r="Z91" i="7" s="1"/>
  <c r="AC94" i="1"/>
  <c r="AA91" i="7" s="1"/>
  <c r="AA94" i="1"/>
  <c r="Y91" i="7" s="1"/>
  <c r="Z94" i="1"/>
  <c r="X91" i="7" s="1"/>
  <c r="AB105" i="1"/>
  <c r="Z101" i="7" s="1"/>
  <c r="AC105" i="1"/>
  <c r="AA101" i="7" s="1"/>
  <c r="AA105" i="1"/>
  <c r="Y101" i="7" s="1"/>
  <c r="Z105" i="1"/>
  <c r="X101" i="7" s="1"/>
  <c r="AC38" i="1"/>
  <c r="AA35" i="7" s="1"/>
  <c r="Z38" i="1"/>
  <c r="X35" i="7" s="1"/>
  <c r="AC138" i="1"/>
  <c r="AA134" i="7" s="1"/>
  <c r="Z138" i="1"/>
  <c r="X134" i="7" s="1"/>
  <c r="AC6" i="1"/>
  <c r="AA5" i="7" s="1"/>
  <c r="AA6" i="1"/>
  <c r="Y5" i="7" s="1"/>
  <c r="Z6" i="1"/>
  <c r="X5" i="7" s="1"/>
  <c r="AB6" i="1"/>
  <c r="Z5" i="7" s="1"/>
  <c r="AC17" i="1"/>
  <c r="AA16" i="7" s="1"/>
  <c r="AA17" i="1"/>
  <c r="Y16" i="7" s="1"/>
  <c r="Z17" i="1"/>
  <c r="X16" i="7" s="1"/>
  <c r="AB17" i="1"/>
  <c r="Z16" i="7" s="1"/>
  <c r="AC14" i="1"/>
  <c r="AA13" i="7" s="1"/>
  <c r="AA14" i="1"/>
  <c r="Y13" i="7" s="1"/>
  <c r="Z14" i="1"/>
  <c r="X13" i="7" s="1"/>
  <c r="AB14" i="1"/>
  <c r="Z13" i="7" s="1"/>
  <c r="AC92" i="1"/>
  <c r="AA89" i="7" s="1"/>
  <c r="AA92" i="1"/>
  <c r="Y89" i="7" s="1"/>
  <c r="Z92" i="1"/>
  <c r="X89" i="7" s="1"/>
  <c r="AB92" i="1"/>
  <c r="Z89" i="7" s="1"/>
  <c r="AC91" i="1"/>
  <c r="AA88" i="7" s="1"/>
  <c r="AA91" i="1"/>
  <c r="Y88" i="7" s="1"/>
  <c r="Z91" i="1"/>
  <c r="X88" i="7" s="1"/>
  <c r="AB91" i="1"/>
  <c r="Z88" i="7" s="1"/>
  <c r="AC63" i="1"/>
  <c r="AA60" i="7" s="1"/>
  <c r="Z63" i="1"/>
  <c r="X60" i="7" s="1"/>
  <c r="AC36" i="1"/>
  <c r="AA33" i="7" s="1"/>
  <c r="Z36" i="1"/>
  <c r="X33" i="7" s="1"/>
  <c r="AF139" i="1"/>
  <c r="AC135" i="7" s="1"/>
  <c r="AB106" i="1"/>
  <c r="Z102" i="7" s="1"/>
  <c r="AC106" i="1"/>
  <c r="AA102" i="7" s="1"/>
  <c r="AA106" i="1"/>
  <c r="Y102" i="7" s="1"/>
  <c r="Z106" i="1"/>
  <c r="X102" i="7" s="1"/>
  <c r="AC141" i="1"/>
  <c r="AA137" i="7" s="1"/>
  <c r="Z141" i="1"/>
  <c r="X137" i="7" s="1"/>
  <c r="AB13" i="1"/>
  <c r="Z12" i="7" s="1"/>
  <c r="AC13" i="1"/>
  <c r="AA12" i="7" s="1"/>
  <c r="AA13" i="1"/>
  <c r="Y12" i="7" s="1"/>
  <c r="Z13" i="1"/>
  <c r="X12" i="7" s="1"/>
  <c r="AB16" i="1"/>
  <c r="Z15" i="7" s="1"/>
  <c r="AC16" i="1"/>
  <c r="AA15" i="7" s="1"/>
  <c r="AA16" i="1"/>
  <c r="Y15" i="7" s="1"/>
  <c r="Z16" i="1"/>
  <c r="X15" i="7" s="1"/>
  <c r="AB108" i="1"/>
  <c r="Z104" i="7" s="1"/>
  <c r="AC108" i="1"/>
  <c r="AA104" i="7" s="1"/>
  <c r="AA108" i="1"/>
  <c r="Y104" i="7" s="1"/>
  <c r="Z108" i="1"/>
  <c r="X104" i="7" s="1"/>
  <c r="AB67" i="1"/>
  <c r="Z64" i="7" s="1"/>
  <c r="AC67" i="1"/>
  <c r="AA64" i="7" s="1"/>
  <c r="AA67" i="1"/>
  <c r="Y64" i="7" s="1"/>
  <c r="Z67" i="1"/>
  <c r="X64" i="7" s="1"/>
  <c r="AB113" i="1"/>
  <c r="Z109" i="7" s="1"/>
  <c r="AC113" i="1"/>
  <c r="AA109" i="7" s="1"/>
  <c r="AA113" i="1"/>
  <c r="Y109" i="7" s="1"/>
  <c r="Z113" i="1"/>
  <c r="X109" i="7" s="1"/>
  <c r="AC89" i="1"/>
  <c r="AA86" i="7" s="1"/>
  <c r="Z89" i="1"/>
  <c r="X86" i="7" s="1"/>
  <c r="AC39" i="1"/>
  <c r="AA36" i="7" s="1"/>
  <c r="Z39" i="1"/>
  <c r="X36" i="7" s="1"/>
  <c r="AB141" i="1"/>
  <c r="Z137" i="7" s="1"/>
  <c r="AA38" i="1"/>
  <c r="Y35" i="7" s="1"/>
  <c r="AB59" i="1"/>
  <c r="Z56" i="7" s="1"/>
  <c r="AA37" i="1"/>
  <c r="Y34" i="7" s="1"/>
  <c r="AA140" i="1"/>
  <c r="Y136" i="7" s="1"/>
  <c r="AA138" i="1"/>
  <c r="Y134" i="7" s="1"/>
  <c r="AB63" i="1"/>
  <c r="Z60" i="7" s="1"/>
  <c r="AE36" i="1"/>
  <c r="AB33" i="7" s="1"/>
  <c r="AB89" i="1"/>
  <c r="Z86" i="7" s="1"/>
  <c r="AB39" i="1"/>
  <c r="Z36" i="7" s="1"/>
  <c r="AQ113" i="1"/>
  <c r="AN109" i="7" s="1"/>
  <c r="AQ89" i="1"/>
  <c r="AN86" i="7" s="1"/>
  <c r="AQ140" i="1"/>
  <c r="AN136" i="7" s="1"/>
  <c r="AE140" i="1"/>
  <c r="AB136" i="7" s="1"/>
  <c r="AB140" i="1"/>
  <c r="Z136" i="7" s="1"/>
  <c r="AQ63" i="1"/>
  <c r="AN60" i="7" s="1"/>
  <c r="AA89" i="1"/>
  <c r="Y86" i="7" s="1"/>
  <c r="AA141" i="1"/>
  <c r="Y137" i="7" s="1"/>
  <c r="AE37" i="1"/>
  <c r="AB34" i="7" s="1"/>
  <c r="AA63" i="1"/>
  <c r="Y60" i="7" s="1"/>
  <c r="AB36" i="1"/>
  <c r="Z33" i="7" s="1"/>
  <c r="AA59" i="1"/>
  <c r="Y56" i="7" s="1"/>
  <c r="AB37" i="1"/>
  <c r="Z34" i="7" s="1"/>
  <c r="AA36" i="1"/>
  <c r="Y33" i="7" s="1"/>
  <c r="AE38" i="1"/>
  <c r="AB35" i="7" s="1"/>
  <c r="AQ91" i="1"/>
  <c r="AN88" i="7" s="1"/>
  <c r="AE60" i="1"/>
  <c r="AB57" i="7" s="1"/>
  <c r="AE6" i="1"/>
  <c r="AB5" i="7" s="1"/>
  <c r="AE13" i="1"/>
  <c r="AB12" i="7" s="1"/>
  <c r="AE94" i="1"/>
  <c r="AB91" i="7" s="1"/>
  <c r="AE149" i="1"/>
  <c r="AB145" i="7" s="1"/>
  <c r="AE17" i="1"/>
  <c r="AB16" i="7" s="1"/>
  <c r="AE16" i="1"/>
  <c r="AB15" i="7" s="1"/>
  <c r="AE15" i="1"/>
  <c r="AB14" i="7" s="1"/>
  <c r="AE150" i="1"/>
  <c r="AB146" i="7" s="1"/>
  <c r="AE14" i="1"/>
  <c r="AB13" i="7" s="1"/>
  <c r="AE108" i="1"/>
  <c r="AB104" i="7" s="1"/>
  <c r="AE106" i="1"/>
  <c r="AB102" i="7" s="1"/>
  <c r="AE115" i="1"/>
  <c r="AB111" i="7" s="1"/>
  <c r="AE92" i="1"/>
  <c r="AB89" i="7" s="1"/>
  <c r="AE67" i="1"/>
  <c r="AB64" i="7" s="1"/>
  <c r="AE105" i="1"/>
  <c r="AB101" i="7" s="1"/>
  <c r="AE5" i="1"/>
  <c r="AB4" i="7" s="1"/>
  <c r="AE91" i="1"/>
  <c r="AB88" i="7" s="1"/>
  <c r="AE113" i="1"/>
  <c r="AB109" i="7" s="1"/>
  <c r="AE90" i="1"/>
  <c r="AB87" i="7" s="1"/>
  <c r="AE59" i="1"/>
  <c r="AB56" i="7" s="1"/>
  <c r="AE63" i="1"/>
  <c r="AB60" i="7" s="1"/>
  <c r="AE89" i="1"/>
  <c r="AB86" i="7" s="1"/>
  <c r="AE141" i="1"/>
  <c r="AB137" i="7" s="1"/>
  <c r="AE39" i="1"/>
  <c r="AB36" i="7" s="1"/>
  <c r="AB38" i="1"/>
  <c r="Z35" i="7" s="1"/>
  <c r="AQ90" i="1"/>
  <c r="AN87" i="7" s="1"/>
  <c r="AQ141" i="1"/>
  <c r="AN137" i="7" s="1"/>
  <c r="AQ5" i="1"/>
  <c r="AN4" i="7" s="1"/>
  <c r="AQ59" i="1"/>
  <c r="AN56" i="7" s="1"/>
  <c r="AB138" i="1"/>
  <c r="Z134" i="7" s="1"/>
  <c r="AE138" i="1"/>
  <c r="AB134" i="7" s="1"/>
  <c r="AQ38" i="1"/>
  <c r="AN35" i="7" s="1"/>
  <c r="AQ36" i="1"/>
  <c r="AN33" i="7" s="1"/>
  <c r="AQ37" i="1"/>
  <c r="AN34" i="7" s="1"/>
  <c r="AQ138" i="1"/>
  <c r="AN134" i="7" s="1"/>
  <c r="I19" i="9" l="1"/>
  <c r="I20" i="9"/>
  <c r="I22" i="9"/>
  <c r="I23" i="9"/>
  <c r="I21" i="9"/>
  <c r="AG108" i="1"/>
  <c r="AD104" i="7" s="1"/>
  <c r="AG92" i="1"/>
  <c r="AD89" i="7" s="1"/>
  <c r="AG6" i="1"/>
  <c r="AD5" i="7" s="1"/>
  <c r="AG67" i="1"/>
  <c r="AD64" i="7" s="1"/>
  <c r="AG16" i="1"/>
  <c r="AD15" i="7" s="1"/>
  <c r="AG13" i="1"/>
  <c r="AD12" i="7" s="1"/>
  <c r="AG60" i="1"/>
  <c r="AD57" i="7" s="1"/>
  <c r="AG105" i="1"/>
  <c r="AD101" i="7" s="1"/>
  <c r="AG106" i="1"/>
  <c r="AD102" i="7" s="1"/>
  <c r="AG15" i="1"/>
  <c r="AD14" i="7" s="1"/>
  <c r="AG94" i="1"/>
  <c r="AD91" i="7" s="1"/>
  <c r="AG115" i="1"/>
  <c r="AD111" i="7" s="1"/>
  <c r="AG150" i="1"/>
  <c r="AD146" i="7" s="1"/>
  <c r="AG149" i="1"/>
  <c r="AD145" i="7" s="1"/>
  <c r="AG17" i="1"/>
  <c r="AD16" i="7" s="1"/>
  <c r="AG14" i="1"/>
  <c r="AD13" i="7" s="1"/>
  <c r="AI5" i="1"/>
  <c r="AF4" i="7" s="1"/>
  <c r="AG138" i="1"/>
  <c r="AD134" i="7" s="1"/>
  <c r="AG37" i="1"/>
  <c r="AD34" i="7" s="1"/>
  <c r="AG36" i="1"/>
  <c r="AD33" i="7" s="1"/>
  <c r="AG39" i="1"/>
  <c r="AD36" i="7" s="1"/>
  <c r="AG38" i="1"/>
  <c r="AD35" i="7" s="1"/>
  <c r="AG59" i="1"/>
  <c r="AD56" i="7" s="1"/>
  <c r="AG5" i="1"/>
  <c r="AD4" i="7" s="1"/>
  <c r="AG141" i="1"/>
  <c r="AD137" i="7" s="1"/>
  <c r="AG90" i="1"/>
  <c r="AD87" i="7" s="1"/>
  <c r="AG91" i="1"/>
  <c r="AD88" i="7" s="1"/>
  <c r="AG63" i="1"/>
  <c r="AD60" i="7" s="1"/>
  <c r="AG140" i="1"/>
  <c r="AD136" i="7" s="1"/>
  <c r="AG89" i="1"/>
  <c r="AD86" i="7" s="1"/>
  <c r="AG113" i="1"/>
  <c r="AD109" i="7" s="1"/>
  <c r="Y139" i="1"/>
  <c r="W135" i="7" s="1"/>
  <c r="AF138" i="1"/>
  <c r="AC134" i="7" s="1"/>
  <c r="AF63" i="1"/>
  <c r="AC60" i="7" s="1"/>
  <c r="AF92" i="1"/>
  <c r="AC89" i="7" s="1"/>
  <c r="AF14" i="1"/>
  <c r="AC13" i="7" s="1"/>
  <c r="AF38" i="1"/>
  <c r="AC35" i="7" s="1"/>
  <c r="AF90" i="1"/>
  <c r="AC87" i="7" s="1"/>
  <c r="AF15" i="1"/>
  <c r="AC14" i="7" s="1"/>
  <c r="AF89" i="1"/>
  <c r="AC86" i="7" s="1"/>
  <c r="AF106" i="1"/>
  <c r="AC102" i="7" s="1"/>
  <c r="AF5" i="1"/>
  <c r="AC4" i="7" s="1"/>
  <c r="AF115" i="1"/>
  <c r="AC111" i="7" s="1"/>
  <c r="AF150" i="1"/>
  <c r="AC146" i="7" s="1"/>
  <c r="AF149" i="1"/>
  <c r="AC145" i="7" s="1"/>
  <c r="AF60" i="1"/>
  <c r="AC57" i="7" s="1"/>
  <c r="AF37" i="1"/>
  <c r="AC34" i="7" s="1"/>
  <c r="AF36" i="1"/>
  <c r="AC33" i="7" s="1"/>
  <c r="AF105" i="1"/>
  <c r="AC101" i="7" s="1"/>
  <c r="AF94" i="1"/>
  <c r="AC91" i="7" s="1"/>
  <c r="AF59" i="1"/>
  <c r="AC56" i="7" s="1"/>
  <c r="AF39" i="1"/>
  <c r="AC36" i="7" s="1"/>
  <c r="AF113" i="1"/>
  <c r="AC109" i="7" s="1"/>
  <c r="AF67" i="1"/>
  <c r="AC64" i="7" s="1"/>
  <c r="AF108" i="1"/>
  <c r="AC104" i="7" s="1"/>
  <c r="AF16" i="1"/>
  <c r="AC15" i="7" s="1"/>
  <c r="AF13" i="1"/>
  <c r="AC12" i="7" s="1"/>
  <c r="AF141" i="1"/>
  <c r="AC137" i="7" s="1"/>
  <c r="AF91" i="1"/>
  <c r="AC88" i="7" s="1"/>
  <c r="AF17" i="1"/>
  <c r="AC16" i="7" s="1"/>
  <c r="AF6" i="1"/>
  <c r="AC5" i="7" s="1"/>
  <c r="AF140" i="1"/>
  <c r="AC136" i="7" s="1"/>
  <c r="I24" i="9" l="1"/>
  <c r="Y39" i="1"/>
  <c r="W36" i="7" s="1"/>
  <c r="Y140" i="1"/>
  <c r="W136" i="7" s="1"/>
  <c r="Y6" i="1"/>
  <c r="W5" i="7" s="1"/>
  <c r="Y17" i="1"/>
  <c r="W16" i="7" s="1"/>
  <c r="Y91" i="1"/>
  <c r="W88" i="7" s="1"/>
  <c r="Y141" i="1"/>
  <c r="W137" i="7" s="1"/>
  <c r="Y13" i="1"/>
  <c r="W12" i="7" s="1"/>
  <c r="Y16" i="1"/>
  <c r="W15" i="7" s="1"/>
  <c r="Y108" i="1"/>
  <c r="W104" i="7" s="1"/>
  <c r="Y67" i="1"/>
  <c r="W64" i="7" s="1"/>
  <c r="Y113" i="1"/>
  <c r="W109" i="7" s="1"/>
  <c r="Y59" i="1"/>
  <c r="W56" i="7" s="1"/>
  <c r="Y94" i="1"/>
  <c r="W91" i="7" s="1"/>
  <c r="Y105" i="1"/>
  <c r="W101" i="7" s="1"/>
  <c r="Y36" i="1"/>
  <c r="W33" i="7" s="1"/>
  <c r="Y37" i="1"/>
  <c r="W34" i="7" s="1"/>
  <c r="Y60" i="1"/>
  <c r="W57" i="7" s="1"/>
  <c r="Y149" i="1"/>
  <c r="W145" i="7" s="1"/>
  <c r="Y150" i="1"/>
  <c r="W146" i="7" s="1"/>
  <c r="Y115" i="1"/>
  <c r="W111" i="7" s="1"/>
  <c r="Y5" i="1"/>
  <c r="W4" i="7" s="1"/>
  <c r="Y106" i="1"/>
  <c r="W102" i="7" s="1"/>
  <c r="Y89" i="1"/>
  <c r="W86" i="7" s="1"/>
  <c r="Y15" i="1"/>
  <c r="W14" i="7" s="1"/>
  <c r="Y90" i="1"/>
  <c r="W87" i="7" s="1"/>
  <c r="Y38" i="1"/>
  <c r="W35" i="7" s="1"/>
  <c r="Y14" i="1"/>
  <c r="W13" i="7" s="1"/>
  <c r="Y92" i="1"/>
  <c r="W89" i="7" s="1"/>
  <c r="Y63" i="1"/>
  <c r="W60" i="7" s="1"/>
  <c r="Y138" i="1"/>
  <c r="W134" i="7" s="1"/>
  <c r="J139" i="1"/>
  <c r="H120" i="7" s="1"/>
  <c r="H72" i="7" l="1"/>
  <c r="J141" i="1"/>
  <c r="H122" i="7" s="1"/>
  <c r="J5" i="1"/>
  <c r="H4" i="7" s="1"/>
  <c r="J14" i="1"/>
  <c r="J113" i="1"/>
  <c r="J92" i="1"/>
  <c r="J16" i="1"/>
  <c r="J36" i="1"/>
  <c r="H18" i="7" s="1"/>
  <c r="J13" i="1"/>
  <c r="H10" i="7" s="1"/>
  <c r="J6" i="1"/>
  <c r="H5" i="7" s="1"/>
  <c r="J106" i="1"/>
  <c r="J105" i="1"/>
  <c r="J94" i="1"/>
  <c r="H48" i="7" s="1"/>
  <c r="J91" i="1"/>
  <c r="J39" i="1"/>
  <c r="J140" i="1"/>
  <c r="J150" i="1"/>
  <c r="H129" i="7" s="1"/>
  <c r="J60" i="1"/>
  <c r="J138" i="1"/>
  <c r="J37" i="1"/>
  <c r="J115" i="1"/>
  <c r="H98" i="7" s="1"/>
  <c r="J38" i="1"/>
  <c r="J108" i="1"/>
  <c r="H91" i="7" s="1"/>
  <c r="J149" i="1"/>
  <c r="H128" i="7" s="1"/>
  <c r="J63" i="1"/>
  <c r="J90" i="1"/>
  <c r="H65" i="7" s="1"/>
  <c r="J15" i="1"/>
  <c r="J89" i="1"/>
  <c r="J59" i="1"/>
  <c r="J67" i="1"/>
  <c r="H36" i="7" s="1"/>
  <c r="J17" i="1"/>
  <c r="H16" i="7" s="1"/>
  <c r="H109" i="7" l="1"/>
  <c r="H96" i="7"/>
  <c r="H83" i="7"/>
  <c r="H119" i="7"/>
  <c r="H101" i="7"/>
  <c r="H89" i="7"/>
  <c r="H77" i="7"/>
  <c r="H121" i="7"/>
  <c r="H100" i="7"/>
  <c r="H88" i="7"/>
  <c r="H27" i="7"/>
  <c r="H106" i="7"/>
  <c r="H103" i="7"/>
  <c r="H111" i="7"/>
  <c r="H56" i="7"/>
  <c r="H112" i="7"/>
  <c r="H64" i="7"/>
  <c r="H102" i="7"/>
  <c r="H86" i="7"/>
  <c r="H94" i="7"/>
  <c r="H84" i="7"/>
  <c r="H93" i="7"/>
  <c r="H57" i="7"/>
  <c r="H28" i="7"/>
  <c r="H23" i="7"/>
  <c r="H24" i="7"/>
  <c r="H34" i="7"/>
  <c r="H35" i="7"/>
  <c r="H58" i="7"/>
  <c r="H61" i="7"/>
  <c r="H31" i="7"/>
  <c r="H78" i="7"/>
  <c r="H80" i="7"/>
  <c r="H85" i="7"/>
  <c r="H63" i="7"/>
  <c r="H59" i="7"/>
  <c r="H60" i="7"/>
  <c r="H82" i="7"/>
  <c r="H40" i="7"/>
  <c r="H81" i="7"/>
  <c r="H39" i="7"/>
  <c r="H47" i="7"/>
  <c r="H51" i="7"/>
  <c r="H74" i="7"/>
  <c r="H79" i="7"/>
  <c r="H66" i="7"/>
  <c r="H71" i="7"/>
  <c r="H68" i="7"/>
  <c r="H73" i="7"/>
  <c r="H41" i="7"/>
  <c r="H44" i="7"/>
  <c r="H19" i="7"/>
  <c r="H11" i="7"/>
  <c r="H12" i="7"/>
  <c r="H52" i="7"/>
  <c r="H53" i="7"/>
  <c r="H67" i="7"/>
  <c r="H25" i="7"/>
  <c r="H26" i="7"/>
  <c r="H21" i="7"/>
  <c r="H22" i="7"/>
  <c r="H13" i="7"/>
  <c r="H14" i="7"/>
  <c r="H15" i="7"/>
  <c r="H42" i="7"/>
  <c r="H29" i="7"/>
  <c r="H30" i="7"/>
  <c r="H69" i="7"/>
  <c r="H70" i="7"/>
  <c r="H20" i="7"/>
  <c r="H37" i="7"/>
  <c r="H38" i="7"/>
  <c r="H32" i="7"/>
  <c r="H33" i="7"/>
  <c r="H54" i="7"/>
  <c r="H55" i="7"/>
  <c r="H75" i="7"/>
  <c r="H76" i="7"/>
  <c r="H45" i="7"/>
  <c r="H46" i="7"/>
  <c r="H43" i="7"/>
</calcChain>
</file>

<file path=xl/sharedStrings.xml><?xml version="1.0" encoding="utf-8"?>
<sst xmlns="http://schemas.openxmlformats.org/spreadsheetml/2006/main" count="3726" uniqueCount="662">
  <si>
    <t>Approvers</t>
  </si>
  <si>
    <t>MWT</t>
  </si>
  <si>
    <t>JL</t>
  </si>
  <si>
    <t>JW</t>
  </si>
  <si>
    <t>Client</t>
  </si>
  <si>
    <t>PB</t>
  </si>
  <si>
    <t>N/A</t>
  </si>
  <si>
    <t>NM</t>
  </si>
  <si>
    <t>People</t>
  </si>
  <si>
    <t>OE</t>
  </si>
  <si>
    <t>Row Labels</t>
  </si>
  <si>
    <t>Count of At a Glance ID</t>
  </si>
  <si>
    <t>Agreements</t>
  </si>
  <si>
    <t>ePayments</t>
  </si>
  <si>
    <t>eTrader</t>
  </si>
  <si>
    <t>Platform</t>
  </si>
  <si>
    <t>Regulatory</t>
  </si>
  <si>
    <t>Sales Desk</t>
  </si>
  <si>
    <t>Treasury</t>
  </si>
  <si>
    <t>Grand Total</t>
  </si>
  <si>
    <t>Customer</t>
  </si>
  <si>
    <t>At a Glance ID</t>
  </si>
  <si>
    <t>Status</t>
  </si>
  <si>
    <t>Description</t>
  </si>
  <si>
    <t>Value / 
Cost</t>
  </si>
  <si>
    <t>Product</t>
  </si>
  <si>
    <t>Origin</t>
  </si>
  <si>
    <t>Product Backlog</t>
  </si>
  <si>
    <t>PRD-BLG-2020-00011</t>
  </si>
  <si>
    <t>With Product</t>
  </si>
  <si>
    <t>CLS Now</t>
  </si>
  <si>
    <t>Market</t>
  </si>
  <si>
    <t>PRD-BLG-2020-00012</t>
  </si>
  <si>
    <t>Bond Shorting v2.0</t>
  </si>
  <si>
    <t>PRD-BLG-2020-00000</t>
  </si>
  <si>
    <t>Ref Product</t>
  </si>
  <si>
    <t>Online / Freely available documentation</t>
  </si>
  <si>
    <t>PRD-BLG-2020-00023</t>
  </si>
  <si>
    <t>Deal Reference Numbering Schema</t>
  </si>
  <si>
    <t>PRD-BLG-0000-00025</t>
  </si>
  <si>
    <t>EMIR - Comm Swaps</t>
  </si>
  <si>
    <t>Gl &amp; RG Cloudification - Ensure these work in a cloud environment.</t>
  </si>
  <si>
    <t>Technical</t>
  </si>
  <si>
    <t>DB Updgrades to be DB independent</t>
  </si>
  <si>
    <t>PRD-BLG-2021-00002</t>
  </si>
  <si>
    <t>Simplified Upgrade Process</t>
  </si>
  <si>
    <t>PRD-BLG-2021-00000</t>
  </si>
  <si>
    <t>Internal Accounts to update Nostros &amp; be available as settlement instructions in payments.</t>
  </si>
  <si>
    <t>SANS 25 Verification</t>
  </si>
  <si>
    <t>ePayments - Account Number Masking</t>
  </si>
  <si>
    <t>Product Roadmap</t>
  </si>
  <si>
    <t>PRD-REQ-2020-00006</t>
  </si>
  <si>
    <t>SFTR</t>
  </si>
  <si>
    <t>PRD-REQ-2020-00009</t>
  </si>
  <si>
    <t>BB Batch Trading</t>
  </si>
  <si>
    <t>PRD-REQ-2020-00010</t>
  </si>
  <si>
    <t>Board Ready</t>
  </si>
  <si>
    <t>Decimal precision by Client Type</t>
  </si>
  <si>
    <t>PRD-REQ-2020-00013</t>
  </si>
  <si>
    <t>Security Hardening</t>
  </si>
  <si>
    <t>PRD-REQ-2020-00015</t>
  </si>
  <si>
    <t>Angular eTrader Refresh</t>
  </si>
  <si>
    <t>PRD-REQ-2020-00016</t>
  </si>
  <si>
    <t>Angular ePayments Refresh</t>
  </si>
  <si>
    <t>PRD-REQ-2020-00017</t>
  </si>
  <si>
    <t>Angular Sales Desk</t>
  </si>
  <si>
    <t>PRD-REQ-2019-00020</t>
  </si>
  <si>
    <t>Money Market Funds (Buy/Sell - Not Issue)</t>
  </si>
  <si>
    <t>PRD-REQ-2019-00021</t>
  </si>
  <si>
    <t>Callable Bonds</t>
  </si>
  <si>
    <t>PRD-REQ-2020-00021</t>
  </si>
  <si>
    <t>Siena 6.0 - JavaFX - Traders Role - Assessment &amp; Planning</t>
  </si>
  <si>
    <t>PRD-REQ-2020-00022</t>
  </si>
  <si>
    <t>Java 11 Migration</t>
  </si>
  <si>
    <t>PRD-REQ-2021-00003</t>
  </si>
  <si>
    <t>Dashboard Strategy</t>
  </si>
  <si>
    <t>PRD-BLG-2020-00006</t>
  </si>
  <si>
    <t>AM - Collateral Optimization</t>
  </si>
  <si>
    <t>Prospect</t>
  </si>
  <si>
    <t>PRD-BLG-2020-00008</t>
  </si>
  <si>
    <t>AM - GMRA Business Line</t>
  </si>
  <si>
    <t>PRD-BLG-2020-00010</t>
  </si>
  <si>
    <t>AM - Automated Call Notifications</t>
  </si>
  <si>
    <t>PRD-BLG-2020-00216</t>
  </si>
  <si>
    <t>RSC216 - VAR pricing - long dated forwards</t>
  </si>
  <si>
    <t>PRD-BLG-2021-00016</t>
  </si>
  <si>
    <t>Reg Reporting - EMIR 3.0</t>
  </si>
  <si>
    <t>PRD-BLG-2021-00017</t>
  </si>
  <si>
    <t>Load inhouse yield to create reval curve for lesser traded currencies. Info from DW.</t>
  </si>
  <si>
    <t>PRD-BLG-2021-00018</t>
  </si>
  <si>
    <t>Product/Country Exposures</t>
  </si>
  <si>
    <t>MIFID II - CPR Reporting</t>
  </si>
  <si>
    <t>Enhancements</t>
  </si>
  <si>
    <t>RSC</t>
  </si>
  <si>
    <t>ADO</t>
  </si>
  <si>
    <t>EXT REF</t>
  </si>
  <si>
    <t>RSC Expiry</t>
  </si>
  <si>
    <t>Logged/
Raised</t>
  </si>
  <si>
    <t>Last 
Update</t>
  </si>
  <si>
    <t>BACB</t>
  </si>
  <si>
    <t>Rejected</t>
  </si>
  <si>
    <t>RSC042 - ReReport Trades</t>
  </si>
  <si>
    <t>Misc UI &amp; Reporting Improvements</t>
  </si>
  <si>
    <t>Delivered</t>
  </si>
  <si>
    <t>RSC043 - Accrued Income Report (by Contract)</t>
  </si>
  <si>
    <t>FIFO/Average Bond Sale</t>
  </si>
  <si>
    <t>Pre-RSC</t>
  </si>
  <si>
    <t>Classic Reports - Export to Excel</t>
  </si>
  <si>
    <t>9999</t>
  </si>
  <si>
    <t>With Client</t>
  </si>
  <si>
    <t>Upgrade</t>
  </si>
  <si>
    <t>Bank Leumi</t>
  </si>
  <si>
    <t>RSC005 - Position Event</t>
  </si>
  <si>
    <t>RSC006 - ChangeRateDeal Source to Refinitiv</t>
  </si>
  <si>
    <t>Bank of Ireland</t>
  </si>
  <si>
    <t>RSC639 - Payment File as CSV</t>
  </si>
  <si>
    <t>Approved</t>
  </si>
  <si>
    <t>RSC636 - FXPay Upgrade</t>
  </si>
  <si>
    <t xml:space="preserve">RSC646 - Extending No. Currencies </t>
  </si>
  <si>
    <t xml:space="preserve">RSC641 – Fraud Transaction Monitoring Report </t>
  </si>
  <si>
    <t xml:space="preserve">RSC642 - Teardrop Change </t>
  </si>
  <si>
    <t>RSC647 - Onboarding UI Improvements</t>
  </si>
  <si>
    <t>RSC648 - Onboarding 4-eyes Check</t>
  </si>
  <si>
    <t>RSC644 - Bulk Payments</t>
  </si>
  <si>
    <t>RSC649 - Encryption of Communications</t>
  </si>
  <si>
    <t>RSC650 - Review process for re-certification of users</t>
  </si>
  <si>
    <t>RSC651 - Fraud</t>
  </si>
  <si>
    <t>RSC654 - Multicast Proxy Module</t>
  </si>
  <si>
    <t>On-Hold</t>
  </si>
  <si>
    <t>With Mgt</t>
  </si>
  <si>
    <t>RSC656 - Amend Bulk Payment List Payees</t>
  </si>
  <si>
    <t>BDB London</t>
  </si>
  <si>
    <t>RSC087 - NEX Replacement</t>
  </si>
  <si>
    <t>RSC084 – Move RegReporting</t>
  </si>
  <si>
    <t>Libor Replacement Services</t>
  </si>
  <si>
    <t>Parallel Transaction Player</t>
  </si>
  <si>
    <t>BDB New York</t>
  </si>
  <si>
    <t>9998</t>
  </si>
  <si>
    <t>Cynergy</t>
  </si>
  <si>
    <t>Mortgage Backed Security Deal type</t>
  </si>
  <si>
    <t>Luminor</t>
  </si>
  <si>
    <t xml:space="preserve">R2 Delivery 6 - Gaps </t>
  </si>
  <si>
    <t xml:space="preserve">R2 Delivery 7- Gaps </t>
  </si>
  <si>
    <t>1A</t>
  </si>
  <si>
    <t xml:space="preserve">End of Day - Exention to existing RSC001 </t>
  </si>
  <si>
    <t>Additional Gaps - Gaps found during testing and demo's as part of D1 -D5B</t>
  </si>
  <si>
    <t xml:space="preserve">AM Gaps (10) Issues </t>
  </si>
  <si>
    <t>AM Gap -  Full Counterparty Name</t>
  </si>
  <si>
    <t>AM Gap -  Pledged Amount</t>
  </si>
  <si>
    <t>AM Gap -  Initial Margin Calculation</t>
  </si>
  <si>
    <t>AM Gap -  Selection of MTM per rule</t>
  </si>
  <si>
    <t>AM Gap -  Report -Collateral CSA</t>
  </si>
  <si>
    <t>AM Gap -  Report - SA CCR</t>
  </si>
  <si>
    <t>AM Gap -  Automate Deployment</t>
  </si>
  <si>
    <t>AM Gap -  Netting</t>
  </si>
  <si>
    <t>AM Gap -  release IM at Settlement</t>
  </si>
  <si>
    <t>Siena SQL Report Downloader to XML</t>
  </si>
  <si>
    <t xml:space="preserve">AM Gap -  Migration </t>
  </si>
  <si>
    <t>N26</t>
  </si>
  <si>
    <t xml:space="preserve">RSC003 - Additional Data </t>
  </si>
  <si>
    <t>RSC004 - Amazon Cloud</t>
  </si>
  <si>
    <t>Report CSV</t>
  </si>
  <si>
    <t>Rand Merchant Bank</t>
  </si>
  <si>
    <t>RSC217 - Block Trade RFSQ Pricing</t>
  </si>
  <si>
    <t>RSC212 - Bloomberg allocations</t>
  </si>
  <si>
    <t>RSC211 - Siena Multi-Deal booking across different entities</t>
  </si>
  <si>
    <t>RSC210 - Accelerate Multi-Deal Upload for multiple Entities</t>
  </si>
  <si>
    <t>RSC204 - User Managed SSI's</t>
  </si>
  <si>
    <t>Market Connectivity - Certificated/Approved OOTB Connections</t>
  </si>
  <si>
    <t>eTrader - Permissions Allow Excel Export at user/group level.</t>
  </si>
  <si>
    <t>RSC218 - Upgrade To Product</t>
  </si>
  <si>
    <t>RSC219 - Money Market Indicators and Counterparty Segments</t>
  </si>
  <si>
    <t>RSC220 - Counterparty Settlement Instructions to use Direction</t>
  </si>
  <si>
    <t>Zenith</t>
  </si>
  <si>
    <t>RSC048 - Short Sell &amp; Buy Backs of Bonds</t>
  </si>
  <si>
    <t>RSC045 - Amortised Cost of a Bond</t>
  </si>
  <si>
    <t>RSC052 - Limited Siena Trader Licence</t>
  </si>
  <si>
    <t>RSC053 - User Profiles/Groups</t>
  </si>
  <si>
    <t>Adding Call Money Deals to Treasury Risk Report</t>
  </si>
  <si>
    <t>RSC657 - Encryption in the FX Pay application</t>
  </si>
  <si>
    <t>Writing</t>
  </si>
  <si>
    <t>Transaction Replayer Cross Release  (covered in upgrade to 5.47)</t>
  </si>
  <si>
    <t>Report for deal amendments and cancellations</t>
  </si>
  <si>
    <t>Reason Information for Close-outs captured from Siena</t>
  </si>
  <si>
    <t>RHUB FIX Message Resubmission Tool</t>
  </si>
  <si>
    <t>Counterparty Group Treasury Report</t>
  </si>
  <si>
    <t>CDI Index Rate</t>
  </si>
  <si>
    <t>Copp Clark Date Loader - London</t>
  </si>
  <si>
    <t>Migration of Libor Deal Stock to Daily Reference</t>
  </si>
  <si>
    <t>NDF's in eTrader</t>
  </si>
  <si>
    <t>Siena eTrader "Express" MVP Deployment</t>
  </si>
  <si>
    <t>Future Prices</t>
  </si>
  <si>
    <t>Out of Hours Support for Production Release</t>
  </si>
  <si>
    <t>Costs and Charges Report</t>
  </si>
  <si>
    <t>Post Penetration Test Medium &amp; Low Issue Resolution</t>
  </si>
  <si>
    <t>Automate siena windows services</t>
  </si>
  <si>
    <t xml:space="preserve">Central Clearing </t>
  </si>
  <si>
    <t>Treasury Report - Current Balance Amortisation</t>
  </si>
  <si>
    <t>SSI in Siena PROD</t>
  </si>
  <si>
    <t>Closeout Deal Export</t>
  </si>
  <si>
    <t>With Ops</t>
  </si>
  <si>
    <t>FXAll Auto Pricing</t>
  </si>
  <si>
    <t>FX P &amp; L Handling for the Sub-GL</t>
  </si>
  <si>
    <t>28/01/22</t>
  </si>
  <si>
    <t>Squared FX Position Balance Transfers to Retained Earnings</t>
  </si>
  <si>
    <t>Live</t>
  </si>
  <si>
    <t xml:space="preserve">VM Suppression </t>
  </si>
  <si>
    <t>FXPay - FraudNet Integration</t>
  </si>
  <si>
    <t>Deal Amendment Report Changes</t>
  </si>
  <si>
    <t xml:space="preserve">MIFIR Reporting Configuration </t>
  </si>
  <si>
    <t xml:space="preserve">Data Anonmyization </t>
  </si>
  <si>
    <t>Implementation support(Transaction Replayer)_x000D__x000D_</t>
  </si>
  <si>
    <t>Misc fields in the Deal Enrichment Window</t>
  </si>
  <si>
    <t>FXPay - ARIC Integration</t>
  </si>
  <si>
    <t>Relational Gateway Implementation</t>
  </si>
  <si>
    <t>RMP/T/2201</t>
  </si>
  <si>
    <t>Build Component Version Upgrade</t>
  </si>
  <si>
    <t>RMP/T/2202</t>
  </si>
  <si>
    <t>Migration/Deprecation of Dojo</t>
  </si>
  <si>
    <t>RMP/T/2203</t>
  </si>
  <si>
    <t>Testing Automation - Toolset</t>
  </si>
  <si>
    <t>RMP/T/2204</t>
  </si>
  <si>
    <t>Testing Automation - Coverage</t>
  </si>
  <si>
    <t>RMP/T/2205</t>
  </si>
  <si>
    <t>Replacing Multicast</t>
  </si>
  <si>
    <t>RMP/B/2201</t>
  </si>
  <si>
    <t>PV01</t>
  </si>
  <si>
    <t>RMP/R/2202</t>
  </si>
  <si>
    <t>UMR - Revaluation of notional</t>
  </si>
  <si>
    <t>RMP/R/2203</t>
  </si>
  <si>
    <t>UMR - Non Agreement based currencies</t>
  </si>
  <si>
    <t>RMP/B/2204</t>
  </si>
  <si>
    <t>Transaction Replayer</t>
  </si>
  <si>
    <t>RMP/B/2205</t>
  </si>
  <si>
    <t>Payments - Workflow Corrections</t>
  </si>
  <si>
    <t>TFSME</t>
  </si>
  <si>
    <t>Sandbox</t>
  </si>
  <si>
    <t xml:space="preserve">Implementation Rebaseline </t>
  </si>
  <si>
    <t>Book Quote</t>
  </si>
  <si>
    <t>Credit Rating</t>
  </si>
  <si>
    <t>SIENA and Regulatory Reporting</t>
  </si>
  <si>
    <t>FX Pay Fraudnet Integration - Backport</t>
  </si>
  <si>
    <t>Alternative to CIF</t>
  </si>
  <si>
    <t xml:space="preserve">MiFID TCR Audit Report  </t>
  </si>
  <si>
    <t>AutoDeal &amp; Cover Implementation</t>
  </si>
  <si>
    <t>Introducing UTI And MIC Changes On Refinitiv FX Venues</t>
  </si>
  <si>
    <t>CIF &amp; TOF Replacement</t>
  </si>
  <si>
    <t>Asian Swaps</t>
  </si>
  <si>
    <t xml:space="preserve">SWAN Consolidation Project </t>
  </si>
  <si>
    <t>Google SAML</t>
  </si>
  <si>
    <t xml:space="preserve"> </t>
  </si>
  <si>
    <t>N26 Mifir AWS</t>
  </si>
  <si>
    <t>Backporting Bloomberg Changes</t>
  </si>
  <si>
    <t/>
  </si>
  <si>
    <t>Value</t>
  </si>
  <si>
    <t>Action</t>
  </si>
  <si>
    <t>Default</t>
  </si>
  <si>
    <t>TO ADD AN RSC
Open Spreadsheet in Desktop App</t>
  </si>
  <si>
    <t>CUSTOMER</t>
  </si>
  <si>
    <t>Select Customer</t>
  </si>
  <si>
    <t>Enter ADO Ref if available</t>
  </si>
  <si>
    <t>EXT Ref</t>
  </si>
  <si>
    <t>Enter customer/product board ref</t>
  </si>
  <si>
    <t>STATUS</t>
  </si>
  <si>
    <t>Select Status</t>
  </si>
  <si>
    <t>DESCRIPTION</t>
  </si>
  <si>
    <t>Enter a desciption/title for the RSC</t>
  </si>
  <si>
    <t>EXPIRY</t>
  </si>
  <si>
    <t>Set Expiry Date if Known</t>
  </si>
  <si>
    <t>TO ADD AN RSC
Click Button Above</t>
  </si>
  <si>
    <t>COST</t>
  </si>
  <si>
    <t>Enter Cost/Value if known</t>
  </si>
  <si>
    <t>RAISED</t>
  </si>
  <si>
    <t>Enter the Date this RSC was 'raised'</t>
  </si>
  <si>
    <t>Today</t>
  </si>
  <si>
    <t>RED actions are mandatory</t>
  </si>
  <si>
    <t>Fullname</t>
  </si>
  <si>
    <t>Code</t>
  </si>
  <si>
    <t>Type</t>
  </si>
  <si>
    <t>HR Rate</t>
  </si>
  <si>
    <t>Support Rate</t>
  </si>
  <si>
    <t>Billable</t>
  </si>
  <si>
    <t>BAC</t>
  </si>
  <si>
    <t>Y</t>
  </si>
  <si>
    <t>LEU</t>
  </si>
  <si>
    <t>BOI</t>
  </si>
  <si>
    <t>BDB</t>
  </si>
  <si>
    <t>Conticap</t>
  </si>
  <si>
    <t>CCP</t>
  </si>
  <si>
    <t>CYG</t>
  </si>
  <si>
    <t>LMR</t>
  </si>
  <si>
    <t>Partner</t>
  </si>
  <si>
    <t>PRD</t>
  </si>
  <si>
    <t>BLG</t>
  </si>
  <si>
    <t>N</t>
  </si>
  <si>
    <t>Uncategorised</t>
  </si>
  <si>
    <t>REQ</t>
  </si>
  <si>
    <t>SAL</t>
  </si>
  <si>
    <t>RMB</t>
  </si>
  <si>
    <t>RCB</t>
  </si>
  <si>
    <t>ZTH</t>
  </si>
  <si>
    <t>Zenith (Discounted Upgrade)</t>
  </si>
  <si>
    <t>WORKFLOW STAGES</t>
  </si>
  <si>
    <t>Team</t>
  </si>
  <si>
    <t>SEQ</t>
  </si>
  <si>
    <t>WRK - TEXT</t>
  </si>
  <si>
    <t>New</t>
  </si>
  <si>
    <t>UNK</t>
  </si>
  <si>
    <t>NEW</t>
  </si>
  <si>
    <t>With PM</t>
  </si>
  <si>
    <t>OPS</t>
  </si>
  <si>
    <t>GAP</t>
  </si>
  <si>
    <t>Research</t>
  </si>
  <si>
    <t>DEFECT</t>
  </si>
  <si>
    <t>Triaged Idea Backlog</t>
  </si>
  <si>
    <t>With Sales</t>
  </si>
  <si>
    <t>CLI</t>
  </si>
  <si>
    <t>Authorised to write</t>
  </si>
  <si>
    <t>Req. in Progress</t>
  </si>
  <si>
    <t>Wording Review</t>
  </si>
  <si>
    <t>Solution in Progress</t>
  </si>
  <si>
    <t>In Estimation</t>
  </si>
  <si>
    <t>Request Req. Budget</t>
  </si>
  <si>
    <t>Waiting Approval</t>
  </si>
  <si>
    <t>Review in Progress</t>
  </si>
  <si>
    <t>FIN</t>
  </si>
  <si>
    <t>SRG</t>
  </si>
  <si>
    <t>BRD</t>
  </si>
  <si>
    <t>Updated</t>
  </si>
  <si>
    <t>Ready to Schedule</t>
  </si>
  <si>
    <t>Scheduled</t>
  </si>
  <si>
    <t>In Development</t>
  </si>
  <si>
    <t>Dev Completed</t>
  </si>
  <si>
    <t>In Testing</t>
  </si>
  <si>
    <t>Testing Completed</t>
  </si>
  <si>
    <t>In Documentation</t>
  </si>
  <si>
    <t>Documentation Completed</t>
  </si>
  <si>
    <t>Logged</t>
  </si>
  <si>
    <t>Released</t>
  </si>
  <si>
    <t>Archived</t>
  </si>
  <si>
    <t>Cancelled</t>
  </si>
  <si>
    <t>FOLDER</t>
  </si>
  <si>
    <t>DOC</t>
  </si>
  <si>
    <t>All-in</t>
  </si>
  <si>
    <t>Rate</t>
  </si>
  <si>
    <t>Sup Factor</t>
  </si>
  <si>
    <t>Facorting</t>
  </si>
  <si>
    <t>ESTIMATED EFFORT (DAYS)</t>
  </si>
  <si>
    <t>DEV</t>
  </si>
  <si>
    <t>UAT</t>
  </si>
  <si>
    <t>REL</t>
  </si>
  <si>
    <t>PM</t>
  </si>
  <si>
    <t xml:space="preserve">Total </t>
  </si>
  <si>
    <t>Annual Support</t>
  </si>
  <si>
    <t>ESTIMATED COST</t>
  </si>
  <si>
    <t>Days</t>
  </si>
  <si>
    <t>Cost</t>
  </si>
  <si>
    <t>TOTAL</t>
  </si>
  <si>
    <t>SUPP</t>
  </si>
  <si>
    <t>Select Item</t>
  </si>
  <si>
    <t>N26-RSC-2021-00006</t>
  </si>
  <si>
    <t>Slite Title</t>
  </si>
  <si>
    <t>First Raised</t>
  </si>
  <si>
    <t>Reason/Need</t>
  </si>
  <si>
    <t>ESTIMATES</t>
  </si>
  <si>
    <t xml:space="preserve">REQ </t>
  </si>
  <si>
    <t xml:space="preserve">DEV </t>
  </si>
  <si>
    <t xml:space="preserve">UAT </t>
  </si>
  <si>
    <t xml:space="preserve">REL </t>
  </si>
  <si>
    <t xml:space="preserve">PM </t>
  </si>
  <si>
    <t xml:space="preserve">TOTAL </t>
  </si>
  <si>
    <t>Est from Ops</t>
  </si>
  <si>
    <t>Management</t>
  </si>
  <si>
    <t>Testing</t>
  </si>
  <si>
    <t>Requirements</t>
  </si>
  <si>
    <t>Development</t>
  </si>
  <si>
    <t>Total</t>
  </si>
  <si>
    <t>PRODUCT</t>
  </si>
  <si>
    <t>FINANCIAL</t>
  </si>
  <si>
    <t>CLIENT/BOARD</t>
  </si>
  <si>
    <t>Product Categorisation</t>
  </si>
  <si>
    <t>VALUE / COST BREAKDOWN</t>
  </si>
  <si>
    <t>RATES</t>
  </si>
  <si>
    <t>WORKING</t>
  </si>
  <si>
    <t>Chargeable</t>
  </si>
  <si>
    <t>RSC/
REQ/BZ No</t>
  </si>
  <si>
    <t>ADO 
Reference</t>
  </si>
  <si>
    <t>Written</t>
  </si>
  <si>
    <t>Sent</t>
  </si>
  <si>
    <t>Impact</t>
  </si>
  <si>
    <t>Effort</t>
  </si>
  <si>
    <t>Archive Date</t>
  </si>
  <si>
    <t>Archive Reason</t>
  </si>
  <si>
    <t>Notes</t>
  </si>
  <si>
    <t>TOTAL
VALUE</t>
  </si>
  <si>
    <t>Additional</t>
  </si>
  <si>
    <t>RATE</t>
  </si>
  <si>
    <t>Discounted</t>
  </si>
  <si>
    <t>SUPPORT</t>
  </si>
  <si>
    <t>WRK_CUSTOMER_CODE</t>
  </si>
  <si>
    <t>WRK_CHANGE_TYPE</t>
  </si>
  <si>
    <t>WRK_ChkBillable</t>
  </si>
  <si>
    <t>WRK_CHKClientRate</t>
  </si>
  <si>
    <t>WRK_CHKClientRateException</t>
  </si>
  <si>
    <t>BoardDescriptionWhatIsIt</t>
  </si>
  <si>
    <t>BoardReason</t>
  </si>
  <si>
    <t>25/08/20 - Loaded from Project Logs Files</t>
  </si>
  <si>
    <t>SOFR - Upgrade?</t>
  </si>
  <si>
    <t>01/05/20 - OE to contact bank to discuss scope.</t>
  </si>
  <si>
    <t>SFTR Upgrade / Implementation</t>
  </si>
  <si>
    <t>21/05/20 - MT/OE Demo'd existing Reg Rep to BACB 
OE to confirm request for pricing information.</t>
  </si>
  <si>
    <t>20/10/20 - Colin Bailey contacted - We are now waiting on the client for feedback.
17/11/10 - Confirmed as with client.</t>
  </si>
  <si>
    <t>17/09/20 - Raised during Account Management Meeting</t>
  </si>
  <si>
    <t>09/11/20 - BACB Quoted £37,500 @ variance with expected rates.</t>
  </si>
  <si>
    <t>17/11/20 - JL to confirm if this can be offset against credit note.</t>
  </si>
  <si>
    <t>21/05/20 - Rejected by client, going with a in-house solution. 
MT requested more information on reason from BS.</t>
  </si>
  <si>
    <t>12/05/20 - Requested Contact/Background info from BS</t>
  </si>
  <si>
    <t>RelGateway to DataWarehouse feed</t>
  </si>
  <si>
    <t>15/05/20 - Potential work identifies during discussion with Pat McD.</t>
  </si>
  <si>
    <t>Additional MI reporting in Siena</t>
  </si>
  <si>
    <t>27/10/20 - BS to update with date sent. Approved by Client</t>
  </si>
  <si>
    <t>27/01/21 - Functional/Product Approved - Refered to PB/JL</t>
  </si>
  <si>
    <t>20/04/21 - BS confirmed that this is config only therefore was not send to Product Approval</t>
  </si>
  <si>
    <t>Infrastructure</t>
  </si>
  <si>
    <t>27/10/20 - BS to update with date sent.</t>
  </si>
  <si>
    <t>17/11/20 - Sent by OE to GR @ BDB</t>
  </si>
  <si>
    <t>. 
04/05/21 [EBC] Approved RSC Sent now contract has been signed
20/04/21 [EBC] Approved following update now needs to be sent to Customer, contract signed on 19/04 so will be sent this week
14/04/21 [MWT] RSC + Solution Approved
13/04/21 [EBC] RSC solution is only that it will be configured as this will be seen by client so there is no solution defined in the RSC as agreed. Costs added and re-ciruclated for sign off</t>
  </si>
  <si>
    <t xml:space="preserve">29/09/20 [EBC] - Target live R1 07/12 still looking like Q1 21 for further progress 
26/08/20 - [EBC] Currently there is a wish list of requirements which have been split between Eurobase and Luminor.  These will need to be prioritised, reviewed and re-estimated.  Before this work can start Agreement Manager and Commodity Swaps need to be have been delivered and live. 
04/04/20 [EBC] Start now likely to be 2021 - however discussion on when this work would need to be raised at steering. 
Outline of content does exist - now been pushed back to start after R1 is live for LMR. End of Sept/Oct 2020
08/03/21 [EBC] Given the current plans for Luminor these are not likely to continue in current form so marking as rejected. </t>
  </si>
  <si>
    <t>16/06/20 - [EBC] This will not progress based on current direction from LMR
Agreement with Matt that as this is an extension the draft could be shared with customer ahead of approval.</t>
  </si>
  <si>
    <t xml:space="preserve">04/08/20 - [EBC] Dev completed and delivered - only testing by client remains outstanding.
16/06/20 - [EBC] RSC010 Restarted with several iterations being discussed. Version reviewed by Bill, Joe Locke &amp; Jo Newell in absence of Matt T for sign Off.  Final version provided to SRG John, Joe &amp; Paul signed off for distribution.
30/04/20 - [EBC] LMR are likely to want to cover this work within Support costs under ME005 due to budget challenges with new work.
28/04/20 - [EBC] -Early draft created and shared  with LMR as requirements are still unclear. Additional items have been identified since. </t>
  </si>
  <si>
    <t xml:space="preserve">
07/05/21 [EBC] Approved by Paul Bryson for estimates to sent.
26/04/21 [EBC] Writing of each issue complete, final estimate in progress. 4 drafts shared to get feedback from LMR to ensure solution is correct </t>
  </si>
  <si>
    <t xml:space="preserve">07/05/21 [EBC] Approved by Paul Bryson for estimates to sent.
04/05/21 [EBC] Solution Agreed
26/04/21 [EBC] Written and draft shared with LMR. 
20/04/21 [EBC] LMR approved creation of RSC for items marked OK in AM outstanding Issue/breakdown tab. Final commercials and revised plan for end of April </t>
  </si>
  <si>
    <t xml:space="preserve">07/05/21 [EBC] Approved by Paul Bryson for estimates to sent.
04/05/21 [EBC] Further discussion on solution required
26/04/21 [EBC] needs further discussion with LMR
20/04/21 [EBC] LMR approved creation of RSC for items marked OK in AM outstanding Issue/breakdown tab. Final commercials and revised plan for end of April </t>
  </si>
  <si>
    <t xml:space="preserve">07/05/21 [EBC] Approved by Paul Bryson for estimates to sent.
04/05/21 [EBC] Solution Agreed
26/04/21 [EBC] needs further discussion with LMR
20/04/21 [EBC] LMR approved creation of RSC for items marked OK in AM outstanding Issue/breakdown tab. Final commercials and revised plan for end of April </t>
  </si>
  <si>
    <t xml:space="preserve">07/05/21 [EBC] Approved by Paul Bryson for estimates to sent.
04/05/21 [EBC] Solution Agreed
26/04/21 [EBC] needs further discussion with LMR
20/04/21 [EBC] LMR approved creation of RSC for items marked OK in AM outstanding Is
sue/breakdown tab. Final commercials and revised plan for end of April </t>
  </si>
  <si>
    <t xml:space="preserve">07/05/21 [EBC] Approved by Paul Bryson for estimates to sent.
26/04/21 [EBC ] RSC Created - Estimate to complete
20/04/21 [EBC] LMR approved creation of RSC for items marked OK in AM outstanding Issue/breakdown tab. Final commercials and revised plan for end of April </t>
  </si>
  <si>
    <t xml:space="preserve">26/04/21 [EBC ] RSC Created - Estimate to complete
20/04/21 [EBC] LMR approved creation of RSC for items marked OK in AM outstanding Issue/breakdown tab. Final commercials and revised plan for end of April </t>
  </si>
  <si>
    <t xml:space="preserve">07/05/21 [EBC] Approved by Paul Bryson for estimates to sent.
04/05/21 [EBC] Solution Agreed
26/04/21 [EBC] Call with LMR - Estimate known, RSC to create
20/04/21 [EBC] LMR approved creation of RSC for items marked OK in AM outstanding Issue/breakdown tab. Final commercials and revised plan for end of April </t>
  </si>
  <si>
    <t xml:space="preserve">04/05/21 [EBC] Solution Agreed
26/04/21 [EBC] Call with LMR - Estimate known, RSC to create
20/04/21 [EBC] LMR approved creation of RSC for items marked OK in AM outstanding Issue/breakdown tab. Final commercials and revised plan for end of April </t>
  </si>
  <si>
    <t>0805/21 [EBC] Reviewed internally and estimated. Passed for review by Product</t>
  </si>
  <si>
    <t xml:space="preserve">21/10/20 N26 are concerned about cost over-run on this item and have asked for discussions on the RSC to fix the price. 
29/09/20 Discussion with N26 following agreement with Joe Locke that we would split RSC cost 50:50 as a goodwill gesture.  Amount represents chargeable cost.  RSC revised to reflect final solution and requirements. 
08/03/21 [EBC] Delivered in 2020. The UAT testing of this remains outstanding </t>
  </si>
  <si>
    <t>27/11/20 - Issue with deployment of Sub Ledger to Amazon Cloud  due to restricted services. Agreed fixed price of £15,000 without support which covers 50% of Development cost
08/03/21 - Delivered to N26 on 16/12.</t>
  </si>
  <si>
    <t xml:space="preserve">08/03/21 - N26 need to be able to export defined standard reports in CSV format. Agreed in email 25/02 based on verbal discussion. RSC to cover solution for clarity. </t>
  </si>
  <si>
    <t>RMB Charting - Configuration</t>
  </si>
  <si>
    <t>Raised - MT Post Conf Call 08/07/20</t>
  </si>
  <si>
    <t>RMB News Feeds -  Configuration</t>
  </si>
  <si>
    <t>Deal Type Group Filters</t>
  </si>
  <si>
    <t>Relational Gateway Views and Reports</t>
  </si>
  <si>
    <t>User Interface</t>
  </si>
  <si>
    <t>Rejected - Transfered to Sales Desk Convertion to Web.</t>
  </si>
  <si>
    <t>Low</t>
  </si>
  <si>
    <t>Moderate</t>
  </si>
  <si>
    <t>No driver from existing customers at present</t>
  </si>
  <si>
    <t>Raised - CLSNow is now active and is gaining traction. Our current CLS users have expressed interest. - To confirm if active in the market
09/06/21 - No require from existing customers, came out as something generated by CLS. Primary benificaries BDB/BACB primary usage for fx.</t>
  </si>
  <si>
    <t>Neg Instrument Shorting</t>
  </si>
  <si>
    <t>High</t>
  </si>
  <si>
    <t>Raised - OE Documenting
We only have half a product offering, does not update positions, no GL. Potential - Zenith, BACB.
Applies to all NI's</t>
  </si>
  <si>
    <t>eTrader Mid Rate Spot Panel</t>
  </si>
  <si>
    <t>18/08/20 - Raised after MT/DP reviewed https://corporate.bankofireland.com/markets/</t>
  </si>
  <si>
    <t>Intraday liquidity</t>
  </si>
  <si>
    <t>01/05/20 - Requirement Document in Review - Disccusion with Planix</t>
  </si>
  <si>
    <t>Repeated req from new clients. They expect manuals/guides etc to be freely available.
Two pronged attack - take existing docs port them to freshdesk 'solutions' central version. Secondly build and grow. - ACTION: Bas review existing how-to, NM prime BA's to take ownership. Split into immediate term and long term. Work on prioritisation. Consider external advice.</t>
  </si>
  <si>
    <t>Equities - Trading Only</t>
  </si>
  <si>
    <t>Credit Default Swaps</t>
  </si>
  <si>
    <t>Cash Forecast Modelling</t>
  </si>
  <si>
    <t>A temp fix has been applied. Can be revisited as a normal defect.</t>
  </si>
  <si>
    <t>Zenith have found that given their volumes deal ref's are being duplicated as they due to the 99999 format. Suggest YYMMDD99999 as a new format. Existing deal numbers to stay the same, only new deals. Ie. 20102700001</t>
  </si>
  <si>
    <t>29/10/20 - Reviewed - Validate &amp; Pass to Ops to build - Test cases already provided by LMR. Validate data entry against Test Cases.
Check all derivative products against EMIR reportable lists.</t>
  </si>
  <si>
    <t>Alternative Investments</t>
  </si>
  <si>
    <t>15/09/20 - Selected to Product Roadmap Investigation</t>
  </si>
  <si>
    <t>FINREP - COREP</t>
  </si>
  <si>
    <t>eBAM: Bank account Management - Barry Callibaut</t>
  </si>
  <si>
    <t>17/11/20 - BC not moving forward - Generic Req - Selected for backlog.
04/01/21 - BCMOF - Added to Product Backlog</t>
  </si>
  <si>
    <t>eCollecting - Settlement via Cash</t>
  </si>
  <si>
    <t>17/11/20 - BC not moving forward - Generic Req - Selected for backlog.</t>
  </si>
  <si>
    <t>Virtual Account Management Platform VAM - Barry Callebeaut</t>
  </si>
  <si>
    <t>05/10/20 - Cancelled duplicate of eBam</t>
  </si>
  <si>
    <t>RSC195 Auto Sweeping &amp; Cash Pooling - Barry Callebut</t>
  </si>
  <si>
    <t>18/11/20 - Post N26 - Ensure all DB usage is iin-line with RDS model</t>
  </si>
  <si>
    <t>RMB have seen a more varied level of experience in the users of Siena eTrader. At present they have retail users, and experienced corporate users connecting to the platform. 
Require is to add the ability to refine the decimal precision by channel/client. This will reduce the risk associated with users being confused by a large number of decimal places and choosing to trade elsewhere.</t>
  </si>
  <si>
    <t>A common requirement to recent RFPs, that could be implemented quickly. 
To help secure the role-out work to more subsidiaries, and demostrate to RMB that we are engaging with them.</t>
  </si>
  <si>
    <t>18/11/20 - Post N26 - Ensure DB Upgrades are supportable in Cloud.</t>
  </si>
  <si>
    <t>Partial Early Termination - Across Luminor Products</t>
  </si>
  <si>
    <t>18/11/10 - Post Luminor - Ensure Full Range of Post Trade Actions available.</t>
  </si>
  <si>
    <t>Search bank account information via various identifiers</t>
  </si>
  <si>
    <t>04/01/21 - Raised on notification of BCMOF RFP ending.</t>
  </si>
  <si>
    <t>Create &amp; Issue client invoices for services.</t>
  </si>
  <si>
    <t>Upload Bank Invoice Data</t>
  </si>
  <si>
    <t>20/01/21 - Simplified Upgrade Process/Tool - Mentioned by Leumi - Now we have severnal underlying products to upgrade at the same time. Upgrades currently takling 1/2day.</t>
  </si>
  <si>
    <t>These are open ended funds that invest in short term debt securities such as treasuries, repos, Bankers Acceptances, CDs, Term deposits and commercial paper. 
They retain stable values through liquid investments whilst paying income dividends to investors. They are low risk and generally have a high credit quality.</t>
  </si>
  <si>
    <t>Pre-Covid these were generally Nice to Have requirements, however this has changed and they are now considered market standard instruments.  N26 have expressed interest, as have Luminor.</t>
  </si>
  <si>
    <t>Witholding Tax + Accounting in GL</t>
  </si>
  <si>
    <t xml:space="preserve">A callable bond (redeemable bond) is a type of bond that provides the issuer with the right but not the obligation to redeem the bond before its maturity date.
In simple terms, a callable bond allows the issuing company to pay off their debt early.  
Typically, a bank may choose to call their bond if market interest rates move in a favourable direction and will allow them to borrow at a more beneficial rate. </t>
  </si>
  <si>
    <t>Callable bonds are now frequently requested derivative in treasury sales and they are now considered market standard instruments.  
Like MMFs N26 have expressed interest, as have Luminor, initial discussions suggest that BACB and Zenith could also be targeted.</t>
  </si>
  <si>
    <t>The JavaFX work is part of a web transition strategy providing appropriate GUI’s to meet the demands of role is still required. This role is the only thick-client role that will remain, due to low-latency requirements.
This item covers the work to investigate 
1) The effort to merge the last 12 months work into Siena 6.0 Branch. 
2) To confirm all screens required. 
3) Provide a final estimate to complete (including build, test, and docs.</t>
  </si>
  <si>
    <t>With this the solutions role in a treasury trading room is retained while a migration of other roles takes place for roles where low latency pricing is not requirement.</t>
  </si>
  <si>
    <t>Remove Hardcoding behind Fundamental Deal Types</t>
  </si>
  <si>
    <t>Found when cloning dealtypes for Cynergy - If you clone a deal type it works in siena, the go into the hardcoded buckets  Includes both Fundamental &amp; Deal Type Config.</t>
  </si>
  <si>
    <t>Improved Logging</t>
  </si>
  <si>
    <t xml:space="preserve">Improve the quality of the logged output to inlucde human *understandable* messages where possible. </t>
  </si>
  <si>
    <t>CI Technical Quality &amp; Resilience</t>
  </si>
  <si>
    <t>https://www.sans.org/top25-software-errors/
Platform - Chaos Monkey? 
MT : Check costs of Jenkins SANS 25 plugins</t>
  </si>
  <si>
    <t>V1 of the agreements manager to be completed/packaged including documentation and addressing any usabiliuty feedback from Luminor.</t>
  </si>
  <si>
    <t>AM is included in most proposals, and if positioned correctly can be cross-sold into our current customers. 
RMB and N26 have expressed an interest. 
In RMB it could become their central agreement monitoring tool, futher embedding us in their infrastructure.</t>
  </si>
  <si>
    <t>Discussed between MN/DF/MT/OE - Not a major priority, can be reopened if prompted by clients or prospect.</t>
  </si>
  <si>
    <t>29/03/21 - Account Numbers in ePayment Payees should be masked to display only n' number of digits. Displaying the full IBAN/Account Number is considered bad practice.\
09/06/21 - Discussed between MN/DF/MT/OE - Not a major priority, can be reopened if prompted by clients or prospect.</t>
  </si>
  <si>
    <t>Cash Forecasting</t>
  </si>
  <si>
    <t>Reconciliations</t>
  </si>
  <si>
    <t>No current customers doing SFTR business. Agreed we can deal with this as and when a prospect comes along.</t>
  </si>
  <si>
    <t>15/10/20 - Write-Up Commeced
Archived - Discussed - Bring back if becomes an issue.</t>
  </si>
  <si>
    <t>Cash Concentration</t>
  </si>
  <si>
    <t>15/09/20 - Selected to Product Roadmap Investigation
15/10/20 - With RN to write requirement, - RN Has left - To Reassign
Move to Backlog</t>
  </si>
  <si>
    <t>13/10/20 - Sent to Ops for HLE
09/11/20 - Request to OPS for ETA of Estimation.</t>
  </si>
  <si>
    <t>Security Hardening &amp; Cyber Security</t>
  </si>
  <si>
    <t>15/09/20 - Selected to Product Roadmap Investigation
REFFERED TO ARCHITECTURE GROUP
Internal Assurance - What standard can be made to apply.   Reach our to contact @ temenos to find out what they are doing re this topic.</t>
  </si>
  <si>
    <t>15/09/20 - Selected to Product Roadmap Investigation - Linked to V6 Strat</t>
  </si>
  <si>
    <t>15/09/20 - Selected to Product Roadmap Investigation - Linked to V6 Strat
"Single Pane of Glass"</t>
  </si>
  <si>
    <t>BREXIT</t>
  </si>
  <si>
    <t>Siena Strategic Release V6?</t>
  </si>
  <si>
    <t>13/11/20 - Estimate Received from Ops
09/06/21 - Frequent Request on RFI/RFP and questions from existing non trad customers. IF we look at this it should be both flavours inc ETFs.  OE/NM to review.</t>
  </si>
  <si>
    <t>Callable Neg Intruments - Full &amp; Partial Execution</t>
  </si>
  <si>
    <t>13/11/20 - Estimate Received from Ops
10/06/21 - Customer have asked for, inc cynergy. Covers Bonds &amp; FRN products. Current workaround - manipulate the shcedule when adjustment needed to principle. Will require re-estimation.
Update trade date pos, send note, feed back office.
Package with shorting for all trading house instruments.</t>
  </si>
  <si>
    <t>13/11/20 - Estimate Received from Ops</t>
  </si>
  <si>
    <t>Linked to new version of Siena</t>
  </si>
  <si>
    <t>EMI Reporting</t>
  </si>
  <si>
    <t>V1 Agreement Manager - Completion</t>
  </si>
  <si>
    <t>15/09/20 - Selected to Product Roadmap Investigation
09/11/20 - Request to OPS for ETA of Estimation.</t>
  </si>
  <si>
    <t>Post LMR/LMI/N26/RCB architecture review and update.</t>
  </si>
  <si>
    <t>KnowCo interface - Additional Data</t>
  </si>
  <si>
    <t>19/11/20 - Requested Estimation from OPS.</t>
  </si>
  <si>
    <t>OWASP Pen-Test - eTrader - Aspire</t>
  </si>
  <si>
    <t>16/11/20 - Costs provided by BS via example of Synergy2 Customer UI (Added 2 days each for management &amp; assessment post delivert).</t>
  </si>
  <si>
    <t>OWASP Pen-Test - ePayments - Aspire</t>
  </si>
  <si>
    <t>Cash Flow Forecasting MVP</t>
  </si>
  <si>
    <t xml:space="preserve">08/01/21 - Estimated for Money Box. Only 1 active forecast. Design to import cashflows to dummy account deal-type. </t>
  </si>
  <si>
    <t xml:space="preserve">On hold for now. Know there is requirement. </t>
  </si>
  <si>
    <t xml:space="preserve">20/01/21 - JL requested review of use of Power Bi as costs for customers with large datasets could be prohibative. MT to review alternative of PanIntel + OpenSource such as Apache SuperSet. </t>
  </si>
  <si>
    <t>Documentation Update</t>
  </si>
  <si>
    <t>15/09/20 - Selected to Product Roadmap Investigation
19/11/20 - Requested Estimation from OPS.
12/01/21 - New Request sent to Ops</t>
  </si>
  <si>
    <t>Credit Facilities Agreement Type</t>
  </si>
  <si>
    <t>28/4/21</t>
  </si>
  <si>
    <t>29/4/21</t>
  </si>
  <si>
    <t>-</t>
  </si>
  <si>
    <t>29/10/20 - MT - Request OE Write Up for Estimation.
29/04/21 - MT - Final Approval - 7 nonblocking items that need to be considered during UI build.</t>
  </si>
  <si>
    <t>EMI Reporting SSRS</t>
  </si>
  <si>
    <t>No Action - Will be Included into Client Quote</t>
  </si>
  <si>
    <t>PayPal Connectivity - Barry Callebut</t>
  </si>
  <si>
    <t>17/11/20 - Closed BC have  not proceeded. Bespoke Req - Not Selected for backlog.</t>
  </si>
  <si>
    <t>Stripe Connectivity - Barry Callebut</t>
  </si>
  <si>
    <t>Accuity Connectivity - Barry Callebut</t>
  </si>
  <si>
    <t>Agreement Mandates</t>
  </si>
  <si>
    <t>Raised as part of BCMoF RFP</t>
  </si>
  <si>
    <t>IFD/IFR prudential regime</t>
  </si>
  <si>
    <t>05/01/21 - Raised from call with MoneyBox - Affects Investment Firms "Buy-Side".</t>
  </si>
  <si>
    <t>Direct Bank Conncitity (OpenBanking or PSD2)</t>
  </si>
  <si>
    <t>05/01/21 - Raised from call with MoneyBox - Bypass need for SWIFT in some markets. Corporate Systems</t>
  </si>
  <si>
    <t>Bank Line Integration - C&amp;C</t>
  </si>
  <si>
    <t>Raised as part of C&amp;C Like for Like</t>
  </si>
  <si>
    <t>EVE &amp; NII Calculations &amp; Metrics - C&amp;C</t>
  </si>
  <si>
    <t>Fair Value Reval into GL - C&amp;C</t>
  </si>
  <si>
    <t>Hedge Accounting - C&amp;C</t>
  </si>
  <si>
    <t>AM - SFTR Reporting</t>
  </si>
  <si>
    <t>"The platform should be able to produce transaction reports (both new and life cycle), daily CCP margin reports (changes in VM of the centrally cleared SFT's) and daily collateral reuse reports (changes in the reuse of collateral). 
Can your platform produce transaction reports, daily CCP margin reports and daily collateral reuse reports?"</t>
  </si>
  <si>
    <t>AM - SIMM Sensitivity Calculation</t>
  </si>
  <si>
    <t>The platform should be capable of performing SIMM sensitivity calculations at Isbank Group level. If the platform doesn't have such capability, it should enable integration with 3rd party applications. 
"The SIMM model should be backtested at least quarterly and parameters used in initial margin models should be calibrated at least annually. For this reason, the platform should have these features. 
Does your platform have backtesting and calibration capabilities, and if it automatically completes those tasks, what will be our responsibility in the process?"</t>
  </si>
  <si>
    <t>AM - Deal Reconciliation from external systems</t>
  </si>
  <si>
    <t>Reconciliation should be handled per Agreement signed with counterparties.</t>
  </si>
  <si>
    <t>AM - Dispute Management</t>
  </si>
  <si>
    <t>The platform should enable handling disputes.
Does your platform enable handling disputes? Please describe briefly dispute handling features of your platform.</t>
  </si>
  <si>
    <t>It may be beneficial to post certain kind of collateral from time to time (due to market conditions and haircuts etc.).  It's appreciated if the system suggests which type of collateral is better of posting on agreement basis.
Does your platform have collateral optimization feature?</t>
  </si>
  <si>
    <t>AM - CCP Report aggregation</t>
  </si>
  <si>
    <t>The platform should be able to retrieve VM data from reports being sent by CCP's in order to produce aggregated collateral reports.
Can your platform produce aggregate reports by retrieving VM data from reports sent by CCPs?</t>
  </si>
  <si>
    <t>The platform should enable storing terms of CSA and GMRA agreements, and those terms should be fed automatically into the collateral calculation system and taken into account in collateral calculations.
Is your platform capable of capturing master and collateral agreement terms and performing collateral calculations based on the terms of these agreements?</t>
  </si>
  <si>
    <t>AM - IM at Counterparty Group Level</t>
  </si>
  <si>
    <t>Isbank has several subsidiaries. The platform should handle calculations on group level and at solo level showing share of each subsidiary in initial margin amount. The subsidiaries should be able to follow their initial margin obligation via platform or automatically send reports.
Please provide information about how IM Calculations are handled by your platform at group level?</t>
  </si>
  <si>
    <t>The platform should calculate incoming and outgoing margin call amounts based on counterparty and agreement. It should automatically send margin call notifications on daily basis.
Can your platform calculate incoming and outgoing margin call amounts based on counterparty and agreement?</t>
  </si>
  <si>
    <t>BT Radianz POC</t>
  </si>
  <si>
    <t>Raised in Fusion</t>
  </si>
  <si>
    <t>RSC215 - FXAll Adapter</t>
  </si>
  <si>
    <t>Open Source Analytics Including VAR into Dashboards.</t>
  </si>
  <si>
    <t>25/08/20 - Loaded from Project Logs Files
Review OpenSource risk engines. Investigation, light touch. How can we provide dashboards that provide added value without much development. Review "R".</t>
  </si>
  <si>
    <t>22/05/20 - PB Approved</t>
  </si>
  <si>
    <t>08/09/20 - JL has agreed to proceed at-risk based on verbal confirmation from GV.</t>
  </si>
  <si>
    <t>20/04/21 - Reported as Approved by Client by BS @ Ops meeting 20/04/21</t>
  </si>
  <si>
    <t>RSC018 - Russian language in e-Trader</t>
  </si>
  <si>
    <t>[#13041] Interest Day basis</t>
  </si>
  <si>
    <t>18/05/20 - No approval to write up. Requested BS to action. [19/05/20]-BS to request JS for permission to write up.</t>
  </si>
  <si>
    <t>Full Solution</t>
  </si>
  <si>
    <t>Bill to review</t>
  </si>
  <si>
    <t>Regulatory Reporting - Dodd Frank</t>
  </si>
  <si>
    <t>1/4/21 - SEB Reg Reporting RFI</t>
  </si>
  <si>
    <t>Reg Reporting - MAS (Singapore) Regs</t>
  </si>
  <si>
    <t>Reg Reporting - HKMA (Hong Kong) Regs</t>
  </si>
  <si>
    <t>Reg Reporting - Equities</t>
  </si>
  <si>
    <t>Reg Reporting - Structured Products</t>
  </si>
  <si>
    <t>Reg Reporting - Multi Entity</t>
  </si>
  <si>
    <t>Reg Reporting - Delegated Reporting</t>
  </si>
  <si>
    <t>Reg Reporting - Reconciliation</t>
  </si>
  <si>
    <t xml:space="preserve">Load inhouse yield to create reval curve for lesser traded currencies. </t>
  </si>
  <si>
    <t>From info from DW.
For exotics, hard to get good data, but yield curves still need to be created.  We currently have no ability to Bootstrap. 
ACTION: DW to confirm requirement, is this Bootstrapping? We can import any curve needed &amp; manage in Siena already.</t>
  </si>
  <si>
    <r>
      <t xml:space="preserve">19/4/21 - Post Discussion with BS,. NM identified that we may not be recording the Product/Country exposure in Siena. Which would be required for larger banks, and Private Banks.
</t>
    </r>
    <r>
      <rPr>
        <b/>
        <sz val="12"/>
        <color theme="1"/>
        <rFont val="Calibri"/>
        <family val="2"/>
      </rPr>
      <t>ACTION: NM/MT decide on dates for Action Plan to review all Country releated processing.</t>
    </r>
  </si>
  <si>
    <t>AM - Additional Counterparty Data</t>
  </si>
  <si>
    <t>"20/04/21 - Original Luminor - Moved to Roadmap for review 
Customer data not retrieved from Siena counterparty data 
Currently some elements of counterparty are populated based on counterparty record. CIF and Reg Number are not and the request is for the these to be available as read only
"</t>
  </si>
  <si>
    <t>AM - Display of Counterparty Name</t>
  </si>
  <si>
    <t>"20/04/21 - Original Luminor - Moved to Roadmap for review 
Display Full Counterparty Name
Currently only short name displayed – Luminor prefer to have full name instead. Read only 
"</t>
  </si>
  <si>
    <t>AM - 'Memo' type of External Margin</t>
  </si>
  <si>
    <t>"20/04/21 - Original Luminor - Moved to Roadmap for review 
Collateral without assigning it to posted IM
or VM is not possible
Possibly a solution to have a margin type of Memo. Possibly making the value not editable
Ability to add external collateral (memo type e.g mortgage backing credit line) that doesn't contribute to margins"</t>
  </si>
  <si>
    <t xml:space="preserve">AM - Display list of all Posted Collateral </t>
  </si>
  <si>
    <t>"20/04/21 - Original Luminor - Moved to Roadmap for review 
Event log of posted collateral input
/changes possible to access to user from
GU
Audit UI"</t>
  </si>
  <si>
    <t>AM - Display Utilisation as %age</t>
  </si>
  <si>
    <t>"20/04/21 - Original Luminor - Moved to Roadmap for review 
Utilisation as % is not shown
IM and VM utlisation % to be displayed
For IM -&gt; IM utlisation/(IM facility allocation + IM posted)"</t>
  </si>
  <si>
    <t>AM - Netting of Initial Margin</t>
  </si>
  <si>
    <t>"20/04/21 - Original Luminor - Moved to Roadmap for review 
Netting missing
Initial margin calculations are netted at:
     2.1- Counterparty level
     2.2- Asset classes:
          - FX outrights and swaps: netted
          - Interest rate swaps: not netted
          - IR Options: not netted
          - Commodity swaps: netted at underlying instrument level
    2.3 - Maturity date
    2.4 - Currency/currency pair: if EUR is in the pair, the EUR amount is netted. If EUR is not in the pair, we net the base notional currency (Base/quoted)
"</t>
  </si>
  <si>
    <t>AM - Utilisation of Collateral for CSA</t>
  </si>
  <si>
    <t>"20/04/21 - Original Luminor - Moved to Roadmap for review 
Report on utilisation of collateral for CSA - missing
Valuation percentage credit line - the value from Maximum threshold form Terms e.g. 10%
Valuation percentage cash - how much percentage of collateral allocation to variation margin
Need to be able to select a date  (EOD as of selected date)
"</t>
  </si>
  <si>
    <t>AM - Remove Redundant Fields</t>
  </si>
  <si>
    <t>20/04/21 - Original Luminor - Moved to Roadmap for review 
Redundant Fields Displayed
Fields not required for agreement displayed</t>
  </si>
  <si>
    <t>AM - Notes Access from Agreement Page</t>
  </si>
  <si>
    <t>"20/04/21 - Original Luminor - Moved to Roadmap for review 
Notes -should appear on the agreement page as well
Currenly notes disappear when you save them and you have to go to the Summary page to view them"</t>
  </si>
  <si>
    <t xml:space="preserve">AM - Display "Audit Trail" </t>
  </si>
  <si>
    <t>"20/04/21 - Original Luminor - Moved to Roadmap for review 
End users need to see audit trail 
Report on who has done what in system for audit"</t>
  </si>
  <si>
    <t>AM - Display Change History</t>
  </si>
  <si>
    <t>"20/04/21 - Original Luminor - Moved to Roadmap for review 
Last updated time and by to be displayed on Agreement page
Luminor would like to see against key editable information who did the last edit and when. Updated in real time"</t>
  </si>
  <si>
    <t>AM - External Collateral UI</t>
  </si>
  <si>
    <t>"20/04/21 - Original Luminor - Moved to Roadmap for review 
External Collateral UI 
LMR would like to have ability to enter and manage External collateral from a UI in the AM module"</t>
  </si>
  <si>
    <t>AM - Collateral (Received vs Posted)</t>
  </si>
  <si>
    <t>"20/04/21 - Original Luminor - Moved to Roadmap for review 
Direction, how to post (decrease) collateral to counterparty
Collateral direction - received/posted"</t>
  </si>
  <si>
    <t>AM - Meaningful Error Messages</t>
  </si>
  <si>
    <t>"20/04/21 - Original Luminor - Moved to Roadmap for review 
Irrelevant error messagee in Deal Capture
""No agreement available"" is returned as error message. Should be i.e ""Unpermitted deal type"" "</t>
  </si>
  <si>
    <t>AM - Agreement Expiry Report</t>
  </si>
  <si>
    <t>"20/04/21 - Original Luminor - Moved to Roadmap for review 
Report on CSA and EMIR agreement expiries
LMR may internally create it. Eurobase to provide estimate as well"</t>
  </si>
  <si>
    <t xml:space="preserve">Was part of the original design document. Is a natural extension to our current model. </t>
  </si>
  <si>
    <t>Credit Facilities - Watchlists</t>
  </si>
  <si>
    <t>30/4/21 - Written up by OE</t>
  </si>
  <si>
    <r>
      <t xml:space="preserve">Identified by OEhttps://www.lseg.com/markets-products-and-services/post-trade-services/unavista/regulation/mifid-ii-commodity-derivatives-reporting
</t>
    </r>
    <r>
      <rPr>
        <b/>
        <sz val="12"/>
        <color theme="1"/>
        <rFont val="Calibri"/>
        <family val="2"/>
      </rPr>
      <t xml:space="preserve">ACTION: OE: Review/Confirm if Swaps are in scope. Will contact Luminor and report back. Also enquire as to demand.
</t>
    </r>
  </si>
  <si>
    <t>SWAPTIONS</t>
  </si>
  <si>
    <t>OE noted an upswing in the market for SWAPTIONS.</t>
  </si>
  <si>
    <t>Remove reliance on "Name" based lookups, and replace by a proper ID.</t>
  </si>
  <si>
    <t>13/5 Discussed between MT/BS - Agree this would be of benefit to stop the current model a.s.a.p. as this has been at the route of several issues with clients recently.</t>
  </si>
  <si>
    <t>Agreement Management - Regulatory Grid (Alternative to ISDA Simm)</t>
  </si>
  <si>
    <t>Already in Place</t>
  </si>
  <si>
    <t>MIFID - Re-engineering / Updates</t>
  </si>
  <si>
    <t>23/jun/21 - Can you let me know what we have on the roadmap for EMIR and MiFID (EMIR refit apart)? As you’re probably aware MiFID reporting is in a bit of a state, and having discussed this with Dav we need to make sure it’s made it as a product item. Essentially what we’re after is the creation of a MiFID report that’s in ESMA format and contains all reportable instruments. From this we can derive the ARM-specific versions that contain the ARM’s analysis fields. Once we do that all customers who use UnaVIsta (for example) will have the same version of the report, and not one that’s designed to only report the instruments that they currently trade. This will prevent the farrago at BdB when then decided to start reporting interest rate swaps and it didn’t work…
I think all the EMIR changes will be covered under the refit work, as it pretty much involves re-writing the whole of MiFID: no field appears to have gone untouched, and just to be on the safe side they’ve added in some more.</t>
  </si>
  <si>
    <t>Tech</t>
  </si>
  <si>
    <t>07/09 - MWT To write</t>
  </si>
  <si>
    <t>Restrict Purging of deals recorded in hedging groups until last grouped deal has matured</t>
  </si>
  <si>
    <t>BDB London asked for this to be put on the Road Map</t>
  </si>
  <si>
    <t>Strategy</t>
  </si>
  <si>
    <t>Med</t>
  </si>
  <si>
    <t>28/12/21</t>
  </si>
  <si>
    <t>13/12/2021</t>
  </si>
  <si>
    <t>14/12/2021</t>
  </si>
  <si>
    <t>14/21/2021</t>
  </si>
  <si>
    <t>Support</t>
  </si>
  <si>
    <t>20/12/2021</t>
  </si>
  <si>
    <t>Medium</t>
  </si>
  <si>
    <t>Riased to investigate effort to reloved BOI's med/low penetration test issues.</t>
  </si>
  <si>
    <t>14/01/22</t>
  </si>
  <si>
    <t>Edit/Cancel/Close Out pop ups</t>
  </si>
  <si>
    <t>FX ALL</t>
  </si>
  <si>
    <t>Eurobase NC</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</si>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</sst>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4" formatCode="_-&quot;£&quot;* #,##0.00_-;\-&quot;£&quot;* #,##0.00_-;_-&quot;£&quot;* &quot;-&quot;??_-;_-@_-"/>
    <numFmt numFmtId="43" formatCode="_-* #,##0.00_-;\-* #,##0.00_-;_-* &quot;-&quot;??_-;_-@_-"/>
    <numFmt numFmtId="164" formatCode="&quot;£&quot;#,##0.00_);[Red]\(&quot;£&quot;#,##0.00\)"/>
    <numFmt numFmtId="165" formatCode="_-&quot;£&quot;* #,##0_-;\-&quot;£&quot;* #,##0_-;_-&quot;£&quot;* &quot;-&quot;??_-;_-@_-"/>
    <numFmt numFmtId="166" formatCode="dd/mm/yyyy;@"/>
    <numFmt numFmtId="167" formatCode="dd/mm/yy;@"/>
    <numFmt numFmtId="168" formatCode="&quot;£&quot;#,##0.00"/>
    <numFmt numFmtId="169" formatCode="_-[$£-809]* #,##0.00_-;\-[$£-809]* #,##0.00_-;_-[$£-809]* &quot;-&quot;??_-;_-@_-"/>
    <numFmt numFmtId="170" formatCode="[$-F800]dddd\,\ mmmm\ dd\,\ yyyy"/>
    <numFmt numFmtId="171" formatCode="&quot;£&quot;#,##0"/>
    <numFmt numFmtId="172" formatCode="0000"/>
    <numFmt numFmtId="173" formatCode="dd\-mmm\-yyyy"/>
  </numFmts>
  <fonts count="102">
    <font>
      <sz val="11"/>
      <color theme="2" tint="-0.749961851863155"/>
      <name val="Calibri Light"/>
      <family val="2"/>
      <scheme val="major"/>
    </font>
    <font>
      <sz val="12"/>
      <color theme="1"/>
      <name val="Calibri"/>
      <family val="2"/>
      <scheme val="minor"/>
    </font>
    <font>
      <sz val="11"/>
      <color theme="2" tint="-0.749961851863155"/>
      <name val="Calibri Light"/>
      <family val="2"/>
      <scheme val="major"/>
    </font>
    <font>
      <sz val="8"/>
      <name val="Calibri Light"/>
      <family val="2"/>
      <scheme val="major"/>
    </font>
    <font>
      <b/>
      <sz val="11"/>
      <color theme="0"/>
      <name val="Segoe UI Semibold"/>
      <family val="2"/>
    </font>
    <font>
      <sz val="12"/>
      <color rgb="FF006100"/>
      <name val="Calibri"/>
      <family val="2"/>
      <scheme val="minor"/>
    </font>
    <font>
      <sz val="8"/>
      <name val="Trebuchet MS"/>
      <family val="2"/>
    </font>
    <font>
      <sz val="11"/>
      <color theme="2" tint="-0.749961851863155"/>
      <name val="Andale Mono"/>
      <family val="2"/>
    </font>
    <font>
      <sz val="11"/>
      <color rgb="FF000000"/>
      <name val="Andale Mono"/>
      <family val="2"/>
    </font>
    <font>
      <sz val="12"/>
      <color rgb="FF006100"/>
      <name val="Andale Mono"/>
      <family val="2"/>
    </font>
    <font>
      <sz val="11"/>
      <color theme="2" tint="-0.749961851863155"/>
      <name val="Arial"/>
      <family val="2"/>
    </font>
    <font>
      <sz val="12"/>
      <color theme="0"/>
      <name val="Calibri"/>
      <family val="2"/>
      <scheme val="minor"/>
    </font>
    <font>
      <b/>
      <sz val="14"/>
      <color rgb="FF002060"/>
      <name val="Calibri"/>
      <family val="2"/>
      <scheme val="minor"/>
    </font>
    <font>
      <sz val="14"/>
      <color theme="1"/>
      <name val="Calibri"/>
      <family val="2"/>
      <scheme val="minor"/>
    </font>
    <font>
      <b/>
      <sz val="14"/>
      <color rgb="FFFFFFFF"/>
      <name val="Helvetica"/>
      <family val="2"/>
    </font>
    <font>
      <b/>
      <sz val="12"/>
      <color rgb="FFFFFFFF"/>
      <name val="Helvetica"/>
      <family val="2"/>
    </font>
    <font>
      <sz val="14"/>
      <color rgb="FF000000"/>
      <name val="Calibri"/>
      <family val="2"/>
    </font>
    <font>
      <b/>
      <sz val="14"/>
      <color rgb="FF002060"/>
      <name val="Calibri"/>
      <family val="2"/>
    </font>
    <font>
      <b/>
      <sz val="14"/>
      <color rgb="FFFFFFFF"/>
      <name val="Raleway Medium"/>
      <family val="2"/>
    </font>
    <font>
      <sz val="14"/>
      <color theme="1"/>
      <name val="Raleway Medium"/>
      <family val="2"/>
    </font>
    <font>
      <b/>
      <sz val="14"/>
      <color rgb="FF002060"/>
      <name val="Raleway Medium"/>
      <family val="2"/>
    </font>
    <font>
      <sz val="14"/>
      <color theme="2" tint="-0.749961851863155"/>
      <name val="Raleway Medium"/>
      <family val="2"/>
    </font>
    <font>
      <sz val="14"/>
      <color rgb="FF000000"/>
      <name val="Raleway Medium"/>
      <family val="2"/>
    </font>
    <font>
      <sz val="14"/>
      <color rgb="FFFFFFFF"/>
      <name val="Raleway Medium"/>
      <family val="2"/>
    </font>
    <font>
      <sz val="18"/>
      <color rgb="FFFFFFFF"/>
      <name val="Raleway SemiBold"/>
      <family val="2"/>
    </font>
    <font>
      <sz val="18"/>
      <color rgb="FF002060"/>
      <name val="Raleway SemiBold"/>
      <family val="2"/>
    </font>
    <font>
      <sz val="14"/>
      <color theme="1"/>
      <name val="Helvetica Light"/>
    </font>
    <font>
      <sz val="11"/>
      <color theme="1"/>
      <name val="Helvetica Light"/>
    </font>
    <font>
      <b/>
      <sz val="14"/>
      <color rgb="FF002060"/>
      <name val="Helvetica Light"/>
    </font>
    <font>
      <sz val="11"/>
      <color theme="2" tint="-0.749961851863155"/>
      <name val="Helvetica Light"/>
    </font>
    <font>
      <sz val="12"/>
      <color theme="1"/>
      <name val="Helvetica Light"/>
    </font>
    <font>
      <b/>
      <sz val="12"/>
      <color theme="0"/>
      <name val="Helvetica Bold"/>
    </font>
    <font>
      <sz val="12"/>
      <color theme="0"/>
      <name val="Helvetica Bold"/>
    </font>
    <font>
      <sz val="14"/>
      <color rgb="FF002060"/>
      <name val="Consolas"/>
      <family val="2"/>
    </font>
    <font>
      <sz val="14"/>
      <color theme="2" tint="-0.749961851863155"/>
      <name val="Consolas"/>
      <family val="2"/>
    </font>
    <font>
      <b/>
      <sz val="14"/>
      <color rgb="FF002060"/>
      <name val="Consolas"/>
      <family val="2"/>
    </font>
    <font>
      <sz val="14"/>
      <color rgb="FF002060"/>
      <name val="Consolas Bold"/>
    </font>
    <font>
      <sz val="14"/>
      <color theme="1"/>
      <name val="Consolas"/>
      <family val="2"/>
    </font>
    <font>
      <sz val="11"/>
      <color theme="1"/>
      <name val="Consolas"/>
      <family val="2"/>
    </font>
    <font>
      <sz val="11"/>
      <color theme="2" tint="-0.749961851863155"/>
      <name val="Consolas"/>
      <family val="2"/>
    </font>
    <font>
      <sz val="11"/>
      <color rgb="FF002060"/>
      <name val="Consolas Bold"/>
    </font>
    <font>
      <sz val="11"/>
      <color theme="2" tint="-0.749961851863155"/>
      <name val="Consolas Bold"/>
    </font>
    <font>
      <b/>
      <sz val="14"/>
      <color theme="0"/>
      <name val="Helvetica Bold"/>
    </font>
    <font>
      <sz val="14"/>
      <color theme="0"/>
      <name val="Helvetica Bold"/>
    </font>
    <font>
      <b/>
      <sz val="12"/>
      <color rgb="FF322A77"/>
      <name val="Helvetica Bold"/>
    </font>
    <font>
      <b/>
      <sz val="12"/>
      <color theme="1"/>
      <name val="Helvetica Bold"/>
    </font>
    <font>
      <b/>
      <sz val="14"/>
      <color theme="0"/>
      <name val="Tahoma"/>
      <family val="2"/>
    </font>
    <font>
      <sz val="12"/>
      <color theme="0"/>
      <name val="Tahoma"/>
      <family val="2"/>
    </font>
    <font>
      <b/>
      <sz val="12"/>
      <color theme="0"/>
      <name val="Calibri"/>
      <family val="2"/>
    </font>
    <font>
      <sz val="14"/>
      <color theme="1"/>
      <name val="Calibri"/>
      <family val="2"/>
    </font>
    <font>
      <b/>
      <sz val="13"/>
      <color rgb="FF002060"/>
      <name val="Calibri"/>
      <family val="2"/>
    </font>
    <font>
      <b/>
      <sz val="14"/>
      <color theme="1"/>
      <name val="Calibri"/>
      <family val="2"/>
    </font>
    <font>
      <sz val="11"/>
      <color theme="1"/>
      <name val="Calibri"/>
      <family val="2"/>
    </font>
    <font>
      <sz val="11"/>
      <color theme="2" tint="-0.749961851863155"/>
      <name val="Calibri"/>
      <family val="2"/>
    </font>
    <font>
      <b/>
      <sz val="11"/>
      <color theme="2" tint="-0.749961851863155"/>
      <name val="Calibri"/>
      <family val="2"/>
    </font>
    <font>
      <b/>
      <sz val="13"/>
      <color theme="1"/>
      <name val="Calibri"/>
      <family val="2"/>
    </font>
    <font>
      <b/>
      <sz val="14"/>
      <color theme="2" tint="-0.749961851863155"/>
      <name val="Calibri"/>
      <family val="2"/>
    </font>
    <font>
      <b/>
      <sz val="14"/>
      <color theme="0"/>
      <name val="Calibri"/>
      <family val="2"/>
    </font>
    <font>
      <sz val="12"/>
      <color theme="1"/>
      <name val="Calibri"/>
      <family val="2"/>
    </font>
    <font>
      <b/>
      <sz val="11"/>
      <color theme="1"/>
      <name val="Calibri"/>
      <family val="2"/>
    </font>
    <font>
      <sz val="12"/>
      <color theme="2" tint="-0.749961851863155"/>
      <name val="Calibri"/>
      <family val="2"/>
    </font>
    <font>
      <sz val="14"/>
      <color theme="0"/>
      <name val="Calibri"/>
      <family val="2"/>
    </font>
    <font>
      <sz val="12"/>
      <color theme="0"/>
      <name val="Consolas"/>
      <family val="3"/>
    </font>
    <font>
      <sz val="14"/>
      <color rgb="FF002060"/>
      <name val="Consolas"/>
      <family val="3"/>
    </font>
    <font>
      <sz val="14"/>
      <color theme="2" tint="-0.749961851863155"/>
      <name val="Consolas"/>
      <family val="3"/>
    </font>
    <font>
      <b/>
      <sz val="14"/>
      <color rgb="FF002060"/>
      <name val="Consolas"/>
      <family val="3"/>
    </font>
    <font>
      <sz val="14"/>
      <color theme="1"/>
      <name val="Consolas"/>
      <family val="3"/>
    </font>
    <font>
      <sz val="16"/>
      <color theme="0"/>
      <name val="Calibri"/>
      <family val="2"/>
    </font>
    <font>
      <sz val="16"/>
      <color theme="1"/>
      <name val="Calibri"/>
      <family val="2"/>
    </font>
    <font>
      <sz val="16"/>
      <color theme="2" tint="-0.749961851863155"/>
      <name val="Calibri"/>
      <family val="2"/>
    </font>
    <font>
      <b/>
      <sz val="14"/>
      <color theme="0"/>
      <name val="Consolas"/>
      <family val="3"/>
    </font>
    <font>
      <sz val="14"/>
      <color rgb="FF322A77"/>
      <name val="Calibri"/>
      <family val="2"/>
    </font>
    <font>
      <sz val="14"/>
      <color theme="2" tint="-0.749961851863155"/>
      <name val="Calibri"/>
      <family val="2"/>
    </font>
    <font>
      <b/>
      <sz val="11"/>
      <color theme="1"/>
      <name val="Andale Mono"/>
      <family val="2"/>
    </font>
    <font>
      <sz val="12"/>
      <color rgb="FF322A77"/>
      <name val="Calibri"/>
      <family val="2"/>
    </font>
    <font>
      <b/>
      <sz val="12"/>
      <color theme="1"/>
      <name val="Calibri"/>
      <family val="2"/>
    </font>
    <font>
      <b/>
      <sz val="12"/>
      <color theme="2" tint="-0.749961851863155"/>
      <name val="Calibri"/>
      <family val="2"/>
    </font>
    <font>
      <b/>
      <sz val="14"/>
      <color rgb="FF000000"/>
      <name val="Calibri"/>
      <family val="2"/>
    </font>
    <font>
      <b/>
      <sz val="11"/>
      <color theme="2" tint="-0.749961851863155"/>
      <name val="Calibri Light"/>
      <family val="2"/>
      <scheme val="major"/>
    </font>
    <font>
      <u/>
      <sz val="14"/>
      <color rgb="FFFF0000"/>
      <name val="Consolas"/>
      <family val="2"/>
    </font>
    <font>
      <b/>
      <sz val="13"/>
      <color rgb="FF322A77"/>
      <name val="Calibri"/>
      <family val="2"/>
    </font>
    <font>
      <u/>
      <sz val="11"/>
      <color theme="10"/>
      <name val="Calibri Light"/>
      <family val="2"/>
      <scheme val="major"/>
    </font>
    <font>
      <b/>
      <sz val="11"/>
      <color rgb="FF002060"/>
      <name val="Calibri"/>
      <family val="2"/>
    </font>
    <font>
      <sz val="20"/>
      <color theme="2" tint="-0.749961851863155"/>
      <name val="Calibri Light"/>
      <family val="2"/>
      <scheme val="major"/>
    </font>
    <font>
      <sz val="24"/>
      <color theme="2" tint="-0.749961851863155"/>
      <name val="Calibri Light"/>
      <family val="2"/>
      <scheme val="major"/>
    </font>
    <font>
      <sz val="20"/>
      <color theme="1"/>
      <name val="Calibri"/>
      <family val="2"/>
      <scheme val="minor"/>
    </font>
    <font>
      <sz val="18"/>
      <color rgb="FFFFFFFF"/>
      <name val="Calibri"/>
      <family val="2"/>
    </font>
    <font>
      <b/>
      <sz val="16"/>
      <color theme="0"/>
      <name val="Calibri"/>
      <family val="2"/>
    </font>
    <font>
      <b/>
      <sz val="16"/>
      <color theme="1"/>
      <name val="Calibri"/>
      <family val="2"/>
    </font>
    <font>
      <b/>
      <sz val="16"/>
      <color rgb="FF002060"/>
      <name val="Calibri"/>
      <family val="2"/>
    </font>
    <font>
      <sz val="16"/>
      <color theme="2" tint="-0.749961851863155"/>
      <name val="Consolas"/>
      <family val="2"/>
    </font>
    <font>
      <b/>
      <sz val="16"/>
      <color theme="2" tint="-0.749961851863155"/>
      <name val="Calibri"/>
      <family val="2"/>
    </font>
    <font>
      <b/>
      <sz val="16"/>
      <color rgb="FF322A77"/>
      <name val="Calibri"/>
      <family val="2"/>
    </font>
    <font>
      <b/>
      <sz val="26"/>
      <color rgb="FFFFFF00"/>
      <name val="Calibri Light"/>
      <family val="2"/>
      <scheme val="major"/>
    </font>
    <font>
      <sz val="12"/>
      <color rgb="FF9C0006"/>
      <name val="Calibri"/>
      <family val="2"/>
      <scheme val="minor"/>
    </font>
    <font>
      <sz val="16"/>
      <color rgb="FFFF0000"/>
      <name val="Calibri"/>
      <family val="2"/>
    </font>
    <font>
      <sz val="16"/>
      <color theme="1"/>
      <name val="Consolas"/>
      <family val="2"/>
    </font>
    <font>
      <sz val="16"/>
      <color theme="1"/>
      <name val="Consolas"/>
      <family val="3"/>
    </font>
    <font>
      <b/>
      <sz val="22"/>
      <color rgb="FFFFFFFF"/>
      <name val="Calibri"/>
      <family val="2"/>
    </font>
    <font>
      <sz val="26"/>
      <color rgb="FF9C0006"/>
      <name val="Calibri"/>
      <family val="2"/>
      <scheme val="minor"/>
    </font>
    <font>
      <sz val="17"/>
      <color rgb="FF000000"/>
      <name val="Roboto"/>
    </font>
    <font>
      <sz val="28"/>
      <color rgb="FF4E42BC"/>
      <name val="Calibri"/>
      <family val="2"/>
    </font>
  </fonts>
  <fills count="30">
    <fill>
      <patternFill patternType="none"/>
    </fill>
    <fill>
      <patternFill patternType="gray125"/>
    </fill>
    <fill>
      <patternFill patternType="solid">
        <fgColor rgb="FF322A77"/>
        <bgColor indexed="64"/>
      </patternFill>
    </fill>
    <fill>
      <patternFill patternType="solid">
        <fgColor rgb="FF4E42BC"/>
        <bgColor indexed="64"/>
      </patternFill>
    </fill>
    <fill>
      <patternFill patternType="solid">
        <fgColor theme="1"/>
        <bgColor indexed="64"/>
      </patternFill>
    </fill>
    <fill>
      <patternFill patternType="solid">
        <fgColor theme="6"/>
        <bgColor indexed="64"/>
      </patternFill>
    </fill>
    <fill>
      <patternFill patternType="solid">
        <fgColor theme="4"/>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D9D9D9"/>
        <bgColor rgb="FFD9D9D9"/>
      </patternFill>
    </fill>
    <fill>
      <patternFill patternType="solid">
        <fgColor rgb="FFC6EFCE"/>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6" tint="-0.249977111117893"/>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6"/>
      </patternFill>
    </fill>
    <fill>
      <patternFill patternType="solid">
        <fgColor theme="6" tint="0.79998168889431442"/>
        <bgColor indexed="65"/>
      </patternFill>
    </fill>
    <fill>
      <patternFill patternType="solid">
        <fgColor rgb="FF322A77"/>
        <bgColor rgb="FF000000"/>
      </patternFill>
    </fill>
    <fill>
      <patternFill patternType="solid">
        <fgColor rgb="FFF2F2F2"/>
        <bgColor rgb="FF000000"/>
      </patternFill>
    </fill>
    <fill>
      <patternFill patternType="solid">
        <fgColor rgb="FFD9E1F2"/>
        <bgColor rgb="FF000000"/>
      </patternFill>
    </fill>
    <fill>
      <patternFill patternType="solid">
        <fgColor rgb="FFEDEDED"/>
        <bgColor rgb="FF000000"/>
      </patternFill>
    </fill>
    <fill>
      <patternFill patternType="solid">
        <fgColor theme="2"/>
        <bgColor indexed="64"/>
      </patternFill>
    </fill>
    <fill>
      <patternFill patternType="solid">
        <fgColor rgb="FFFFFFFF"/>
        <bgColor indexed="64"/>
      </patternFill>
    </fill>
    <fill>
      <patternFill patternType="solid">
        <fgColor rgb="FFC00000"/>
        <bgColor indexed="64"/>
      </patternFill>
    </fill>
    <fill>
      <patternFill patternType="solid">
        <fgColor rgb="FFFFC7CE"/>
      </patternFill>
    </fill>
  </fills>
  <borders count="37">
    <border>
      <left/>
      <right/>
      <top/>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rgb="FF7F7F7F"/>
      </right>
      <top style="thin">
        <color rgb="FF7F7F7F"/>
      </top>
      <bottom style="thin">
        <color rgb="FF7F7F7F"/>
      </bottom>
      <diagonal/>
    </border>
    <border>
      <left style="thin">
        <color rgb="FF7F7F7F"/>
      </left>
      <right style="medium">
        <color indexed="64"/>
      </right>
      <top style="thin">
        <color rgb="FF7F7F7F"/>
      </top>
      <bottom style="thin">
        <color rgb="FF7F7F7F"/>
      </bottom>
      <diagonal/>
    </border>
    <border>
      <left style="medium">
        <color indexed="64"/>
      </left>
      <right style="thin">
        <color rgb="FF7F7F7F"/>
      </right>
      <top/>
      <bottom style="thin">
        <color rgb="FF7F7F7F"/>
      </bottom>
      <diagonal/>
    </border>
    <border>
      <left/>
      <right/>
      <top/>
      <bottom style="thin">
        <color rgb="FF7F7F7F"/>
      </bottom>
      <diagonal/>
    </border>
    <border>
      <left/>
      <right/>
      <top style="medium">
        <color indexed="64"/>
      </top>
      <bottom/>
      <diagonal/>
    </border>
    <border>
      <left/>
      <right/>
      <top style="thin">
        <color rgb="FF7F7F7F"/>
      </top>
      <bottom style="thin">
        <color rgb="FF7F7F7F"/>
      </bottom>
      <diagonal/>
    </border>
    <border>
      <left style="double">
        <color indexed="64"/>
      </left>
      <right style="double">
        <color indexed="64"/>
      </right>
      <top style="double">
        <color indexed="64"/>
      </top>
      <bottom style="double">
        <color indexed="64"/>
      </bottom>
      <diagonal/>
    </border>
    <border>
      <left/>
      <right style="thin">
        <color rgb="FF000000"/>
      </right>
      <top/>
      <bottom/>
      <diagonal/>
    </border>
    <border>
      <left style="thin">
        <color rgb="FF7F7F7F"/>
      </left>
      <right style="thin">
        <color rgb="FF7F7F7F"/>
      </right>
      <top/>
      <bottom style="thin">
        <color rgb="FF7F7F7F"/>
      </bottom>
      <diagonal/>
    </border>
    <border>
      <left style="thin">
        <color rgb="FF322A77"/>
      </left>
      <right style="thin">
        <color rgb="FF322A77"/>
      </right>
      <top style="thin">
        <color rgb="FF322A77"/>
      </top>
      <bottom style="thin">
        <color rgb="FF322A77"/>
      </bottom>
      <diagonal/>
    </border>
    <border>
      <left/>
      <right/>
      <top style="thin">
        <color theme="1"/>
      </top>
      <bottom style="thin">
        <color theme="1"/>
      </bottom>
      <diagonal/>
    </border>
    <border>
      <left style="medium">
        <color indexed="64"/>
      </left>
      <right/>
      <top style="thin">
        <color rgb="FF7F7F7F"/>
      </top>
      <bottom style="thin">
        <color rgb="FF7F7F7F"/>
      </bottom>
      <diagonal/>
    </border>
    <border>
      <left/>
      <right style="thin">
        <color indexed="64"/>
      </right>
      <top style="thin">
        <color indexed="64"/>
      </top>
      <bottom style="thin">
        <color indexed="64"/>
      </bottom>
      <diagonal/>
    </border>
    <border>
      <left style="thin">
        <color rgb="FF7F7F7F"/>
      </left>
      <right/>
      <top style="thin">
        <color rgb="FF7F7F7F"/>
      </top>
      <bottom/>
      <diagonal/>
    </border>
    <border>
      <left/>
      <right style="thin">
        <color rgb="FF7F7F7F"/>
      </right>
      <top style="thin">
        <color rgb="FF7F7F7F"/>
      </top>
      <bottom/>
      <diagonal/>
    </border>
    <border>
      <left style="thin">
        <color rgb="FF7F7F7F"/>
      </left>
      <right style="thin">
        <color rgb="FF7F7F7F"/>
      </right>
      <top style="thin">
        <color rgb="FF7F7F7F"/>
      </top>
      <bottom/>
      <diagonal/>
    </border>
    <border>
      <left style="thin">
        <color rgb="FF7F7F7F"/>
      </left>
      <right/>
      <top/>
      <bottom style="thin">
        <color rgb="FF7F7F7F"/>
      </bottom>
      <diagonal/>
    </border>
    <border>
      <left/>
      <right style="thin">
        <color rgb="FF7F7F7F"/>
      </right>
      <top/>
      <bottom style="thin">
        <color rgb="FF7F7F7F"/>
      </bottom>
      <diagonal/>
    </border>
    <border>
      <left style="thin">
        <color rgb="FF7F7F7F"/>
      </left>
      <right/>
      <top/>
      <bottom/>
      <diagonal/>
    </border>
    <border>
      <left/>
      <right style="thin">
        <color rgb="FF7F7F7F"/>
      </right>
      <top/>
      <bottom/>
      <diagonal/>
    </border>
    <border>
      <left style="thin">
        <color indexed="64"/>
      </left>
      <right style="thin">
        <color indexed="64"/>
      </right>
      <top/>
      <bottom style="thin">
        <color indexed="64"/>
      </bottom>
      <diagonal/>
    </border>
    <border>
      <left style="thin">
        <color rgb="FF7F7F7F"/>
      </left>
      <right style="thin">
        <color rgb="FF000000"/>
      </right>
      <top style="thin">
        <color rgb="FF7F7F7F"/>
      </top>
      <bottom style="thin">
        <color rgb="FF7F7F7F"/>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s>
  <cellStyleXfs count="11">
    <xf numFmtId="0" fontId="0" fillId="0" borderId="0"/>
    <xf numFmtId="0" fontId="12" fillId="7" borderId="1" applyNumberFormat="0" applyAlignment="0" applyProtection="0"/>
    <xf numFmtId="44" fontId="2" fillId="0" borderId="0" applyFont="0" applyFill="0" applyBorder="0" applyAlignment="0" applyProtection="0"/>
    <xf numFmtId="9" fontId="2" fillId="0" borderId="0" applyFont="0" applyFill="0" applyBorder="0" applyAlignment="0" applyProtection="0"/>
    <xf numFmtId="0" fontId="13" fillId="8" borderId="1" applyNumberFormat="0" applyAlignment="0" applyProtection="0"/>
    <xf numFmtId="43" fontId="2" fillId="0" borderId="0" applyFont="0" applyFill="0" applyBorder="0" applyAlignment="0" applyProtection="0"/>
    <xf numFmtId="0" fontId="5" fillId="10" borderId="0" applyNumberFormat="0" applyBorder="0" applyAlignment="0" applyProtection="0"/>
    <xf numFmtId="0" fontId="11" fillId="20" borderId="0" applyNumberFormat="0" applyBorder="0" applyAlignment="0" applyProtection="0"/>
    <xf numFmtId="0" fontId="1" fillId="21" borderId="0" applyNumberFormat="0" applyBorder="0" applyAlignment="0" applyProtection="0"/>
    <xf numFmtId="0" fontId="81" fillId="0" borderId="0" applyNumberFormat="0" applyFill="0" applyBorder="0" applyAlignment="0" applyProtection="0"/>
    <xf numFmtId="0" fontId="94" fillId="29" borderId="0" applyNumberFormat="0" applyBorder="0" applyAlignment="0" applyProtection="0"/>
  </cellStyleXfs>
  <cellXfs count="325">
    <xf numFmtId="0" fontId="0" fillId="0" borderId="0" xfId="0"/>
    <xf numFmtId="44" fontId="0" fillId="0" borderId="0" xfId="2" applyFont="1"/>
    <xf numFmtId="44" fontId="4" fillId="2" borderId="0" xfId="0" applyNumberFormat="1" applyFont="1" applyFill="1" applyAlignment="1">
      <alignment horizontal="center" vertical="center" wrapText="1"/>
    </xf>
    <xf numFmtId="9" fontId="0" fillId="0" borderId="0" xfId="3" applyFont="1"/>
    <xf numFmtId="0" fontId="0" fillId="0" borderId="0" xfId="0" applyAlignment="1">
      <alignment horizontal="right"/>
    </xf>
    <xf numFmtId="43" fontId="0" fillId="0" borderId="0" xfId="5" applyFont="1"/>
    <xf numFmtId="14" fontId="0" fillId="0" borderId="0" xfId="0" applyNumberFormat="1"/>
    <xf numFmtId="168" fontId="0" fillId="0" borderId="0" xfId="0" applyNumberFormat="1"/>
    <xf numFmtId="169" fontId="0" fillId="0" borderId="0" xfId="0" applyNumberFormat="1"/>
    <xf numFmtId="0" fontId="0" fillId="0" borderId="0" xfId="2" applyNumberFormat="1" applyFont="1"/>
    <xf numFmtId="170" fontId="0" fillId="0" borderId="0" xfId="0" applyNumberFormat="1"/>
    <xf numFmtId="0" fontId="6" fillId="11" borderId="4" xfId="0" applyFont="1" applyFill="1" applyBorder="1" applyAlignment="1">
      <alignment horizontal="center" vertical="center"/>
    </xf>
    <xf numFmtId="0" fontId="6" fillId="12" borderId="4" xfId="0" applyFont="1" applyFill="1" applyBorder="1" applyAlignment="1">
      <alignment horizontal="center" vertical="center"/>
    </xf>
    <xf numFmtId="0" fontId="6" fillId="13" borderId="4" xfId="0" applyFont="1" applyFill="1" applyBorder="1" applyAlignment="1">
      <alignment horizontal="center" vertical="center"/>
    </xf>
    <xf numFmtId="0" fontId="6" fillId="14" borderId="4" xfId="0" applyFont="1" applyFill="1" applyBorder="1" applyAlignment="1">
      <alignment horizontal="center" vertical="center"/>
    </xf>
    <xf numFmtId="0" fontId="6" fillId="15" borderId="4" xfId="0" applyFont="1" applyFill="1" applyBorder="1" applyAlignment="1">
      <alignment horizontal="center" vertical="center"/>
    </xf>
    <xf numFmtId="0" fontId="6" fillId="16" borderId="4" xfId="0" applyFont="1" applyFill="1" applyBorder="1" applyAlignment="1">
      <alignment horizontal="center" vertical="center"/>
    </xf>
    <xf numFmtId="0" fontId="6" fillId="17" borderId="4" xfId="0" applyFont="1" applyFill="1" applyBorder="1" applyAlignment="1">
      <alignment horizontal="center" vertical="center"/>
    </xf>
    <xf numFmtId="0" fontId="6" fillId="18" borderId="4" xfId="0" applyFont="1" applyFill="1" applyBorder="1" applyAlignment="1">
      <alignment horizontal="center" vertical="center"/>
    </xf>
    <xf numFmtId="0" fontId="6" fillId="19" borderId="4" xfId="0" applyFont="1" applyFill="1" applyBorder="1" applyAlignment="1">
      <alignment horizontal="center" vertical="center"/>
    </xf>
    <xf numFmtId="0" fontId="7" fillId="0" borderId="0" xfId="0" applyFont="1"/>
    <xf numFmtId="10" fontId="7" fillId="0" borderId="0" xfId="3" applyNumberFormat="1" applyFont="1"/>
    <xf numFmtId="9" fontId="7" fillId="0" borderId="0" xfId="3" applyFont="1"/>
    <xf numFmtId="3" fontId="7" fillId="0" borderId="0" xfId="0" applyNumberFormat="1" applyFont="1"/>
    <xf numFmtId="0" fontId="8" fillId="9" borderId="0" xfId="0" applyFont="1" applyFill="1"/>
    <xf numFmtId="0" fontId="8" fillId="0" borderId="0" xfId="0" applyFont="1"/>
    <xf numFmtId="10" fontId="7" fillId="0" borderId="0" xfId="0" applyNumberFormat="1" applyFont="1"/>
    <xf numFmtId="0" fontId="9" fillId="10" borderId="1" xfId="6" applyFont="1" applyBorder="1"/>
    <xf numFmtId="0" fontId="10" fillId="0" borderId="0" xfId="0" applyFont="1"/>
    <xf numFmtId="44" fontId="10" fillId="0" borderId="0" xfId="2" applyFont="1"/>
    <xf numFmtId="0" fontId="13" fillId="8" borderId="1" xfId="4" applyAlignment="1">
      <alignment horizontal="center" vertical="center"/>
    </xf>
    <xf numFmtId="0" fontId="15" fillId="22" borderId="0" xfId="0" applyFont="1" applyFill="1" applyAlignment="1">
      <alignment horizontal="center" vertical="center"/>
    </xf>
    <xf numFmtId="0" fontId="15" fillId="22" borderId="3" xfId="0" applyFont="1" applyFill="1" applyBorder="1" applyAlignment="1">
      <alignment horizontal="center" vertical="center"/>
    </xf>
    <xf numFmtId="0" fontId="15" fillId="22" borderId="0" xfId="0" applyFont="1" applyFill="1" applyAlignment="1">
      <alignment horizontal="center" vertical="center" wrapText="1"/>
    </xf>
    <xf numFmtId="0" fontId="15" fillId="22" borderId="3" xfId="0" applyFont="1" applyFill="1" applyBorder="1" applyAlignment="1">
      <alignment horizontal="left" vertical="center" wrapText="1"/>
    </xf>
    <xf numFmtId="0" fontId="17" fillId="24" borderId="6" xfId="0" applyFont="1" applyFill="1" applyBorder="1" applyAlignment="1">
      <alignment horizontal="center" vertical="center"/>
    </xf>
    <xf numFmtId="9" fontId="16" fillId="23" borderId="1" xfId="0" applyNumberFormat="1" applyFont="1" applyFill="1" applyBorder="1" applyAlignment="1">
      <alignment horizontal="center" vertical="center"/>
    </xf>
    <xf numFmtId="9" fontId="17" fillId="24" borderId="6" xfId="0" applyNumberFormat="1" applyFont="1" applyFill="1" applyBorder="1" applyAlignment="1">
      <alignment horizontal="center" vertical="center"/>
    </xf>
    <xf numFmtId="9" fontId="17" fillId="24" borderId="6" xfId="3" applyFont="1" applyFill="1" applyBorder="1" applyAlignment="1">
      <alignment horizontal="center" vertical="center"/>
    </xf>
    <xf numFmtId="10" fontId="0" fillId="0" borderId="0" xfId="3" applyNumberFormat="1" applyFont="1"/>
    <xf numFmtId="1" fontId="16" fillId="23" borderId="1" xfId="0" applyNumberFormat="1" applyFont="1" applyFill="1" applyBorder="1" applyAlignment="1">
      <alignment horizontal="center" vertical="center"/>
    </xf>
    <xf numFmtId="168" fontId="17" fillId="24" borderId="6" xfId="0" applyNumberFormat="1" applyFont="1" applyFill="1" applyBorder="1" applyAlignment="1">
      <alignment horizontal="center" vertical="center"/>
    </xf>
    <xf numFmtId="171" fontId="16" fillId="23" borderId="1" xfId="0" applyNumberFormat="1" applyFont="1" applyFill="1" applyBorder="1" applyAlignment="1">
      <alignment horizontal="center" vertical="center"/>
    </xf>
    <xf numFmtId="171" fontId="17" fillId="24" borderId="6" xfId="0" applyNumberFormat="1" applyFont="1" applyFill="1" applyBorder="1" applyAlignment="1">
      <alignment horizontal="center" vertical="center"/>
    </xf>
    <xf numFmtId="0" fontId="12" fillId="7" borderId="1" xfId="1"/>
    <xf numFmtId="168" fontId="12" fillId="7" borderId="1" xfId="1" applyNumberFormat="1"/>
    <xf numFmtId="0" fontId="13" fillId="8" borderId="1" xfId="4"/>
    <xf numFmtId="9" fontId="12" fillId="7" borderId="1" xfId="1" applyNumberFormat="1"/>
    <xf numFmtId="0" fontId="18" fillId="22" borderId="0" xfId="0" applyFont="1" applyFill="1" applyAlignment="1">
      <alignment horizontal="center" vertical="center"/>
    </xf>
    <xf numFmtId="0" fontId="18" fillId="22" borderId="0" xfId="0" applyFont="1" applyFill="1" applyAlignment="1">
      <alignment horizontal="right" vertical="center"/>
    </xf>
    <xf numFmtId="0" fontId="18" fillId="22" borderId="0" xfId="0" applyFont="1" applyFill="1" applyAlignment="1">
      <alignment horizontal="right" vertical="center" wrapText="1"/>
    </xf>
    <xf numFmtId="0" fontId="18" fillId="22" borderId="3" xfId="0" applyFont="1" applyFill="1" applyBorder="1" applyAlignment="1">
      <alignment horizontal="right" vertical="center" wrapText="1"/>
    </xf>
    <xf numFmtId="0" fontId="21" fillId="0" borderId="0" xfId="0" applyFont="1"/>
    <xf numFmtId="168" fontId="18" fillId="22" borderId="0" xfId="0" applyNumberFormat="1" applyFont="1" applyFill="1" applyAlignment="1">
      <alignment horizontal="center" vertical="center"/>
    </xf>
    <xf numFmtId="1" fontId="19" fillId="21" borderId="4" xfId="8" applyNumberFormat="1" applyFont="1" applyBorder="1" applyAlignment="1">
      <alignment horizontal="center"/>
    </xf>
    <xf numFmtId="1" fontId="20" fillId="7" borderId="19" xfId="1" applyNumberFormat="1" applyFont="1" applyBorder="1" applyAlignment="1">
      <alignment horizontal="center"/>
    </xf>
    <xf numFmtId="0" fontId="20" fillId="7" borderId="1" xfId="1" applyFont="1" applyAlignment="1">
      <alignment horizontal="center"/>
    </xf>
    <xf numFmtId="171" fontId="19" fillId="21" borderId="4" xfId="8" applyNumberFormat="1" applyFont="1" applyBorder="1" applyAlignment="1">
      <alignment horizontal="center"/>
    </xf>
    <xf numFmtId="171" fontId="20" fillId="7" borderId="19" xfId="1" applyNumberFormat="1" applyFont="1" applyBorder="1" applyAlignment="1">
      <alignment horizontal="center"/>
    </xf>
    <xf numFmtId="168" fontId="20" fillId="7" borderId="1" xfId="1" applyNumberFormat="1" applyFont="1" applyAlignment="1">
      <alignment horizontal="center"/>
    </xf>
    <xf numFmtId="0" fontId="21" fillId="0" borderId="0" xfId="0" applyFont="1" applyAlignment="1">
      <alignment horizontal="center"/>
    </xf>
    <xf numFmtId="166" fontId="22" fillId="25" borderId="4" xfId="0" applyNumberFormat="1" applyFont="1" applyFill="1" applyBorder="1" applyAlignment="1">
      <alignment horizontal="center"/>
    </xf>
    <xf numFmtId="0" fontId="23" fillId="22" borderId="0" xfId="0" applyFont="1" applyFill="1" applyAlignment="1">
      <alignment horizontal="right" vertical="center"/>
    </xf>
    <xf numFmtId="0" fontId="24" fillId="22" borderId="0" xfId="0" applyFont="1" applyFill="1" applyAlignment="1">
      <alignment horizontal="right" vertical="center" wrapText="1"/>
    </xf>
    <xf numFmtId="1" fontId="22" fillId="25" borderId="20" xfId="0" applyNumberFormat="1" applyFont="1" applyFill="1" applyBorder="1" applyAlignment="1">
      <alignment horizontal="center" vertical="center"/>
    </xf>
    <xf numFmtId="171" fontId="22" fillId="25" borderId="20" xfId="0" applyNumberFormat="1" applyFont="1" applyFill="1" applyBorder="1" applyAlignment="1">
      <alignment horizontal="center" vertical="center"/>
    </xf>
    <xf numFmtId="1" fontId="25" fillId="24" borderId="20" xfId="0" applyNumberFormat="1" applyFont="1" applyFill="1" applyBorder="1" applyAlignment="1">
      <alignment horizontal="center" vertical="center"/>
    </xf>
    <xf numFmtId="171" fontId="25" fillId="24" borderId="20" xfId="0" applyNumberFormat="1" applyFont="1" applyFill="1" applyBorder="1" applyAlignment="1">
      <alignment horizontal="center" vertical="center"/>
    </xf>
    <xf numFmtId="0" fontId="28" fillId="7" borderId="1" xfId="1" applyFont="1" applyAlignment="1">
      <alignment horizontal="center" vertical="center"/>
    </xf>
    <xf numFmtId="168" fontId="28" fillId="7" borderId="1" xfId="1" applyNumberFormat="1" applyFont="1" applyAlignment="1">
      <alignment horizontal="center" vertical="center"/>
    </xf>
    <xf numFmtId="0" fontId="29" fillId="0" borderId="0" xfId="0" applyFont="1"/>
    <xf numFmtId="0" fontId="30" fillId="0" borderId="0" xfId="0" applyFont="1" applyAlignment="1">
      <alignment vertical="center"/>
    </xf>
    <xf numFmtId="0" fontId="27" fillId="0" borderId="0" xfId="0" applyFont="1" applyAlignment="1">
      <alignment vertical="center"/>
    </xf>
    <xf numFmtId="0" fontId="27" fillId="0" borderId="0" xfId="0" applyFont="1"/>
    <xf numFmtId="0" fontId="26" fillId="8" borderId="1" xfId="4" applyFont="1" applyAlignment="1">
      <alignment wrapText="1"/>
    </xf>
    <xf numFmtId="0" fontId="26" fillId="8" borderId="1" xfId="4" applyFont="1" applyAlignment="1">
      <alignment vertical="center" wrapText="1"/>
    </xf>
    <xf numFmtId="0" fontId="29" fillId="0" borderId="0" xfId="0" applyFont="1" applyAlignment="1">
      <alignment horizontal="center" vertical="center"/>
    </xf>
    <xf numFmtId="0" fontId="29" fillId="0" borderId="9" xfId="0" applyFont="1" applyBorder="1" applyAlignment="1">
      <alignment horizontal="center" vertical="center"/>
    </xf>
    <xf numFmtId="0" fontId="29" fillId="0" borderId="10" xfId="0" applyFont="1" applyBorder="1" applyAlignment="1">
      <alignment horizontal="center" vertical="center"/>
    </xf>
    <xf numFmtId="168" fontId="29" fillId="0" borderId="0" xfId="0" applyNumberFormat="1" applyFont="1"/>
    <xf numFmtId="168" fontId="33" fillId="7" borderId="5" xfId="1" applyNumberFormat="1" applyFont="1" applyBorder="1" applyAlignment="1">
      <alignment horizontal="right" vertical="center"/>
    </xf>
    <xf numFmtId="171" fontId="33" fillId="7" borderId="5" xfId="1" applyNumberFormat="1" applyFont="1" applyBorder="1" applyAlignment="1">
      <alignment horizontal="right" vertical="center"/>
    </xf>
    <xf numFmtId="171" fontId="34" fillId="0" borderId="0" xfId="2" applyNumberFormat="1" applyFont="1" applyBorder="1" applyAlignment="1">
      <alignment horizontal="right" vertical="center"/>
    </xf>
    <xf numFmtId="44" fontId="33" fillId="7" borderId="6" xfId="1" applyNumberFormat="1" applyFont="1" applyBorder="1" applyAlignment="1">
      <alignment horizontal="center" vertical="center"/>
    </xf>
    <xf numFmtId="44" fontId="33" fillId="7" borderId="1" xfId="1" applyNumberFormat="1" applyFont="1" applyAlignment="1">
      <alignment horizontal="center" vertical="center"/>
    </xf>
    <xf numFmtId="44" fontId="35" fillId="7" borderId="13" xfId="1" applyNumberFormat="1" applyFont="1" applyBorder="1" applyAlignment="1">
      <alignment horizontal="center" vertical="center"/>
    </xf>
    <xf numFmtId="44" fontId="35" fillId="7" borderId="14" xfId="1" applyNumberFormat="1" applyFont="1" applyBorder="1" applyAlignment="1">
      <alignment horizontal="center" vertical="center"/>
    </xf>
    <xf numFmtId="10" fontId="35" fillId="7" borderId="12" xfId="1" applyNumberFormat="1" applyFont="1" applyBorder="1" applyAlignment="1">
      <alignment horizontal="center" vertical="center"/>
    </xf>
    <xf numFmtId="165" fontId="33" fillId="7" borderId="6" xfId="1" applyNumberFormat="1" applyFont="1" applyBorder="1" applyAlignment="1">
      <alignment horizontal="center" vertical="center"/>
    </xf>
    <xf numFmtId="165" fontId="33" fillId="7" borderId="1" xfId="1" applyNumberFormat="1" applyFont="1" applyAlignment="1">
      <alignment horizontal="center" vertical="center"/>
    </xf>
    <xf numFmtId="165" fontId="34" fillId="0" borderId="0" xfId="0" applyNumberFormat="1" applyFont="1"/>
    <xf numFmtId="44" fontId="34" fillId="0" borderId="9" xfId="2" applyFont="1" applyBorder="1"/>
    <xf numFmtId="44" fontId="34" fillId="0" borderId="0" xfId="2" applyFont="1" applyBorder="1"/>
    <xf numFmtId="10" fontId="34" fillId="0" borderId="10" xfId="3" applyNumberFormat="1" applyFont="1" applyBorder="1"/>
    <xf numFmtId="44" fontId="36" fillId="7" borderId="5" xfId="1" applyNumberFormat="1" applyFont="1" applyBorder="1" applyAlignment="1">
      <alignment horizontal="center" vertical="center"/>
    </xf>
    <xf numFmtId="165" fontId="36" fillId="7" borderId="5" xfId="1" applyNumberFormat="1" applyFont="1" applyBorder="1" applyAlignment="1">
      <alignment horizontal="center" vertical="center"/>
    </xf>
    <xf numFmtId="0" fontId="37" fillId="8" borderId="1" xfId="4" applyFont="1" applyAlignment="1">
      <alignment horizontal="center" vertical="center"/>
    </xf>
    <xf numFmtId="1" fontId="37" fillId="8" borderId="1" xfId="4" applyNumberFormat="1" applyFont="1" applyAlignment="1">
      <alignment horizontal="center" vertical="center"/>
    </xf>
    <xf numFmtId="0" fontId="38" fillId="8" borderId="6" xfId="4" applyFont="1" applyBorder="1" applyAlignment="1">
      <alignment horizontal="center" vertical="center"/>
    </xf>
    <xf numFmtId="0" fontId="38" fillId="8" borderId="1" xfId="4" applyFont="1" applyAlignment="1">
      <alignment horizontal="center" vertical="center"/>
    </xf>
    <xf numFmtId="10" fontId="39" fillId="0" borderId="0" xfId="3" applyNumberFormat="1" applyFont="1" applyBorder="1"/>
    <xf numFmtId="0" fontId="39" fillId="0" borderId="0" xfId="0" applyFont="1"/>
    <xf numFmtId="0" fontId="36" fillId="7" borderId="1" xfId="1" applyFont="1" applyAlignment="1">
      <alignment horizontal="center" vertical="center"/>
    </xf>
    <xf numFmtId="0" fontId="40" fillId="7" borderId="1" xfId="1" applyFont="1" applyAlignment="1">
      <alignment horizontal="center" vertical="center"/>
    </xf>
    <xf numFmtId="0" fontId="41" fillId="0" borderId="0" xfId="0" applyFont="1"/>
    <xf numFmtId="0" fontId="41" fillId="0" borderId="3" xfId="0" applyFont="1" applyBorder="1"/>
    <xf numFmtId="0" fontId="42" fillId="2" borderId="2" xfId="0" applyFont="1" applyFill="1" applyBorder="1" applyAlignment="1">
      <alignment horizontal="center" vertical="center"/>
    </xf>
    <xf numFmtId="0" fontId="31" fillId="2" borderId="0" xfId="0" applyFont="1" applyFill="1" applyAlignment="1">
      <alignment horizontal="center" vertical="center" wrapText="1"/>
    </xf>
    <xf numFmtId="0" fontId="32" fillId="2" borderId="0" xfId="0" applyFont="1" applyFill="1" applyAlignment="1">
      <alignment horizontal="center" vertical="center" wrapText="1"/>
    </xf>
    <xf numFmtId="0" fontId="32" fillId="2" borderId="0" xfId="0" applyFont="1" applyFill="1" applyAlignment="1">
      <alignment horizontal="center" vertical="center"/>
    </xf>
    <xf numFmtId="0" fontId="32" fillId="2" borderId="3" xfId="0" applyFont="1" applyFill="1" applyBorder="1" applyAlignment="1">
      <alignment horizontal="center" vertical="center"/>
    </xf>
    <xf numFmtId="0" fontId="32" fillId="2" borderId="3" xfId="0" applyFont="1" applyFill="1" applyBorder="1" applyAlignment="1">
      <alignment horizontal="left" vertical="center" wrapText="1"/>
    </xf>
    <xf numFmtId="9" fontId="44" fillId="5" borderId="9" xfId="3" applyFont="1" applyFill="1" applyBorder="1" applyAlignment="1">
      <alignment horizontal="center" vertical="center" wrapText="1"/>
    </xf>
    <xf numFmtId="168" fontId="44" fillId="5" borderId="9" xfId="3" applyNumberFormat="1" applyFont="1" applyFill="1" applyBorder="1" applyAlignment="1">
      <alignment horizontal="center" vertical="center" wrapText="1"/>
    </xf>
    <xf numFmtId="0" fontId="45" fillId="0" borderId="0" xfId="0" applyFont="1" applyAlignment="1">
      <alignment horizontal="center" vertical="center"/>
    </xf>
    <xf numFmtId="0" fontId="47" fillId="2" borderId="0" xfId="0" applyFont="1" applyFill="1" applyAlignment="1">
      <alignment horizontal="center" vertical="center" wrapText="1"/>
    </xf>
    <xf numFmtId="0" fontId="47" fillId="20" borderId="0" xfId="7" applyFont="1" applyBorder="1" applyAlignment="1">
      <alignment horizontal="center" vertical="center" wrapText="1"/>
    </xf>
    <xf numFmtId="0" fontId="47" fillId="20" borderId="0" xfId="7" applyFont="1" applyBorder="1" applyAlignment="1">
      <alignment horizontal="center" vertical="center" textRotation="90" wrapText="1"/>
    </xf>
    <xf numFmtId="0" fontId="48" fillId="2" borderId="0" xfId="0" applyFont="1" applyFill="1" applyAlignment="1">
      <alignment horizontal="center" vertical="center" textRotation="90"/>
    </xf>
    <xf numFmtId="0" fontId="48" fillId="2" borderId="0" xfId="0" applyFont="1" applyFill="1" applyAlignment="1">
      <alignment horizontal="center" vertical="center" wrapText="1"/>
    </xf>
    <xf numFmtId="0" fontId="49" fillId="8" borderId="1" xfId="4" applyFont="1" applyAlignment="1">
      <alignment horizontal="center" vertical="center"/>
    </xf>
    <xf numFmtId="0" fontId="49" fillId="8" borderId="1" xfId="4" applyNumberFormat="1" applyFont="1" applyAlignment="1">
      <alignment horizontal="center" vertical="center"/>
    </xf>
    <xf numFmtId="0" fontId="50" fillId="7" borderId="1" xfId="1" applyFont="1" applyAlignment="1">
      <alignment horizontal="center" vertical="center"/>
    </xf>
    <xf numFmtId="0" fontId="51" fillId="8" borderId="1" xfId="4" applyFont="1" applyAlignment="1">
      <alignment horizontal="center" vertical="center" wrapText="1"/>
    </xf>
    <xf numFmtId="0" fontId="49" fillId="8" borderId="1" xfId="4" applyFont="1" applyAlignment="1">
      <alignment horizontal="left" vertical="center" wrapText="1"/>
    </xf>
    <xf numFmtId="0" fontId="52" fillId="8" borderId="1" xfId="4" applyFont="1" applyAlignment="1">
      <alignment horizontal="center" vertical="center"/>
    </xf>
    <xf numFmtId="0" fontId="52" fillId="8" borderId="1" xfId="4" applyNumberFormat="1" applyFont="1" applyAlignment="1">
      <alignment horizontal="center" vertical="center"/>
    </xf>
    <xf numFmtId="0" fontId="54" fillId="0" borderId="0" xfId="0" applyFont="1" applyAlignment="1">
      <alignment horizontal="center" vertical="center"/>
    </xf>
    <xf numFmtId="0" fontId="53" fillId="0" borderId="0" xfId="0" applyFont="1" applyAlignment="1">
      <alignment horizontal="center" vertical="center"/>
    </xf>
    <xf numFmtId="0" fontId="55" fillId="0" borderId="0" xfId="0" applyFont="1" applyAlignment="1">
      <alignment horizontal="center"/>
    </xf>
    <xf numFmtId="0" fontId="51" fillId="0" borderId="0" xfId="0" applyFont="1" applyAlignment="1">
      <alignment horizontal="center" vertical="center"/>
    </xf>
    <xf numFmtId="15" fontId="57" fillId="2" borderId="0" xfId="0" applyNumberFormat="1" applyFont="1" applyFill="1" applyAlignment="1">
      <alignment horizontal="center" vertical="center"/>
    </xf>
    <xf numFmtId="15" fontId="57" fillId="6" borderId="3" xfId="0" applyNumberFormat="1" applyFont="1" applyFill="1" applyBorder="1" applyAlignment="1">
      <alignment horizontal="center" vertical="center"/>
    </xf>
    <xf numFmtId="15" fontId="57" fillId="3" borderId="0" xfId="0" applyNumberFormat="1" applyFont="1" applyFill="1" applyAlignment="1">
      <alignment horizontal="center" vertical="center" wrapText="1"/>
    </xf>
    <xf numFmtId="15" fontId="57" fillId="5" borderId="0" xfId="0" applyNumberFormat="1" applyFont="1" applyFill="1" applyAlignment="1">
      <alignment horizontal="center" vertical="center" wrapText="1"/>
    </xf>
    <xf numFmtId="165" fontId="48" fillId="2" borderId="0" xfId="0" applyNumberFormat="1" applyFont="1" applyFill="1" applyAlignment="1">
      <alignment horizontal="center" vertical="center" wrapText="1"/>
    </xf>
    <xf numFmtId="15" fontId="48" fillId="2" borderId="0" xfId="0" applyNumberFormat="1" applyFont="1" applyFill="1" applyAlignment="1">
      <alignment horizontal="center" vertical="center" wrapText="1"/>
    </xf>
    <xf numFmtId="15" fontId="48" fillId="6" borderId="10" xfId="0" applyNumberFormat="1" applyFont="1" applyFill="1" applyBorder="1" applyAlignment="1">
      <alignment horizontal="center" vertical="center"/>
    </xf>
    <xf numFmtId="15" fontId="48" fillId="3" borderId="0" xfId="0" applyNumberFormat="1" applyFont="1" applyFill="1" applyAlignment="1">
      <alignment horizontal="center" vertical="center" wrapText="1"/>
    </xf>
    <xf numFmtId="15" fontId="48" fillId="5" borderId="0" xfId="0" applyNumberFormat="1" applyFont="1" applyFill="1" applyAlignment="1">
      <alignment horizontal="center" vertical="center" wrapText="1"/>
    </xf>
    <xf numFmtId="15" fontId="48" fillId="4" borderId="9" xfId="0" applyNumberFormat="1" applyFont="1" applyFill="1" applyBorder="1" applyAlignment="1">
      <alignment horizontal="center" vertical="center" wrapText="1"/>
    </xf>
    <xf numFmtId="15" fontId="49" fillId="8" borderId="1" xfId="4" applyNumberFormat="1" applyFont="1" applyAlignment="1">
      <alignment horizontal="center" vertical="center" wrapText="1"/>
    </xf>
    <xf numFmtId="15" fontId="49" fillId="8" borderId="1" xfId="4" applyNumberFormat="1" applyFont="1" applyAlignment="1">
      <alignment horizontal="center" vertical="center"/>
    </xf>
    <xf numFmtId="0" fontId="58" fillId="8" borderId="1" xfId="4" applyFont="1" applyAlignment="1">
      <alignment horizontal="left" wrapText="1"/>
    </xf>
    <xf numFmtId="0" fontId="58" fillId="8" borderId="1" xfId="4" applyFont="1" applyAlignment="1">
      <alignment horizontal="left" vertical="top" wrapText="1"/>
    </xf>
    <xf numFmtId="0" fontId="58" fillId="8" borderId="1" xfId="4" applyFont="1" applyAlignment="1">
      <alignment horizontal="left" vertical="center" wrapText="1"/>
    </xf>
    <xf numFmtId="15" fontId="52" fillId="8" borderId="1" xfId="4" applyNumberFormat="1" applyFont="1" applyAlignment="1">
      <alignment horizontal="center" vertical="center" wrapText="1"/>
    </xf>
    <xf numFmtId="15" fontId="52" fillId="8" borderId="1" xfId="4" applyNumberFormat="1" applyFont="1" applyAlignment="1">
      <alignment horizontal="center" vertical="center"/>
    </xf>
    <xf numFmtId="167" fontId="49" fillId="8" borderId="1" xfId="4" applyNumberFormat="1" applyFont="1" applyAlignment="1">
      <alignment horizontal="center" vertical="center" wrapText="1"/>
    </xf>
    <xf numFmtId="166" fontId="49" fillId="8" borderId="1" xfId="4" applyNumberFormat="1" applyFont="1" applyAlignment="1">
      <alignment horizontal="center" vertical="center"/>
    </xf>
    <xf numFmtId="14" fontId="49" fillId="8" borderId="1" xfId="4" applyNumberFormat="1" applyFont="1" applyAlignment="1">
      <alignment horizontal="center" vertical="center"/>
    </xf>
    <xf numFmtId="167" fontId="49" fillId="8" borderId="1" xfId="4" applyNumberFormat="1" applyFont="1" applyAlignment="1">
      <alignment horizontal="center" vertical="center"/>
    </xf>
    <xf numFmtId="15" fontId="52" fillId="8" borderId="12" xfId="4" applyNumberFormat="1" applyFont="1" applyBorder="1" applyAlignment="1">
      <alignment horizontal="center" vertical="center"/>
    </xf>
    <xf numFmtId="15" fontId="52" fillId="8" borderId="11" xfId="4" applyNumberFormat="1" applyFont="1" applyBorder="1" applyAlignment="1">
      <alignment horizontal="center" vertical="center"/>
    </xf>
    <xf numFmtId="0" fontId="58" fillId="8" borderId="4" xfId="4" applyFont="1" applyBorder="1" applyAlignment="1">
      <alignment horizontal="left" vertical="top" wrapText="1"/>
    </xf>
    <xf numFmtId="15" fontId="52" fillId="8" borderId="16" xfId="4" applyNumberFormat="1" applyFont="1" applyBorder="1" applyAlignment="1">
      <alignment horizontal="center" vertical="center" wrapText="1"/>
    </xf>
    <xf numFmtId="0" fontId="58" fillId="8" borderId="4" xfId="4" applyFont="1" applyBorder="1" applyAlignment="1">
      <alignment horizontal="left" vertical="center" wrapText="1"/>
    </xf>
    <xf numFmtId="15" fontId="49" fillId="8" borderId="16" xfId="4" applyNumberFormat="1" applyFont="1" applyBorder="1" applyAlignment="1">
      <alignment horizontal="center" vertical="center" wrapText="1"/>
    </xf>
    <xf numFmtId="15" fontId="49" fillId="8" borderId="12" xfId="4" applyNumberFormat="1" applyFont="1" applyBorder="1" applyAlignment="1">
      <alignment horizontal="center" vertical="center"/>
    </xf>
    <xf numFmtId="15" fontId="49" fillId="8" borderId="11" xfId="4" applyNumberFormat="1" applyFont="1" applyBorder="1" applyAlignment="1">
      <alignment horizontal="center" vertical="center"/>
    </xf>
    <xf numFmtId="15" fontId="59" fillId="8" borderId="16" xfId="4" applyNumberFormat="1" applyFont="1" applyBorder="1" applyAlignment="1">
      <alignment horizontal="center" vertical="center" wrapText="1"/>
    </xf>
    <xf numFmtId="15" fontId="59" fillId="8" borderId="12" xfId="4" applyNumberFormat="1" applyFont="1" applyBorder="1" applyAlignment="1">
      <alignment horizontal="center" vertical="center"/>
    </xf>
    <xf numFmtId="15" fontId="59" fillId="8" borderId="1" xfId="4" applyNumberFormat="1" applyFont="1" applyAlignment="1">
      <alignment horizontal="center" vertical="center"/>
    </xf>
    <xf numFmtId="15" fontId="59" fillId="8" borderId="11" xfId="4" applyNumberFormat="1" applyFont="1" applyBorder="1" applyAlignment="1">
      <alignment horizontal="center" vertical="center"/>
    </xf>
    <xf numFmtId="0" fontId="58" fillId="8" borderId="0" xfId="4" applyFont="1" applyBorder="1" applyAlignment="1">
      <alignment horizontal="center" vertical="center"/>
    </xf>
    <xf numFmtId="15" fontId="56" fillId="0" borderId="0" xfId="0" applyNumberFormat="1" applyFont="1" applyAlignment="1">
      <alignment horizontal="center" vertical="center" wrapText="1"/>
    </xf>
    <xf numFmtId="15" fontId="54" fillId="0" borderId="0" xfId="0" applyNumberFormat="1" applyFont="1" applyAlignment="1">
      <alignment horizontal="center" vertical="center" wrapText="1"/>
    </xf>
    <xf numFmtId="15" fontId="54" fillId="0" borderId="10" xfId="0" applyNumberFormat="1" applyFont="1" applyBorder="1" applyAlignment="1">
      <alignment horizontal="center" vertical="center"/>
    </xf>
    <xf numFmtId="15" fontId="54" fillId="0" borderId="0" xfId="0" applyNumberFormat="1" applyFont="1" applyAlignment="1">
      <alignment horizontal="center" vertical="center"/>
    </xf>
    <xf numFmtId="15" fontId="54" fillId="0" borderId="9" xfId="0" applyNumberFormat="1" applyFont="1" applyBorder="1" applyAlignment="1">
      <alignment horizontal="center" vertical="center"/>
    </xf>
    <xf numFmtId="0" fontId="60" fillId="0" borderId="0" xfId="0" applyFont="1" applyAlignment="1">
      <alignment horizontal="center" vertical="center"/>
    </xf>
    <xf numFmtId="15" fontId="61" fillId="2" borderId="0" xfId="0" applyNumberFormat="1" applyFont="1" applyFill="1" applyAlignment="1">
      <alignment horizontal="center" vertical="center" wrapText="1"/>
    </xf>
    <xf numFmtId="0" fontId="62" fillId="2" borderId="0" xfId="0" applyFont="1" applyFill="1" applyAlignment="1">
      <alignment horizontal="center" vertical="center" wrapText="1"/>
    </xf>
    <xf numFmtId="165" fontId="63" fillId="7" borderId="17" xfId="1" applyNumberFormat="1" applyFont="1" applyBorder="1" applyAlignment="1">
      <alignment horizontal="center" vertical="center"/>
    </xf>
    <xf numFmtId="0" fontId="64" fillId="0" borderId="17" xfId="0" applyFont="1" applyBorder="1"/>
    <xf numFmtId="14" fontId="7" fillId="0" borderId="0" xfId="0" applyNumberFormat="1" applyFont="1"/>
    <xf numFmtId="171" fontId="63" fillId="7" borderId="5" xfId="1" applyNumberFormat="1" applyFont="1" applyBorder="1" applyAlignment="1">
      <alignment horizontal="right" vertical="center"/>
    </xf>
    <xf numFmtId="15" fontId="17" fillId="7" borderId="1" xfId="1" applyNumberFormat="1" applyFont="1" applyAlignment="1">
      <alignment horizontal="center" vertical="center" wrapText="1"/>
    </xf>
    <xf numFmtId="44" fontId="63" fillId="7" borderId="6" xfId="1" applyNumberFormat="1" applyFont="1" applyBorder="1" applyAlignment="1">
      <alignment horizontal="center" vertical="center"/>
    </xf>
    <xf numFmtId="44" fontId="63" fillId="7" borderId="1" xfId="1" applyNumberFormat="1" applyFont="1" applyAlignment="1">
      <alignment horizontal="center" vertical="center"/>
    </xf>
    <xf numFmtId="44" fontId="65" fillId="7" borderId="13" xfId="1" applyNumberFormat="1" applyFont="1" applyBorder="1" applyAlignment="1">
      <alignment horizontal="center" vertical="center"/>
    </xf>
    <xf numFmtId="44" fontId="65" fillId="7" borderId="14" xfId="1" applyNumberFormat="1" applyFont="1" applyBorder="1" applyAlignment="1">
      <alignment horizontal="center" vertical="center"/>
    </xf>
    <xf numFmtId="10" fontId="65" fillId="7" borderId="12" xfId="1" applyNumberFormat="1" applyFont="1" applyBorder="1" applyAlignment="1">
      <alignment horizontal="center" vertical="center"/>
    </xf>
    <xf numFmtId="0" fontId="66" fillId="8" borderId="1" xfId="4" applyFont="1" applyAlignment="1">
      <alignment horizontal="center" vertical="center"/>
    </xf>
    <xf numFmtId="168" fontId="63" fillId="7" borderId="5" xfId="1" applyNumberFormat="1" applyFont="1" applyBorder="1" applyAlignment="1">
      <alignment horizontal="right" vertical="center"/>
    </xf>
    <xf numFmtId="0" fontId="58" fillId="8" borderId="4" xfId="4" applyFont="1" applyBorder="1" applyAlignment="1">
      <alignment horizontal="left" wrapText="1"/>
    </xf>
    <xf numFmtId="0" fontId="17" fillId="7" borderId="1" xfId="1" applyFont="1" applyAlignment="1">
      <alignment horizontal="center" vertical="center"/>
    </xf>
    <xf numFmtId="0" fontId="67" fillId="2" borderId="2" xfId="0" applyFont="1" applyFill="1" applyBorder="1" applyAlignment="1">
      <alignment horizontal="center" vertical="center"/>
    </xf>
    <xf numFmtId="0" fontId="68" fillId="8" borderId="1" xfId="4" applyFont="1" applyAlignment="1">
      <alignment horizontal="center" vertical="center"/>
    </xf>
    <xf numFmtId="0" fontId="69" fillId="0" borderId="2" xfId="0" applyFont="1" applyBorder="1" applyAlignment="1">
      <alignment horizontal="center" vertical="center"/>
    </xf>
    <xf numFmtId="165" fontId="63" fillId="7" borderId="1" xfId="1" applyNumberFormat="1" applyFont="1" applyAlignment="1">
      <alignment horizontal="center" vertical="center"/>
    </xf>
    <xf numFmtId="44" fontId="63" fillId="7" borderId="5" xfId="1" applyNumberFormat="1" applyFont="1" applyBorder="1" applyAlignment="1">
      <alignment horizontal="center" vertical="center"/>
    </xf>
    <xf numFmtId="165" fontId="64" fillId="0" borderId="0" xfId="0" applyNumberFormat="1" applyFont="1"/>
    <xf numFmtId="15" fontId="57" fillId="4" borderId="9" xfId="0" applyNumberFormat="1" applyFont="1" applyFill="1" applyBorder="1" applyAlignment="1">
      <alignment vertical="center" wrapText="1"/>
    </xf>
    <xf numFmtId="2" fontId="16" fillId="23" borderId="1" xfId="0" applyNumberFormat="1" applyFont="1" applyFill="1" applyBorder="1" applyAlignment="1">
      <alignment wrapText="1"/>
    </xf>
    <xf numFmtId="2" fontId="16" fillId="23" borderId="6" xfId="0" applyNumberFormat="1" applyFont="1" applyFill="1" applyBorder="1" applyAlignment="1">
      <alignment wrapText="1"/>
    </xf>
    <xf numFmtId="2" fontId="49" fillId="8" borderId="1" xfId="4" applyNumberFormat="1" applyFont="1" applyAlignment="1">
      <alignment horizontal="center" vertical="center"/>
    </xf>
    <xf numFmtId="0" fontId="73" fillId="0" borderId="21" xfId="0" applyFont="1" applyBorder="1"/>
    <xf numFmtId="15" fontId="74" fillId="26" borderId="0" xfId="0" applyNumberFormat="1" applyFont="1" applyFill="1" applyAlignment="1">
      <alignment horizontal="center" vertical="center" wrapText="1"/>
    </xf>
    <xf numFmtId="15" fontId="58" fillId="8" borderId="1" xfId="4" applyNumberFormat="1" applyFont="1" applyAlignment="1">
      <alignment horizontal="center" vertical="center"/>
    </xf>
    <xf numFmtId="14" fontId="58" fillId="8" borderId="1" xfId="4" applyNumberFormat="1" applyFont="1" applyAlignment="1">
      <alignment horizontal="center" vertical="center"/>
    </xf>
    <xf numFmtId="15" fontId="58" fillId="8" borderId="6" xfId="4" applyNumberFormat="1" applyFont="1" applyBorder="1" applyAlignment="1">
      <alignment horizontal="center" vertical="center"/>
    </xf>
    <xf numFmtId="15" fontId="75" fillId="8" borderId="6" xfId="4" applyNumberFormat="1" applyFont="1" applyBorder="1" applyAlignment="1">
      <alignment horizontal="center" vertical="center"/>
    </xf>
    <xf numFmtId="15" fontId="76" fillId="0" borderId="0" xfId="0" applyNumberFormat="1" applyFont="1" applyAlignment="1">
      <alignment horizontal="center" vertical="center"/>
    </xf>
    <xf numFmtId="15" fontId="75" fillId="8" borderId="1" xfId="4" applyNumberFormat="1" applyFont="1" applyAlignment="1">
      <alignment horizontal="center" vertical="center"/>
    </xf>
    <xf numFmtId="15" fontId="60" fillId="0" borderId="0" xfId="0" applyNumberFormat="1" applyFont="1" applyAlignment="1">
      <alignment horizontal="center" vertical="center"/>
    </xf>
    <xf numFmtId="0" fontId="72" fillId="0" borderId="0" xfId="0" applyFont="1" applyAlignment="1">
      <alignment horizontal="left" vertical="top" wrapText="1"/>
    </xf>
    <xf numFmtId="0" fontId="77" fillId="23" borderId="1" xfId="0" applyFont="1" applyFill="1" applyBorder="1" applyAlignment="1">
      <alignment horizontal="center" vertical="center" wrapText="1"/>
    </xf>
    <xf numFmtId="0" fontId="0" fillId="0" borderId="0" xfId="0" pivotButton="1"/>
    <xf numFmtId="0" fontId="0" fillId="0" borderId="0" xfId="0" applyAlignment="1">
      <alignment horizontal="left"/>
    </xf>
    <xf numFmtId="15" fontId="58" fillId="8" borderId="0" xfId="4" applyNumberFormat="1" applyFont="1" applyBorder="1" applyAlignment="1">
      <alignment horizontal="center" vertical="center"/>
    </xf>
    <xf numFmtId="15" fontId="75" fillId="8" borderId="0" xfId="4" applyNumberFormat="1" applyFont="1" applyBorder="1" applyAlignment="1">
      <alignment horizontal="center" vertical="center"/>
    </xf>
    <xf numFmtId="0" fontId="78" fillId="0" borderId="0" xfId="0" applyFont="1"/>
    <xf numFmtId="15" fontId="58" fillId="8" borderId="4" xfId="4" applyNumberFormat="1" applyFont="1" applyBorder="1" applyAlignment="1">
      <alignment horizontal="center" vertical="center"/>
    </xf>
    <xf numFmtId="168" fontId="79" fillId="7" borderId="5" xfId="1" applyNumberFormat="1" applyFont="1" applyBorder="1" applyAlignment="1">
      <alignment horizontal="right" vertical="center"/>
    </xf>
    <xf numFmtId="15" fontId="58" fillId="8" borderId="1" xfId="4" applyNumberFormat="1" applyFont="1" applyAlignment="1">
      <alignment horizontal="center" vertical="center" wrapText="1"/>
    </xf>
    <xf numFmtId="0" fontId="49" fillId="8" borderId="5" xfId="4" applyFont="1" applyBorder="1" applyAlignment="1">
      <alignment horizontal="left" vertical="center" wrapText="1"/>
    </xf>
    <xf numFmtId="15" fontId="52" fillId="8" borderId="22" xfId="4" applyNumberFormat="1" applyFont="1" applyBorder="1" applyAlignment="1">
      <alignment horizontal="center" vertical="center"/>
    </xf>
    <xf numFmtId="15" fontId="17" fillId="7" borderId="6" xfId="1" applyNumberFormat="1" applyFont="1" applyBorder="1" applyAlignment="1">
      <alignment horizontal="center" vertical="center" wrapText="1"/>
    </xf>
    <xf numFmtId="15" fontId="58" fillId="8" borderId="23" xfId="4" applyNumberFormat="1" applyFont="1" applyBorder="1" applyAlignment="1">
      <alignment horizontal="center" vertical="center"/>
    </xf>
    <xf numFmtId="168" fontId="33" fillId="7" borderId="24" xfId="1" applyNumberFormat="1" applyFont="1" applyBorder="1" applyAlignment="1">
      <alignment horizontal="right" vertical="center"/>
    </xf>
    <xf numFmtId="15" fontId="58" fillId="8" borderId="25" xfId="4" applyNumberFormat="1" applyFont="1" applyBorder="1" applyAlignment="1">
      <alignment horizontal="center" vertical="center"/>
    </xf>
    <xf numFmtId="14" fontId="58" fillId="8" borderId="26" xfId="4" applyNumberFormat="1" applyFont="1" applyBorder="1" applyAlignment="1">
      <alignment horizontal="center" vertical="center"/>
    </xf>
    <xf numFmtId="15" fontId="58" fillId="8" borderId="26" xfId="4" applyNumberFormat="1" applyFont="1" applyBorder="1" applyAlignment="1">
      <alignment horizontal="center" vertical="center"/>
    </xf>
    <xf numFmtId="168" fontId="33" fillId="7" borderId="27" xfId="1" applyNumberFormat="1" applyFont="1" applyBorder="1" applyAlignment="1">
      <alignment horizontal="right" vertical="center"/>
    </xf>
    <xf numFmtId="15" fontId="58" fillId="8" borderId="28" xfId="4" applyNumberFormat="1" applyFont="1" applyBorder="1" applyAlignment="1">
      <alignment horizontal="center" vertical="center"/>
    </xf>
    <xf numFmtId="15" fontId="58" fillId="8" borderId="19" xfId="4" applyNumberFormat="1" applyFont="1" applyBorder="1" applyAlignment="1">
      <alignment horizontal="center" vertical="center"/>
    </xf>
    <xf numFmtId="168" fontId="33" fillId="7" borderId="4" xfId="1" applyNumberFormat="1" applyFont="1" applyBorder="1" applyAlignment="1">
      <alignment horizontal="right" vertical="center"/>
    </xf>
    <xf numFmtId="171" fontId="33" fillId="7" borderId="27" xfId="1" applyNumberFormat="1" applyFont="1" applyBorder="1" applyAlignment="1">
      <alignment horizontal="right" vertical="center"/>
    </xf>
    <xf numFmtId="14" fontId="58" fillId="8" borderId="6" xfId="4" applyNumberFormat="1" applyFont="1" applyBorder="1" applyAlignment="1">
      <alignment horizontal="center" vertical="center"/>
    </xf>
    <xf numFmtId="14" fontId="58" fillId="8" borderId="23" xfId="4" applyNumberFormat="1" applyFont="1" applyBorder="1" applyAlignment="1">
      <alignment horizontal="center" vertical="center"/>
    </xf>
    <xf numFmtId="168" fontId="33" fillId="7" borderId="29" xfId="1" applyNumberFormat="1" applyFont="1" applyBorder="1" applyAlignment="1">
      <alignment horizontal="right" vertical="center"/>
    </xf>
    <xf numFmtId="15" fontId="58" fillId="8" borderId="30" xfId="4" applyNumberFormat="1" applyFont="1" applyBorder="1" applyAlignment="1">
      <alignment horizontal="center" vertical="center"/>
    </xf>
    <xf numFmtId="168" fontId="33" fillId="7" borderId="31" xfId="1" applyNumberFormat="1" applyFont="1" applyBorder="1" applyAlignment="1">
      <alignment horizontal="right" vertical="center"/>
    </xf>
    <xf numFmtId="15" fontId="58" fillId="8" borderId="31" xfId="4" applyNumberFormat="1" applyFont="1" applyBorder="1" applyAlignment="1">
      <alignment horizontal="center" vertical="center"/>
    </xf>
    <xf numFmtId="0" fontId="80" fillId="7" borderId="1" xfId="1" applyFont="1" applyAlignment="1">
      <alignment horizontal="center" vertical="center"/>
    </xf>
    <xf numFmtId="0" fontId="81" fillId="8" borderId="1" xfId="9" applyFill="1" applyBorder="1" applyAlignment="1">
      <alignment horizontal="left" vertical="top" wrapText="1"/>
    </xf>
    <xf numFmtId="2" fontId="40" fillId="7" borderId="1" xfId="1" applyNumberFormat="1" applyFont="1" applyAlignment="1">
      <alignment horizontal="center" vertical="center"/>
    </xf>
    <xf numFmtId="14" fontId="48" fillId="2" borderId="0" xfId="0" applyNumberFormat="1" applyFont="1" applyFill="1" applyAlignment="1">
      <alignment horizontal="center" vertical="center" wrapText="1"/>
    </xf>
    <xf numFmtId="14" fontId="49" fillId="8" borderId="1" xfId="4" applyNumberFormat="1" applyFont="1" applyAlignment="1">
      <alignment horizontal="left" vertical="center" wrapText="1"/>
    </xf>
    <xf numFmtId="14" fontId="49" fillId="8" borderId="0" xfId="4" applyNumberFormat="1" applyFont="1" applyBorder="1" applyAlignment="1">
      <alignment horizontal="left" vertical="center" wrapText="1"/>
    </xf>
    <xf numFmtId="14" fontId="72" fillId="0" borderId="0" xfId="0" applyNumberFormat="1" applyFont="1" applyAlignment="1">
      <alignment horizontal="left" vertical="top" wrapText="1"/>
    </xf>
    <xf numFmtId="15" fontId="59" fillId="8" borderId="6" xfId="4" applyNumberFormat="1" applyFont="1" applyBorder="1" applyAlignment="1">
      <alignment horizontal="center" vertical="center"/>
    </xf>
    <xf numFmtId="15" fontId="82" fillId="27" borderId="1" xfId="1" applyNumberFormat="1" applyFont="1" applyFill="1" applyAlignment="1">
      <alignment horizontal="center" vertical="center" wrapText="1"/>
    </xf>
    <xf numFmtId="15" fontId="82" fillId="27" borderId="32" xfId="1" applyNumberFormat="1" applyFont="1" applyFill="1" applyBorder="1" applyAlignment="1">
      <alignment horizontal="center" vertical="center" wrapText="1"/>
    </xf>
    <xf numFmtId="15" fontId="59" fillId="27" borderId="16" xfId="4" applyNumberFormat="1" applyFont="1" applyFill="1" applyBorder="1" applyAlignment="1">
      <alignment horizontal="center" vertical="center" wrapText="1"/>
    </xf>
    <xf numFmtId="44" fontId="63" fillId="7" borderId="17" xfId="1" applyNumberFormat="1" applyFont="1" applyBorder="1" applyAlignment="1">
      <alignment horizontal="center" vertical="center"/>
    </xf>
    <xf numFmtId="0" fontId="0" fillId="0" borderId="0" xfId="0" applyAlignment="1">
      <alignment horizontal="center"/>
    </xf>
    <xf numFmtId="0" fontId="84" fillId="0" borderId="0" xfId="0" applyFont="1" applyAlignment="1">
      <alignment horizontal="center"/>
    </xf>
    <xf numFmtId="14" fontId="86" fillId="22" borderId="0" xfId="0" applyNumberFormat="1" applyFont="1" applyFill="1" applyAlignment="1">
      <alignment horizontal="center" vertical="center" wrapText="1"/>
    </xf>
    <xf numFmtId="0" fontId="85" fillId="8" borderId="4" xfId="4" applyFont="1" applyBorder="1" applyAlignment="1">
      <alignment horizontal="center" vertical="center"/>
    </xf>
    <xf numFmtId="0" fontId="83" fillId="0" borderId="4" xfId="0" applyFont="1" applyBorder="1" applyAlignment="1">
      <alignment horizontal="center" vertical="center"/>
    </xf>
    <xf numFmtId="14" fontId="85" fillId="8" borderId="4" xfId="4" applyNumberFormat="1" applyFont="1" applyBorder="1" applyAlignment="1">
      <alignment horizontal="center" vertical="center"/>
    </xf>
    <xf numFmtId="0" fontId="85" fillId="8" borderId="4" xfId="4" applyFont="1" applyBorder="1" applyAlignment="1">
      <alignment horizontal="left" vertical="center"/>
    </xf>
    <xf numFmtId="0" fontId="42" fillId="2" borderId="0" xfId="0" applyFont="1" applyFill="1" applyAlignment="1">
      <alignment horizontal="center" vertical="center"/>
    </xf>
    <xf numFmtId="0" fontId="95" fillId="0" borderId="4" xfId="0" applyFont="1" applyBorder="1" applyAlignment="1">
      <alignment vertical="center"/>
    </xf>
    <xf numFmtId="0" fontId="87" fillId="2" borderId="33" xfId="0" applyFont="1" applyFill="1" applyBorder="1" applyAlignment="1">
      <alignment horizontal="left" vertical="center"/>
    </xf>
    <xf numFmtId="172" fontId="87" fillId="2" borderId="33" xfId="0" applyNumberFormat="1" applyFont="1" applyFill="1" applyBorder="1" applyAlignment="1">
      <alignment horizontal="center" vertical="center" wrapText="1"/>
    </xf>
    <xf numFmtId="0" fontId="87" fillId="2" borderId="33" xfId="0" applyFont="1" applyFill="1" applyBorder="1" applyAlignment="1">
      <alignment horizontal="center" vertical="center" wrapText="1"/>
    </xf>
    <xf numFmtId="173" fontId="87" fillId="2" borderId="33" xfId="0" applyNumberFormat="1" applyFont="1" applyFill="1" applyBorder="1" applyAlignment="1">
      <alignment horizontal="center" vertical="center" wrapText="1"/>
    </xf>
    <xf numFmtId="15" fontId="87" fillId="2" borderId="33" xfId="0" applyNumberFormat="1" applyFont="1" applyFill="1" applyBorder="1" applyAlignment="1">
      <alignment horizontal="center" vertical="center" wrapText="1"/>
    </xf>
    <xf numFmtId="0" fontId="88" fillId="8" borderId="33" xfId="4" applyFont="1" applyBorder="1" applyAlignment="1">
      <alignment horizontal="left" vertical="center"/>
    </xf>
    <xf numFmtId="172" fontId="68" fillId="8" borderId="33" xfId="4" applyNumberFormat="1" applyFont="1" applyBorder="1" applyAlignment="1">
      <alignment horizontal="center" vertical="center"/>
    </xf>
    <xf numFmtId="0" fontId="68" fillId="8" borderId="33" xfId="4" applyNumberFormat="1" applyFont="1" applyBorder="1" applyAlignment="1">
      <alignment horizontal="center" vertical="center"/>
    </xf>
    <xf numFmtId="0" fontId="68" fillId="8" borderId="33" xfId="4" applyFont="1" applyBorder="1" applyAlignment="1">
      <alignment horizontal="left" vertical="center" wrapText="1"/>
    </xf>
    <xf numFmtId="173" fontId="68" fillId="0" borderId="33" xfId="4" applyNumberFormat="1" applyFont="1" applyFill="1" applyBorder="1" applyAlignment="1">
      <alignment horizontal="center" vertical="center" wrapText="1"/>
    </xf>
    <xf numFmtId="168" fontId="96" fillId="0" borderId="33" xfId="1" applyNumberFormat="1" applyFont="1" applyFill="1" applyBorder="1" applyAlignment="1">
      <alignment horizontal="right" vertical="center"/>
    </xf>
    <xf numFmtId="15" fontId="68" fillId="0" borderId="33" xfId="1" applyNumberFormat="1" applyFont="1" applyFill="1" applyBorder="1" applyAlignment="1">
      <alignment horizontal="center" vertical="center" wrapText="1"/>
    </xf>
    <xf numFmtId="172" fontId="68" fillId="8" borderId="33" xfId="4" quotePrefix="1" applyNumberFormat="1" applyFont="1" applyBorder="1" applyAlignment="1">
      <alignment horizontal="center" vertical="center"/>
    </xf>
    <xf numFmtId="0" fontId="68" fillId="8" borderId="33" xfId="4" applyFont="1" applyBorder="1" applyAlignment="1">
      <alignment horizontal="center" vertical="center"/>
    </xf>
    <xf numFmtId="2" fontId="68" fillId="8" borderId="33" xfId="4" applyNumberFormat="1" applyFont="1" applyBorder="1" applyAlignment="1">
      <alignment horizontal="center" vertical="center"/>
    </xf>
    <xf numFmtId="15" fontId="88" fillId="0" borderId="33" xfId="4" applyNumberFormat="1" applyFont="1" applyFill="1" applyBorder="1" applyAlignment="1">
      <alignment horizontal="center" vertical="center" wrapText="1"/>
    </xf>
    <xf numFmtId="0" fontId="91" fillId="0" borderId="33" xfId="0" applyFont="1" applyBorder="1" applyAlignment="1">
      <alignment horizontal="left" vertical="center"/>
    </xf>
    <xf numFmtId="172" fontId="69" fillId="0" borderId="33" xfId="0" applyNumberFormat="1" applyFont="1" applyBorder="1" applyAlignment="1">
      <alignment horizontal="center" vertical="center"/>
    </xf>
    <xf numFmtId="0" fontId="69" fillId="0" borderId="33" xfId="0" applyFont="1" applyBorder="1" applyAlignment="1">
      <alignment horizontal="center" vertical="center"/>
    </xf>
    <xf numFmtId="0" fontId="88" fillId="0" borderId="33" xfId="0" applyFont="1" applyBorder="1" applyAlignment="1">
      <alignment horizontal="center" vertical="center"/>
    </xf>
    <xf numFmtId="0" fontId="69" fillId="0" borderId="33" xfId="0" applyFont="1" applyBorder="1" applyAlignment="1">
      <alignment horizontal="left" vertical="top" wrapText="1"/>
    </xf>
    <xf numFmtId="173" fontId="69" fillId="0" borderId="33" xfId="0" applyNumberFormat="1" applyFont="1" applyBorder="1" applyAlignment="1">
      <alignment horizontal="center" vertical="top" wrapText="1"/>
    </xf>
    <xf numFmtId="171" fontId="90" fillId="0" borderId="33" xfId="2" applyNumberFormat="1" applyFont="1" applyBorder="1" applyAlignment="1">
      <alignment horizontal="right" vertical="center"/>
    </xf>
    <xf numFmtId="15" fontId="91" fillId="0" borderId="33" xfId="0" applyNumberFormat="1" applyFont="1" applyBorder="1" applyAlignment="1">
      <alignment horizontal="center" vertical="center" wrapText="1"/>
    </xf>
    <xf numFmtId="15" fontId="69" fillId="0" borderId="33" xfId="0" applyNumberFormat="1" applyFont="1" applyBorder="1" applyAlignment="1">
      <alignment horizontal="center" vertical="center" wrapText="1"/>
    </xf>
    <xf numFmtId="171" fontId="90" fillId="0" borderId="33" xfId="2" applyNumberFormat="1" applyFont="1" applyFill="1" applyBorder="1" applyAlignment="1">
      <alignment horizontal="right" vertical="center"/>
    </xf>
    <xf numFmtId="173" fontId="68" fillId="26" borderId="33" xfId="4" applyNumberFormat="1" applyFont="1" applyFill="1" applyBorder="1" applyAlignment="1">
      <alignment horizontal="center" vertical="center" wrapText="1"/>
    </xf>
    <xf numFmtId="168" fontId="96" fillId="26" borderId="33" xfId="1" applyNumberFormat="1" applyFont="1" applyFill="1" applyBorder="1" applyAlignment="1">
      <alignment horizontal="right" vertical="center"/>
    </xf>
    <xf numFmtId="15" fontId="68" fillId="26" borderId="33" xfId="4" applyNumberFormat="1" applyFont="1" applyFill="1" applyBorder="1" applyAlignment="1">
      <alignment horizontal="center" vertical="center" wrapText="1"/>
    </xf>
    <xf numFmtId="15" fontId="68" fillId="26" borderId="33" xfId="1" applyNumberFormat="1" applyFont="1" applyFill="1" applyBorder="1" applyAlignment="1">
      <alignment horizontal="center" vertical="center" wrapText="1"/>
    </xf>
    <xf numFmtId="171" fontId="96" fillId="26" borderId="33" xfId="1" applyNumberFormat="1" applyFont="1" applyFill="1" applyBorder="1" applyAlignment="1">
      <alignment horizontal="right" vertical="center"/>
    </xf>
    <xf numFmtId="168" fontId="97" fillId="26" borderId="33" xfId="1" applyNumberFormat="1" applyFont="1" applyFill="1" applyBorder="1" applyAlignment="1">
      <alignment horizontal="right" vertical="center"/>
    </xf>
    <xf numFmtId="171" fontId="97" fillId="26" borderId="33" xfId="1" applyNumberFormat="1" applyFont="1" applyFill="1" applyBorder="1" applyAlignment="1">
      <alignment horizontal="right" vertical="center"/>
    </xf>
    <xf numFmtId="15" fontId="88" fillId="26" borderId="33" xfId="4" applyNumberFormat="1" applyFont="1" applyFill="1" applyBorder="1" applyAlignment="1">
      <alignment horizontal="center" vertical="center" wrapText="1"/>
    </xf>
    <xf numFmtId="0" fontId="92" fillId="8" borderId="33" xfId="4" applyFont="1" applyBorder="1" applyAlignment="1">
      <alignment horizontal="center" vertical="center" wrapText="1"/>
    </xf>
    <xf numFmtId="0" fontId="92" fillId="8" borderId="33" xfId="1" applyFont="1" applyFill="1" applyBorder="1" applyAlignment="1">
      <alignment horizontal="center" vertical="center"/>
    </xf>
    <xf numFmtId="0" fontId="89" fillId="8" borderId="33" xfId="1" applyFont="1" applyFill="1" applyBorder="1" applyAlignment="1">
      <alignment horizontal="center" vertical="center"/>
    </xf>
    <xf numFmtId="0" fontId="88" fillId="8" borderId="33" xfId="0" applyFont="1" applyFill="1" applyBorder="1" applyAlignment="1">
      <alignment horizontal="center" vertical="center"/>
    </xf>
    <xf numFmtId="14" fontId="98" fillId="22" borderId="0" xfId="0" applyNumberFormat="1" applyFont="1" applyFill="1" applyAlignment="1">
      <alignment horizontal="right" vertical="center" wrapText="1"/>
    </xf>
    <xf numFmtId="0" fontId="68" fillId="0" borderId="4" xfId="0" applyFont="1" applyBorder="1" applyAlignment="1">
      <alignment vertical="center"/>
    </xf>
    <xf numFmtId="0" fontId="69" fillId="0" borderId="4" xfId="0" applyFont="1" applyBorder="1" applyAlignment="1">
      <alignment horizontal="center" vertical="center"/>
    </xf>
    <xf numFmtId="164" fontId="69" fillId="0" borderId="4" xfId="0" applyNumberFormat="1" applyFont="1" applyBorder="1" applyAlignment="1">
      <alignment horizontal="center" vertical="center"/>
    </xf>
    <xf numFmtId="0" fontId="100" fillId="0" borderId="0" xfId="0" applyFont="1"/>
    <xf numFmtId="0" fontId="87" fillId="2" borderId="34" xfId="0" applyFont="1" applyFill="1" applyBorder="1" applyAlignment="1">
      <alignment horizontal="center" vertical="center"/>
    </xf>
    <xf numFmtId="0" fontId="87" fillId="2" borderId="35" xfId="0" applyFont="1" applyFill="1" applyBorder="1" applyAlignment="1">
      <alignment horizontal="center" vertical="center"/>
    </xf>
    <xf numFmtId="0" fontId="87" fillId="2" borderId="36" xfId="0" applyFont="1" applyFill="1" applyBorder="1" applyAlignment="1">
      <alignment horizontal="center" vertical="center"/>
    </xf>
    <xf numFmtId="0" fontId="93" fillId="28" borderId="0" xfId="0" applyFont="1" applyFill="1" applyAlignment="1">
      <alignment horizontal="center" vertical="center" wrapText="1"/>
    </xf>
    <xf numFmtId="0" fontId="93" fillId="2" borderId="0" xfId="0" applyFont="1" applyFill="1" applyAlignment="1">
      <alignment horizontal="center" vertical="center" wrapText="1"/>
    </xf>
    <xf numFmtId="0" fontId="99" fillId="29" borderId="0" xfId="10" applyFont="1" applyAlignment="1">
      <alignment horizontal="center" vertical="center"/>
    </xf>
    <xf numFmtId="0" fontId="14" fillId="22" borderId="9" xfId="0" applyFont="1" applyFill="1" applyBorder="1" applyAlignment="1">
      <alignment horizontal="center" vertical="center"/>
    </xf>
    <xf numFmtId="0" fontId="14" fillId="22" borderId="0" xfId="0" applyFont="1" applyFill="1" applyAlignment="1">
      <alignment horizontal="center" vertical="center"/>
    </xf>
    <xf numFmtId="0" fontId="14" fillId="22" borderId="18" xfId="0" applyFont="1" applyFill="1" applyBorder="1" applyAlignment="1">
      <alignment horizontal="center" vertical="center"/>
    </xf>
    <xf numFmtId="0" fontId="0" fillId="0" borderId="0" xfId="0" applyAlignment="1">
      <alignment horizontal="left" vertical="top" wrapText="1"/>
    </xf>
    <xf numFmtId="0" fontId="42" fillId="2" borderId="0" xfId="0" applyFont="1" applyFill="1" applyAlignment="1">
      <alignment horizontal="center" vertical="center"/>
    </xf>
    <xf numFmtId="0" fontId="57" fillId="2" borderId="2" xfId="0" applyFont="1" applyFill="1" applyBorder="1" applyAlignment="1">
      <alignment horizontal="center" vertical="center"/>
    </xf>
    <xf numFmtId="0" fontId="57" fillId="2" borderId="0" xfId="0" applyFont="1" applyFill="1" applyAlignment="1">
      <alignment horizontal="center" vertical="center"/>
    </xf>
    <xf numFmtId="171" fontId="57" fillId="2" borderId="0" xfId="0" applyNumberFormat="1" applyFont="1" applyFill="1" applyAlignment="1">
      <alignment horizontal="right" vertical="center"/>
    </xf>
    <xf numFmtId="15" fontId="57" fillId="2" borderId="10" xfId="0" applyNumberFormat="1" applyFont="1" applyFill="1" applyBorder="1" applyAlignment="1">
      <alignment horizontal="center" vertical="center"/>
    </xf>
    <xf numFmtId="15" fontId="71" fillId="26" borderId="0" xfId="0" applyNumberFormat="1" applyFont="1" applyFill="1" applyAlignment="1">
      <alignment horizontal="center" vertical="center" wrapText="1"/>
    </xf>
    <xf numFmtId="0" fontId="46" fillId="2" borderId="9" xfId="0" applyFont="1" applyFill="1" applyBorder="1" applyAlignment="1">
      <alignment horizontal="center" vertical="center" wrapText="1"/>
    </xf>
    <xf numFmtId="0" fontId="46" fillId="2" borderId="0" xfId="0" applyFont="1" applyFill="1" applyAlignment="1">
      <alignment horizontal="center" vertical="center" wrapText="1"/>
    </xf>
    <xf numFmtId="165" fontId="70" fillId="2" borderId="0" xfId="0" applyNumberFormat="1" applyFont="1" applyFill="1" applyAlignment="1">
      <alignment horizontal="center" vertical="center" wrapText="1"/>
    </xf>
    <xf numFmtId="0" fontId="70" fillId="2" borderId="10" xfId="0" applyFont="1" applyFill="1" applyBorder="1" applyAlignment="1">
      <alignment horizontal="center" vertical="center" wrapText="1"/>
    </xf>
    <xf numFmtId="44" fontId="47" fillId="20" borderId="7" xfId="7" applyNumberFormat="1" applyFont="1" applyBorder="1" applyAlignment="1">
      <alignment horizontal="center" wrapText="1"/>
    </xf>
    <xf numFmtId="44" fontId="47" fillId="20" borderId="15" xfId="7" applyNumberFormat="1" applyFont="1" applyBorder="1" applyAlignment="1">
      <alignment horizontal="center" wrapText="1"/>
    </xf>
    <xf numFmtId="44" fontId="47" fillId="20" borderId="8" xfId="7" applyNumberFormat="1" applyFont="1" applyBorder="1" applyAlignment="1">
      <alignment horizontal="center" wrapText="1"/>
    </xf>
    <xf numFmtId="0" fontId="43" fillId="2" borderId="9" xfId="0" applyFont="1" applyFill="1" applyBorder="1" applyAlignment="1">
      <alignment horizontal="center" vertical="center"/>
    </xf>
    <xf numFmtId="0" fontId="43" fillId="2" borderId="0" xfId="0" applyFont="1" applyFill="1" applyAlignment="1">
      <alignment horizontal="center" vertical="center"/>
    </xf>
    <xf numFmtId="0" fontId="43" fillId="2" borderId="3" xfId="0" applyFont="1" applyFill="1" applyBorder="1" applyAlignment="1">
      <alignment horizontal="center" vertical="center"/>
    </xf>
  </cellXfs>
  <cellStyles count="11">
    <cellStyle name="20% - Accent3" xfId="8" builtinId="38"/>
    <cellStyle name="Accent3" xfId="7" builtinId="37"/>
    <cellStyle name="Bad" xfId="10" builtinId="27"/>
    <cellStyle name="Calculation" xfId="1" builtinId="22" customBuiltin="1"/>
    <cellStyle name="Comma" xfId="5" builtinId="3"/>
    <cellStyle name="Currency" xfId="2" builtinId="4"/>
    <cellStyle name="Good" xfId="6" builtinId="26"/>
    <cellStyle name="Hyperlink" xfId="9" builtinId="8"/>
    <cellStyle name="Input" xfId="4" builtinId="20" customBuiltin="1"/>
    <cellStyle name="Normal" xfId="0" builtinId="0" customBuiltin="1"/>
    <cellStyle name="Percent" xfId="3" builtinId="5"/>
  </cellStyles>
  <dxfs count="729">
    <dxf>
      <font>
        <color theme="5"/>
      </font>
    </dxf>
    <dxf>
      <font>
        <color rgb="FFC00000"/>
      </font>
    </dxf>
    <dxf>
      <font>
        <color rgb="FF9C0006"/>
      </font>
    </dxf>
    <dxf>
      <font>
        <color rgb="FF9C0006"/>
      </font>
    </dxf>
    <dxf>
      <font>
        <color rgb="FF9C0006"/>
      </font>
    </dxf>
    <dxf>
      <font>
        <color theme="5"/>
      </font>
    </dxf>
    <dxf>
      <font>
        <color rgb="FFC00000"/>
      </font>
    </dxf>
    <dxf>
      <font>
        <color theme="5"/>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ont>
        <color rgb="FFC00000"/>
      </font>
    </dxf>
    <dxf>
      <font>
        <color rgb="FFC00000"/>
      </font>
    </dxf>
    <dxf>
      <font>
        <color rgb="FFC00000"/>
      </font>
    </dxf>
    <dxf>
      <font>
        <color rgb="FFC00000"/>
      </font>
    </dxf>
    <dxf>
      <font>
        <color rgb="FFC00000"/>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rgb="FFC00000"/>
      </font>
    </dxf>
    <dxf>
      <font>
        <color rgb="FFC00000"/>
      </font>
    </dxf>
    <dxf>
      <font>
        <color theme="5"/>
      </font>
    </dxf>
    <dxf>
      <font>
        <color rgb="FF9C0006"/>
      </font>
    </dxf>
    <dxf>
      <font>
        <color rgb="FFC00000"/>
      </font>
    </dxf>
    <dxf>
      <font>
        <color theme="5"/>
      </font>
    </dxf>
    <dxf>
      <font>
        <color rgb="FFC00000"/>
      </font>
    </dxf>
    <dxf>
      <font>
        <color rgb="FF9C0006"/>
      </font>
    </dxf>
    <dxf>
      <font>
        <color rgb="FF9C0006"/>
      </font>
    </dxf>
    <dxf>
      <font>
        <color rgb="FF9C0006"/>
      </font>
    </dxf>
    <dxf>
      <font>
        <color theme="5"/>
      </font>
    </dxf>
    <dxf>
      <font>
        <color rgb="FFC00000"/>
      </font>
    </dxf>
    <dxf>
      <font>
        <color theme="5"/>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ont>
        <color rgb="FFC00000"/>
      </font>
    </dxf>
    <dxf>
      <font>
        <color rgb="FFC00000"/>
      </font>
    </dxf>
    <dxf>
      <font>
        <color rgb="FFC00000"/>
      </font>
    </dxf>
    <dxf>
      <font>
        <color rgb="FFC00000"/>
      </font>
    </dxf>
    <dxf>
      <font>
        <color rgb="FFC00000"/>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theme="5"/>
      </font>
    </dxf>
    <dxf>
      <font>
        <color rgb="FF9C0006"/>
      </font>
    </dxf>
    <dxf>
      <font>
        <color rgb="FFC00000"/>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rgb="FFC00000"/>
      </font>
    </dxf>
    <dxf>
      <font>
        <color rgb="FFC00000"/>
      </font>
    </dxf>
    <dxf>
      <font>
        <color theme="5"/>
      </font>
    </dxf>
    <dxf>
      <font>
        <color rgb="FF9C0006"/>
      </font>
    </dxf>
    <dxf>
      <font>
        <color rgb="FFC00000"/>
      </font>
    </dxf>
    <dxf>
      <font>
        <color rgb="FFC00000"/>
      </font>
    </dxf>
    <dxf>
      <font>
        <b val="0"/>
        <i val="0"/>
        <strike val="0"/>
        <condense val="0"/>
        <extend val="0"/>
        <outline val="0"/>
        <shadow val="0"/>
        <u val="none"/>
        <vertAlign val="baseline"/>
        <sz val="11"/>
        <color theme="2" tint="-0.749961851863155"/>
        <name val="Andale Mono"/>
        <scheme val="none"/>
      </font>
      <numFmt numFmtId="14" formatCode="0.00%"/>
    </dxf>
    <dxf>
      <font>
        <strike val="0"/>
        <outline val="0"/>
        <shadow val="0"/>
        <u val="none"/>
        <vertAlign val="baseline"/>
        <sz val="11"/>
        <name val="Andale Mono"/>
        <scheme val="none"/>
      </font>
    </dxf>
    <dxf>
      <font>
        <b val="0"/>
        <strike val="0"/>
        <outline val="0"/>
        <shadow val="0"/>
        <u val="none"/>
        <vertAlign val="baseline"/>
        <sz val="11"/>
        <name val="Arial"/>
        <scheme val="none"/>
      </font>
    </dxf>
    <dxf>
      <font>
        <strike val="0"/>
        <outline val="0"/>
        <shadow val="0"/>
        <u val="none"/>
        <vertAlign val="baseline"/>
        <sz val="11"/>
        <name val="Andale Mono"/>
        <scheme val="none"/>
      </font>
    </dxf>
    <dxf>
      <font>
        <strike val="0"/>
        <outline val="0"/>
        <shadow val="0"/>
        <u val="none"/>
        <vertAlign val="baseline"/>
        <sz val="11"/>
        <name val="Andale Mono"/>
        <scheme val="none"/>
      </font>
    </dxf>
    <dxf>
      <font>
        <strike val="0"/>
        <outline val="0"/>
        <shadow val="0"/>
        <u val="none"/>
        <vertAlign val="baseline"/>
        <sz val="11"/>
        <name val="Andale Mono"/>
        <scheme val="none"/>
      </font>
    </dxf>
    <dxf>
      <font>
        <strike val="0"/>
        <outline val="0"/>
        <shadow val="0"/>
        <u val="none"/>
        <vertAlign val="baseline"/>
        <sz val="11"/>
        <name val="Andale Mono"/>
        <scheme val="none"/>
      </font>
    </dxf>
    <dxf>
      <font>
        <strike val="0"/>
        <outline val="0"/>
        <shadow val="0"/>
        <u val="none"/>
        <vertAlign val="baseline"/>
        <sz val="11"/>
        <name val="Andale Mono"/>
        <scheme val="none"/>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ill>
        <patternFill>
          <bgColor theme="9" tint="0.79998168889431442"/>
        </patternFill>
      </fill>
    </dxf>
    <dxf>
      <fill>
        <patternFill>
          <bgColor theme="9" tint="0.59996337778862885"/>
        </patternFill>
      </fill>
    </dxf>
    <dxf>
      <fill>
        <patternFill>
          <bgColor theme="9" tint="0.39994506668294322"/>
        </patternFill>
      </fill>
    </dxf>
    <dxf>
      <font>
        <color theme="0"/>
      </font>
      <fill>
        <patternFill>
          <bgColor theme="9" tint="-0.24994659260841701"/>
        </patternFill>
      </fill>
    </dxf>
    <dxf>
      <font>
        <color theme="0"/>
      </font>
      <fill>
        <patternFill>
          <fgColor auto="1"/>
          <bgColor rgb="FF00B050"/>
        </patternFill>
      </fill>
    </dxf>
    <dxf>
      <fill>
        <patternFill>
          <bgColor theme="7" tint="0.79998168889431442"/>
        </patternFill>
      </fill>
    </dxf>
    <dxf>
      <font>
        <color theme="0"/>
      </font>
      <fill>
        <patternFill>
          <bgColor theme="8" tint="-0.24994659260841701"/>
        </patternFill>
      </fill>
    </dxf>
    <dxf>
      <font>
        <color theme="0"/>
      </font>
      <fill>
        <patternFill>
          <bgColor theme="8" tint="-0.499984740745262"/>
        </patternFill>
      </fill>
    </dxf>
    <dxf>
      <font>
        <color rgb="FF9C0006"/>
      </font>
      <fill>
        <patternFill>
          <bgColor rgb="FFFFC7CE"/>
        </patternFill>
      </fill>
    </dxf>
    <dxf>
      <fill>
        <patternFill>
          <bgColor theme="7" tint="0.59996337778862885"/>
        </patternFill>
      </fill>
    </dxf>
    <dxf>
      <font>
        <color rgb="FF9C0006"/>
      </font>
    </dxf>
  </dxfs>
  <tableStyles count="0" defaultTableStyle="TableStyleMedium2" defaultPivotStyle="PivotStyleMedium9"/>
  <colors>
    <mruColors>
      <color rgb="FF322A77"/>
      <color rgb="FF4E42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[Product - Enhancement - Tracking (1).xlsm]Sheet3!PivotTable1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Roadmap</a:t>
            </a:r>
            <a:r>
              <a:rPr lang="en-US" baseline="0"/>
              <a:t> for Review</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s>
    <c:plotArea>
      <c:layout/>
      <c:pieChart>
        <c:varyColors val="1"/>
        <c:ser>
          <c:idx val="0"/>
          <c:order val="0"/>
          <c:tx>
            <c:strRef>
              <c:f>Sheet3!$B$3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37A-437F-A298-714449FE97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37A-437F-A298-714449FE97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37A-437F-A298-714449FE97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37A-437F-A298-714449FE97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37A-437F-A298-714449FE97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37A-437F-A298-714449FE97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37A-437F-A298-714449FE97EB}"/>
              </c:ext>
            </c:extLst>
          </c:dPt>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Sheet3!$A$4:$A$11</c:f>
              <c:strCache>
                <c:ptCount val="7"/>
                <c:pt idx="0">
                  <c:v>Agreements</c:v>
                </c:pt>
                <c:pt idx="1">
                  <c:v>ePayments</c:v>
                </c:pt>
                <c:pt idx="2">
                  <c:v>eTrader</c:v>
                </c:pt>
                <c:pt idx="3">
                  <c:v>Platform</c:v>
                </c:pt>
                <c:pt idx="4">
                  <c:v>Regulatory</c:v>
                </c:pt>
                <c:pt idx="5">
                  <c:v>Sales Desk</c:v>
                </c:pt>
                <c:pt idx="6">
                  <c:v>Treasury</c:v>
                </c:pt>
              </c:strCache>
            </c:strRef>
          </c:cat>
          <c:val>
            <c:numRef>
              <c:f>Sheet3!$B$4:$B$11</c:f>
              <c:numCache>
                <c:formatCode>General</c:formatCode>
                <c:ptCount val="7"/>
                <c:pt idx="0">
                  <c:v>3</c:v>
                </c:pt>
                <c:pt idx="1">
                  <c:v>2</c:v>
                </c:pt>
                <c:pt idx="2">
                  <c:v>1</c:v>
                </c:pt>
                <c:pt idx="3">
                  <c:v>10</c:v>
                </c:pt>
                <c:pt idx="4">
                  <c:v>3</c:v>
                </c:pt>
                <c:pt idx="5">
                  <c:v>3</c:v>
                </c:pt>
                <c:pt idx="6">
                  <c:v>9</c:v>
                </c:pt>
              </c:numCache>
            </c:numRef>
          </c:val>
          <c:extLst>
            <c:ext xmlns:c16="http://schemas.microsoft.com/office/drawing/2014/chart" uri="{C3380CC4-5D6E-409C-BE32-E72D297353CC}">
              <c16:uniqueId val="{00000000-B39E-0543-840B-0112EDCAA198}"/>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698500</xdr:colOff>
      <xdr:row>0</xdr:row>
      <xdr:rowOff>31750</xdr:rowOff>
    </xdr:from>
    <xdr:to>
      <xdr:col>13</xdr:col>
      <xdr:colOff>609600</xdr:colOff>
      <xdr:row>36</xdr:row>
      <xdr:rowOff>127000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xdr:colOff>
          <xdr:row>2</xdr:row>
          <xdr:rowOff>647700</xdr:rowOff>
        </xdr:from>
        <xdr:to>
          <xdr:col>13</xdr:col>
          <xdr:colOff>0</xdr:colOff>
          <xdr:row>4</xdr:row>
          <xdr:rowOff>657225</xdr:rowOff>
        </xdr:to>
        <xdr:sp macro="" textlink="">
          <xdr:nvSpPr>
            <xdr:cNvPr id="15374" name="Button 14" hidden="1">
              <a:extLst>
                <a:ext uri="{63B3BB69-23CF-44E3-9099-C40C66FF867C}">
                  <a14:compatExt spid="_x0000_s15374"/>
                </a:ext>
                <a:ext uri="{FF2B5EF4-FFF2-40B4-BE49-F238E27FC236}">
                  <a16:creationId xmlns:a16="http://schemas.microsoft.com/office/drawing/2014/main" id="{00000000-0008-0000-0500-00000E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2800" b="0" i="0" u="none" strike="noStrike" baseline="0">
                  <a:solidFill>
                    <a:srgbClr val="4E42BC"/>
                  </a:solidFill>
                  <a:latin typeface="Calibri"/>
                  <a:cs typeface="Calibri"/>
                </a:rPr>
                <a:t>Click Here To Register a new RSC</a:t>
              </a:r>
            </a:p>
          </xdr:txBody>
        </xdr:sp>
        <xdr:clientData fPrintsWithSheet="0"/>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NO FILTERS" id="{EE94BFC2-CCF4-4EB1-9410-72674DF88431}"/>
  <namedSheetView name="Operations Board Meeting" id="{A7B99115-5822-4A61-BF67-D990DAF96DAF}">
    <nsvFilter filterId="{95ED83B0-1B28-4FEE-AE76-E7B2FEF8CF28}" ref="A2:H177" tableId="0">
      <columnFilter colId="4">
        <filter colId="4">
          <x:filters blank="1">
            <x:filter val="Approved"/>
            <x:filter val="Board Ready"/>
            <x:filter val="Pre-RSC"/>
            <x:filter val="Ref Product"/>
            <x:filter val="With Client"/>
            <x:filter val="With Mgt"/>
            <x:filter val="With Ops"/>
            <x:filter val="With Product"/>
            <x:filter val="Writing"/>
          </x:filters>
        </filter>
      </columnFilter>
    </nsvFilter>
  </namedSheetView>
  <namedSheetView name="Product Backlog" id="{596CB50C-3582-4B39-A043-408891392511}"/>
  <namedSheetView name="Product Board" id="{6AC8F8AA-02ED-4641-A3D2-33FFC77DD069}"/>
  <namedSheetView name="Product Roadmap" id="{CAEA3F95-A765-4686-B709-1537A6406772}"/>
  <namedSheetView name="Product Triage" id="{FF43C16A-F980-4185-86D1-A23E269E26C8}"/>
  <namedSheetView name="Product Update Meeting" id="{B1E8B14B-D0DF-456F-A00C-A1070987B1B9}"/>
  <namedSheetView name="Roadmap With Ops" id="{4BC8506E-C333-42D6-B0F4-19E4751A69A8}"/>
  <namedSheetView name="View1" id="{05097B9D-B4AA-4BE8-B099-16DD3A04D072}"/>
  <namedSheetView name="Waiting Presentation to Board" id="{3A188441-5DDD-4F21-A217-DEC8C929337E}"/>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NO FILTERS" id="{4E35BAA6-4158-4768-A227-03A3A77F8E3B}"/>
  <namedSheetView name="Operations Board Meeting" id="{9DD64A28-D772-4BCD-88FC-6EC0F2648523}">
    <nsvFilter filterId="{95ED83B0-1B28-4FEE-AE76-E7B2FEF8CF28}" ref="A2:AX319" tableId="0">
      <columnFilter colId="1">
        <filter colId="1">
          <x:filters>
            <x:filter val="Y"/>
          </x:filters>
        </filter>
      </columnFilter>
      <columnFilter colId="6">
        <filter colId="6">
          <x:filters blank="1">
            <x:filter val="Approved"/>
            <x:filter val="Board Ready"/>
            <x:filter val="Pre-RSC"/>
            <x:filter val="Ref Product"/>
            <x:filter val="With Client"/>
            <x:filter val="With Mgt"/>
            <x:filter val="With Ops"/>
            <x:filter val="With Product"/>
            <x:filter val="Writing"/>
          </x:filters>
        </filter>
      </columnFilter>
    </nsvFilter>
  </namedSheetView>
  <namedSheetView name="Product Backlog" id="{733428C9-9335-4831-B742-4E2D39DCDAEE}"/>
  <namedSheetView name="Product Board" id="{56D34EED-8B59-41A3-91E7-02BE6E99C66F}"/>
  <namedSheetView name="Product Roadmap" id="{DAFFCEF5-2CF1-4DCB-956D-4737243F5DE5}"/>
  <namedSheetView name="Product Triage" id="{A6C5E37C-85BE-4215-8264-05446919F8C2}"/>
  <namedSheetView name="Product Update Meeting" id="{799B912D-2CF1-4D32-A73E-286EF26A666F}"/>
  <namedSheetView name="Roadmap With Ops" id="{1BCB3BB7-9757-424E-8F11-66E5073AE4DE}"/>
  <namedSheetView name="View1" id="{F53BACE8-8FDA-4C71-8C05-4DBA92E709A7}"/>
  <namedSheetView name="Waiting Presentation to Board" id="{64685042-ACD0-4E21-BD7C-08EC92123FDE}"/>
</namedSheetViews>
</file>

<file path=xl/namedSheetViews/namedSheetView3.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NO FILTERS" id="{AE91FF54-9C7F-4094-B799-A7F27344AB26}"/>
  <namedSheetView name="Operations Board Meeting" id="{E0AA931A-0E60-42BE-8E0F-4859383F4854}">
    <nsvFilter filterId="{95ED83B0-1B28-4FEE-AE76-E7B2FEF8CF28}" ref="A2:AX319" tableId="0">
      <columnFilter colId="1">
        <filter colId="1">
          <x:filters>
            <x:filter val="Y"/>
          </x:filters>
        </filter>
      </columnFilter>
      <columnFilter colId="6">
        <filter colId="6">
          <x:filters blank="1">
            <x:filter val="Approved"/>
            <x:filter val="Board Ready"/>
            <x:filter val="Pre-RSC"/>
            <x:filter val="Ref Product"/>
            <x:filter val="With Client"/>
            <x:filter val="With Mgt"/>
            <x:filter val="With Ops"/>
            <x:filter val="With Product"/>
            <x:filter val="Writing"/>
          </x:filters>
        </filter>
      </columnFilter>
    </nsvFilter>
  </namedSheetView>
  <namedSheetView name="Product Backlog" id="{6BD21F27-CABC-F247-8491-5C829EEC8B53}"/>
  <namedSheetView name="Product Board" id="{009AC10D-80EB-46C6-A059-54C2BDD812B2}"/>
  <namedSheetView name="Product Roadmap" id="{AECC0305-42F0-834D-8C51-3DFEF4DE7D96}"/>
  <namedSheetView name="Product Triage" id="{F8DD5A9A-35B8-F341-99CF-61316A88E59C}"/>
  <namedSheetView name="Product Update Meeting" id="{CD3BA142-BD0C-A741-AD94-5E87BF1F6D83}"/>
  <namedSheetView name="Roadmap With Ops" id="{41403B2A-1196-854C-8AF3-0D419FB902DF}"/>
  <namedSheetView name="View1" id="{856477DC-63EF-7E49-A2EE-0606778E15CA}"/>
  <namedSheetView name="Waiting Presentation to Board" id="{CD2F662E-86E9-4A89-9489-290C206D3BE4}"/>
</namedSheetView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t Townsend" refreshedDate="44354.632339699077" createdVersion="7" refreshedVersion="7" minRefreshableVersion="3" recordCount="31" xr:uid="{B562AAF9-B1AF-5743-907A-D05F140EF09D}">
  <cacheSource type="worksheet">
    <worksheetSource ref="A1:G32" sheet="Sheet2"/>
  </cacheSource>
  <cacheFields count="7">
    <cacheField name="Customer" numFmtId="0">
      <sharedItems/>
    </cacheField>
    <cacheField name="At a Glance ID" numFmtId="0">
      <sharedItems count="26">
        <s v="PRD-BLG-2020-00011"/>
        <s v="PRD-BLG-2020-00012"/>
        <s v="PRD-BLG-2020-00000"/>
        <s v="PRD-BLG-2020-00023"/>
        <s v="PRD-BLG-0000-00025"/>
        <s v="PRD-BLG-2021-00002"/>
        <s v="PRD-BLG-2021-00000"/>
        <s v="PRD-REQ-2020-00006"/>
        <s v="PRD-REQ-2020-00009"/>
        <s v="PRD-REQ-2020-00010"/>
        <s v="PRD-REQ-2020-00013"/>
        <s v="PRD-REQ-2020-00015"/>
        <s v="PRD-REQ-2020-00016"/>
        <s v="PRD-REQ-2020-00017"/>
        <s v="PRD-REQ-2019-00020"/>
        <s v="PRD-REQ-2019-00021"/>
        <s v="PRD-REQ-2020-00021"/>
        <s v="PRD-REQ-2020-00022"/>
        <s v="PRD-REQ-2021-00003"/>
        <s v="PRD-BLG-2020-00006"/>
        <s v="PRD-BLG-2020-00008"/>
        <s v="PRD-BLG-2020-00010"/>
        <s v="PRD-BLG-2020-00216"/>
        <s v="PRD-BLG-2021-00016"/>
        <s v="PRD-BLG-2021-00017"/>
        <s v="PRD-BLG-2021-00018"/>
      </sharedItems>
    </cacheField>
    <cacheField name="Status" numFmtId="0">
      <sharedItems count="3">
        <s v="With Product"/>
        <s v="Ref Product"/>
        <s v="Board Ready"/>
      </sharedItems>
    </cacheField>
    <cacheField name="Description" numFmtId="0">
      <sharedItems/>
    </cacheField>
    <cacheField name="Value / _x000a_Cost" numFmtId="0">
      <sharedItems containsSemiMixedTypes="0" containsString="0" containsNumber="1" minValue="-90000" maxValue="0"/>
    </cacheField>
    <cacheField name="Product" numFmtId="0">
      <sharedItems count="7">
        <s v="Treasury"/>
        <s v="Platform"/>
        <s v="ePayments"/>
        <s v="Regulatory"/>
        <s v="Sales Desk"/>
        <s v="eTrader"/>
        <s v="Agreements"/>
      </sharedItems>
    </cacheField>
    <cacheField name="Origin" numFmtId="0">
      <sharedItems count="5">
        <s v="Market"/>
        <s v="Product"/>
        <s v="Technical"/>
        <s v="Client"/>
        <s v="Prospect"/>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
  <r>
    <s v="Product Backlog"/>
    <x v="0"/>
    <x v="0"/>
    <s v="CLS Now"/>
    <n v="0"/>
    <x v="0"/>
    <x v="0"/>
  </r>
  <r>
    <s v="Product Backlog"/>
    <x v="1"/>
    <x v="0"/>
    <s v="Bond Shorting v2.0"/>
    <n v="0"/>
    <x v="0"/>
    <x v="0"/>
  </r>
  <r>
    <s v="Product Backlog"/>
    <x v="2"/>
    <x v="1"/>
    <s v="Online / Freely available documentation"/>
    <n v="0"/>
    <x v="1"/>
    <x v="1"/>
  </r>
  <r>
    <s v="Product Backlog"/>
    <x v="3"/>
    <x v="1"/>
    <s v="Deal Reference Numbering Schema"/>
    <n v="0"/>
    <x v="1"/>
    <x v="1"/>
  </r>
  <r>
    <s v="Product Backlog"/>
    <x v="4"/>
    <x v="1"/>
    <s v="EMIR - Comm Swaps"/>
    <n v="0"/>
    <x v="0"/>
    <x v="0"/>
  </r>
  <r>
    <s v="Product Backlog"/>
    <x v="2"/>
    <x v="1"/>
    <s v="Gl &amp; RG Cloudification - Ensure these work in a cloud environment."/>
    <n v="0"/>
    <x v="1"/>
    <x v="2"/>
  </r>
  <r>
    <s v="Product Backlog"/>
    <x v="2"/>
    <x v="1"/>
    <s v="DB Updgrades to be DB independent"/>
    <n v="0"/>
    <x v="1"/>
    <x v="2"/>
  </r>
  <r>
    <s v="Product Backlog"/>
    <x v="5"/>
    <x v="1"/>
    <s v="Simplified Upgrade Process"/>
    <n v="0"/>
    <x v="1"/>
    <x v="2"/>
  </r>
  <r>
    <s v="Product Backlog"/>
    <x v="6"/>
    <x v="0"/>
    <s v="Internal Accounts to update Nostros &amp; be available as settlement instructions in payments."/>
    <n v="0"/>
    <x v="0"/>
    <x v="1"/>
  </r>
  <r>
    <s v="Product Backlog"/>
    <x v="6"/>
    <x v="0"/>
    <s v="SANS 25 Verification"/>
    <n v="0"/>
    <x v="1"/>
    <x v="2"/>
  </r>
  <r>
    <s v="Product Backlog"/>
    <x v="6"/>
    <x v="0"/>
    <s v="ePayments - Account Number Masking"/>
    <n v="0"/>
    <x v="2"/>
    <x v="0"/>
  </r>
  <r>
    <s v="Product Roadmap"/>
    <x v="7"/>
    <x v="0"/>
    <s v="SFTR"/>
    <n v="0"/>
    <x v="3"/>
    <x v="0"/>
  </r>
  <r>
    <s v="Product Roadmap"/>
    <x v="8"/>
    <x v="0"/>
    <s v="BB Batch Trading"/>
    <n v="0"/>
    <x v="4"/>
    <x v="3"/>
  </r>
  <r>
    <s v="Product Roadmap"/>
    <x v="9"/>
    <x v="2"/>
    <s v="Decimal precision by Client Type"/>
    <n v="-11250"/>
    <x v="4"/>
    <x v="3"/>
  </r>
  <r>
    <s v="Product Roadmap"/>
    <x v="10"/>
    <x v="0"/>
    <s v="Security Hardening"/>
    <n v="0"/>
    <x v="1"/>
    <x v="2"/>
  </r>
  <r>
    <s v="Product Roadmap"/>
    <x v="11"/>
    <x v="0"/>
    <s v="Angular eTrader Refresh"/>
    <n v="0"/>
    <x v="5"/>
    <x v="1"/>
  </r>
  <r>
    <s v="Product Roadmap"/>
    <x v="12"/>
    <x v="0"/>
    <s v="Angular ePayments Refresh"/>
    <n v="0"/>
    <x v="2"/>
    <x v="1"/>
  </r>
  <r>
    <s v="Product Roadmap"/>
    <x v="13"/>
    <x v="0"/>
    <s v="Angular Sales Desk"/>
    <n v="0"/>
    <x v="4"/>
    <x v="1"/>
  </r>
  <r>
    <s v="Product Roadmap"/>
    <x v="14"/>
    <x v="2"/>
    <s v="Money Market Funds (Buy/Sell - Not Issue)"/>
    <n v="-90000"/>
    <x v="0"/>
    <x v="0"/>
  </r>
  <r>
    <s v="Product Roadmap"/>
    <x v="15"/>
    <x v="2"/>
    <s v="Callable Bonds"/>
    <n v="-50624.999999999993"/>
    <x v="0"/>
    <x v="0"/>
  </r>
  <r>
    <s v="Product Roadmap"/>
    <x v="16"/>
    <x v="2"/>
    <s v="Siena 6.0 - JavaFX - Traders Role - Assessment &amp; Planning"/>
    <n v="-16875"/>
    <x v="1"/>
    <x v="1"/>
  </r>
  <r>
    <s v="Product Roadmap"/>
    <x v="17"/>
    <x v="0"/>
    <s v="Java 11 Migration"/>
    <n v="0"/>
    <x v="1"/>
    <x v="2"/>
  </r>
  <r>
    <s v="Product Roadmap"/>
    <x v="18"/>
    <x v="0"/>
    <s v="Dashboard Strategy"/>
    <n v="0"/>
    <x v="1"/>
    <x v="0"/>
  </r>
  <r>
    <s v="Product Backlog"/>
    <x v="19"/>
    <x v="0"/>
    <s v="AM - Collateral Optimization"/>
    <n v="0"/>
    <x v="6"/>
    <x v="4"/>
  </r>
  <r>
    <s v="Product Backlog"/>
    <x v="20"/>
    <x v="0"/>
    <s v="AM - GMRA Business Line"/>
    <n v="0"/>
    <x v="6"/>
    <x v="4"/>
  </r>
  <r>
    <s v="Product Backlog"/>
    <x v="21"/>
    <x v="0"/>
    <s v="AM - Automated Call Notifications"/>
    <n v="0"/>
    <x v="6"/>
    <x v="4"/>
  </r>
  <r>
    <s v="Product Backlog"/>
    <x v="22"/>
    <x v="0"/>
    <s v="RSC216 - VAR pricing - long dated forwards"/>
    <n v="0"/>
    <x v="0"/>
    <x v="3"/>
  </r>
  <r>
    <s v="Product Backlog"/>
    <x v="23"/>
    <x v="0"/>
    <s v="Reg Reporting - EMIR 3.0"/>
    <n v="0"/>
    <x v="3"/>
    <x v="4"/>
  </r>
  <r>
    <s v="Product Backlog"/>
    <x v="24"/>
    <x v="0"/>
    <s v="Load inhouse yield to create reval curve for lesser traded currencies. Info from DW."/>
    <n v="0"/>
    <x v="0"/>
    <x v="0"/>
  </r>
  <r>
    <s v="Product Backlog"/>
    <x v="25"/>
    <x v="0"/>
    <s v="Product/Country Exposures"/>
    <n v="0"/>
    <x v="0"/>
    <x v="0"/>
  </r>
  <r>
    <s v="Product Backlog"/>
    <x v="6"/>
    <x v="0"/>
    <s v="MIFID II - CPR Reporting"/>
    <n v="0"/>
    <x v="3"/>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6BD921-2556-1141-B425-6E65B3427047}"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1">
  <location ref="A3:B11" firstHeaderRow="1" firstDataRow="1" firstDataCol="1"/>
  <pivotFields count="7">
    <pivotField showAll="0"/>
    <pivotField dataField="1" showAll="0">
      <items count="27">
        <item x="4"/>
        <item x="2"/>
        <item x="19"/>
        <item x="20"/>
        <item x="21"/>
        <item x="0"/>
        <item x="1"/>
        <item x="3"/>
        <item x="22"/>
        <item x="6"/>
        <item x="5"/>
        <item x="23"/>
        <item x="24"/>
        <item x="25"/>
        <item x="14"/>
        <item x="15"/>
        <item x="7"/>
        <item x="8"/>
        <item x="9"/>
        <item x="10"/>
        <item x="11"/>
        <item x="12"/>
        <item x="13"/>
        <item x="16"/>
        <item x="17"/>
        <item x="18"/>
        <item t="default"/>
      </items>
    </pivotField>
    <pivotField showAll="0">
      <items count="4">
        <item x="2"/>
        <item x="1"/>
        <item x="0"/>
        <item t="default"/>
      </items>
    </pivotField>
    <pivotField showAll="0"/>
    <pivotField showAll="0"/>
    <pivotField axis="axisRow" showAll="0">
      <items count="8">
        <item x="6"/>
        <item x="2"/>
        <item x="5"/>
        <item x="1"/>
        <item x="3"/>
        <item x="4"/>
        <item x="0"/>
        <item t="default"/>
      </items>
    </pivotField>
    <pivotField showAll="0">
      <items count="6">
        <item x="3"/>
        <item x="0"/>
        <item x="1"/>
        <item x="4"/>
        <item x="2"/>
        <item t="default"/>
      </items>
    </pivotField>
  </pivotFields>
  <rowFields count="1">
    <field x="5"/>
  </rowFields>
  <rowItems count="8">
    <i>
      <x/>
    </i>
    <i>
      <x v="1"/>
    </i>
    <i>
      <x v="2"/>
    </i>
    <i>
      <x v="3"/>
    </i>
    <i>
      <x v="4"/>
    </i>
    <i>
      <x v="5"/>
    </i>
    <i>
      <x v="6"/>
    </i>
    <i t="grand">
      <x/>
    </i>
  </rowItems>
  <colItems count="1">
    <i/>
  </colItems>
  <dataFields count="1">
    <dataField name="Count of At a Glance ID" fld="1" subtotal="count" baseField="0" baseItem="0"/>
  </dataFields>
  <chartFormats count="24">
    <chartFormat chart="1" format="5"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0"/>
          </reference>
        </references>
      </pivotArea>
    </chartFormat>
    <chartFormat chart="7" format="15">
      <pivotArea type="data" outline="0" fieldPosition="0">
        <references count="2">
          <reference field="4294967294" count="1" selected="0">
            <x v="0"/>
          </reference>
          <reference field="5" count="1" selected="0">
            <x v="0"/>
          </reference>
        </references>
      </pivotArea>
    </chartFormat>
    <chartFormat chart="7" format="16">
      <pivotArea type="data" outline="0" fieldPosition="0">
        <references count="2">
          <reference field="4294967294" count="1" selected="0">
            <x v="0"/>
          </reference>
          <reference field="5" count="1" selected="0">
            <x v="1"/>
          </reference>
        </references>
      </pivotArea>
    </chartFormat>
    <chartFormat chart="7" format="17">
      <pivotArea type="data" outline="0" fieldPosition="0">
        <references count="2">
          <reference field="4294967294" count="1" selected="0">
            <x v="0"/>
          </reference>
          <reference field="5" count="1" selected="0">
            <x v="2"/>
          </reference>
        </references>
      </pivotArea>
    </chartFormat>
    <chartFormat chart="7" format="18">
      <pivotArea type="data" outline="0" fieldPosition="0">
        <references count="2">
          <reference field="4294967294" count="1" selected="0">
            <x v="0"/>
          </reference>
          <reference field="5" count="1" selected="0">
            <x v="3"/>
          </reference>
        </references>
      </pivotArea>
    </chartFormat>
    <chartFormat chart="7" format="19">
      <pivotArea type="data" outline="0" fieldPosition="0">
        <references count="2">
          <reference field="4294967294" count="1" selected="0">
            <x v="0"/>
          </reference>
          <reference field="5" count="1" selected="0">
            <x v="4"/>
          </reference>
        </references>
      </pivotArea>
    </chartFormat>
    <chartFormat chart="7" format="20">
      <pivotArea type="data" outline="0" fieldPosition="0">
        <references count="2">
          <reference field="4294967294" count="1" selected="0">
            <x v="0"/>
          </reference>
          <reference field="5" count="1" selected="0">
            <x v="5"/>
          </reference>
        </references>
      </pivotArea>
    </chartFormat>
    <chartFormat chart="7" format="21">
      <pivotArea type="data" outline="0" fieldPosition="0">
        <references count="2">
          <reference field="4294967294" count="1" selected="0">
            <x v="0"/>
          </reference>
          <reference field="5" count="1" selected="0">
            <x v="6"/>
          </reference>
        </references>
      </pivotArea>
    </chartFormat>
    <chartFormat chart="8" format="22" series="1">
      <pivotArea type="data" outline="0" fieldPosition="0">
        <references count="1">
          <reference field="4294967294" count="1" selected="0">
            <x v="0"/>
          </reference>
        </references>
      </pivotArea>
    </chartFormat>
    <chartFormat chart="8" format="23">
      <pivotArea type="data" outline="0" fieldPosition="0">
        <references count="2">
          <reference field="4294967294" count="1" selected="0">
            <x v="0"/>
          </reference>
          <reference field="5" count="1" selected="0">
            <x v="0"/>
          </reference>
        </references>
      </pivotArea>
    </chartFormat>
    <chartFormat chart="8" format="24">
      <pivotArea type="data" outline="0" fieldPosition="0">
        <references count="2">
          <reference field="4294967294" count="1" selected="0">
            <x v="0"/>
          </reference>
          <reference field="5" count="1" selected="0">
            <x v="1"/>
          </reference>
        </references>
      </pivotArea>
    </chartFormat>
    <chartFormat chart="8" format="25">
      <pivotArea type="data" outline="0" fieldPosition="0">
        <references count="2">
          <reference field="4294967294" count="1" selected="0">
            <x v="0"/>
          </reference>
          <reference field="5" count="1" selected="0">
            <x v="2"/>
          </reference>
        </references>
      </pivotArea>
    </chartFormat>
    <chartFormat chart="8" format="26">
      <pivotArea type="data" outline="0" fieldPosition="0">
        <references count="2">
          <reference field="4294967294" count="1" selected="0">
            <x v="0"/>
          </reference>
          <reference field="5" count="1" selected="0">
            <x v="3"/>
          </reference>
        </references>
      </pivotArea>
    </chartFormat>
    <chartFormat chart="8" format="27">
      <pivotArea type="data" outline="0" fieldPosition="0">
        <references count="2">
          <reference field="4294967294" count="1" selected="0">
            <x v="0"/>
          </reference>
          <reference field="5" count="1" selected="0">
            <x v="4"/>
          </reference>
        </references>
      </pivotArea>
    </chartFormat>
    <chartFormat chart="8" format="28">
      <pivotArea type="data" outline="0" fieldPosition="0">
        <references count="2">
          <reference field="4294967294" count="1" selected="0">
            <x v="0"/>
          </reference>
          <reference field="5" count="1" selected="0">
            <x v="5"/>
          </reference>
        </references>
      </pivotArea>
    </chartFormat>
    <chartFormat chart="8" format="29">
      <pivotArea type="data" outline="0" fieldPosition="0">
        <references count="2">
          <reference field="4294967294" count="1" selected="0">
            <x v="0"/>
          </reference>
          <reference field="5" count="1" selected="0">
            <x v="6"/>
          </reference>
        </references>
      </pivotArea>
    </chartFormat>
    <chartFormat chart="1" format="21">
      <pivotArea type="data" outline="0" fieldPosition="0">
        <references count="2">
          <reference field="4294967294" count="1" selected="0">
            <x v="0"/>
          </reference>
          <reference field="5" count="1" selected="0">
            <x v="0"/>
          </reference>
        </references>
      </pivotArea>
    </chartFormat>
    <chartFormat chart="1" format="22">
      <pivotArea type="data" outline="0" fieldPosition="0">
        <references count="2">
          <reference field="4294967294" count="1" selected="0">
            <x v="0"/>
          </reference>
          <reference field="5" count="1" selected="0">
            <x v="1"/>
          </reference>
        </references>
      </pivotArea>
    </chartFormat>
    <chartFormat chart="1" format="23">
      <pivotArea type="data" outline="0" fieldPosition="0">
        <references count="2">
          <reference field="4294967294" count="1" selected="0">
            <x v="0"/>
          </reference>
          <reference field="5" count="1" selected="0">
            <x v="2"/>
          </reference>
        </references>
      </pivotArea>
    </chartFormat>
    <chartFormat chart="1" format="24">
      <pivotArea type="data" outline="0" fieldPosition="0">
        <references count="2">
          <reference field="4294967294" count="1" selected="0">
            <x v="0"/>
          </reference>
          <reference field="5" count="1" selected="0">
            <x v="3"/>
          </reference>
        </references>
      </pivotArea>
    </chartFormat>
    <chartFormat chart="1" format="25">
      <pivotArea type="data" outline="0" fieldPosition="0">
        <references count="2">
          <reference field="4294967294" count="1" selected="0">
            <x v="0"/>
          </reference>
          <reference field="5" count="1" selected="0">
            <x v="4"/>
          </reference>
        </references>
      </pivotArea>
    </chartFormat>
    <chartFormat chart="1" format="26">
      <pivotArea type="data" outline="0" fieldPosition="0">
        <references count="2">
          <reference field="4294967294" count="1" selected="0">
            <x v="0"/>
          </reference>
          <reference field="5" count="1" selected="0">
            <x v="5"/>
          </reference>
        </references>
      </pivotArea>
    </chartFormat>
    <chartFormat chart="1" format="27">
      <pivotArea type="data" outline="0" fieldPosition="0">
        <references count="2">
          <reference field="4294967294" count="1" selected="0">
            <x v="0"/>
          </reference>
          <reference field="5" count="1" selected="0">
            <x v="6"/>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A8" totalsRowShown="0">
  <autoFilter ref="A1:A8" xr:uid="{00000000-0009-0000-0100-000001000000}"/>
  <tableColumns count="1">
    <tableColumn id="1" xr3:uid="{00000000-0010-0000-0100-000001000000}" name="Approvers"/>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A1:A4" totalsRowShown="0">
  <autoFilter ref="A1:A4" xr:uid="{00000000-0009-0000-0100-000002000000}"/>
  <tableColumns count="1">
    <tableColumn id="1" xr3:uid="{00000000-0010-0000-0200-000001000000}" name="Peopl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F17" totalsRowShown="0" headerRowDxfId="688" dataDxfId="687">
  <autoFilter ref="A1:F17" xr:uid="{00000000-0009-0000-0100-000003000000}"/>
  <sortState xmlns:xlrd2="http://schemas.microsoft.com/office/spreadsheetml/2017/richdata2" ref="A2:F17">
    <sortCondition ref="A1:A17"/>
  </sortState>
  <tableColumns count="6">
    <tableColumn id="1" xr3:uid="{00000000-0010-0000-0000-000001000000}" name="Fullname" dataDxfId="686"/>
    <tableColumn id="2" xr3:uid="{00000000-0010-0000-0000-000002000000}" name="Code" dataDxfId="685"/>
    <tableColumn id="3" xr3:uid="{00000000-0010-0000-0000-000003000000}" name="Type" dataDxfId="684"/>
    <tableColumn id="4" xr3:uid="{00000000-0010-0000-0000-000004000000}" name="HR Rate" dataDxfId="683" dataCellStyle="Currency"/>
    <tableColumn id="5" xr3:uid="{00000000-0010-0000-0000-000005000000}" name="Support Rate" dataDxfId="682"/>
    <tableColumn id="6" xr3:uid="{00000000-0010-0000-0000-000006000000}" name="Billable" dataDxfId="68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microsoft.com/office/2019/04/relationships/namedSheetView" Target="../namedSheetViews/namedSheetView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2" Type="http://schemas.microsoft.com/office/2019/04/relationships/namedSheetView" Target="../namedSheetViews/namedSheetView2.xml"/><Relationship Id="rId1" Type="http://schemas.openxmlformats.org/officeDocument/2006/relationships/hyperlink" Target="https://www.sans.org/top25-software-errors/Platform%20-%20Chaos%20Monkey?%20MT%20:%20Check%20costs%20of%20Jenkins%20SANS%2025%20plugins" TargetMode="External"/></Relationships>
</file>

<file path=xl/worksheets/_rels/sheet14.xml.rels><?xml version="1.0" encoding="UTF-8" standalone="yes"?>
<Relationships xmlns="http://schemas.openxmlformats.org/package/2006/relationships"><Relationship Id="rId3" Type="http://schemas.microsoft.com/office/2019/04/relationships/namedSheetView" Target="../namedSheetViews/namedSheetView3.xml"/><Relationship Id="rId2" Type="http://schemas.openxmlformats.org/officeDocument/2006/relationships/printerSettings" Target="../printerSettings/printerSettings2.bin"/><Relationship Id="rId1" Type="http://schemas.openxmlformats.org/officeDocument/2006/relationships/hyperlink" Target="https://www.sans.org/top25-software-errors/Platform%20-%20Chaos%20Monkey?%20MT%20:%20Check%20costs%20of%20Jenkins%20SANS%2025%20plugin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8"/>
  <sheetViews>
    <sheetView workbookViewId="0">
      <selection activeCell="A9" sqref="A9"/>
    </sheetView>
  </sheetViews>
  <sheetFormatPr defaultColWidth="8.625" defaultRowHeight="15"/>
  <cols>
    <col min="1" max="1" width="12.625" bestFit="1" customWidth="1"/>
  </cols>
  <sheetData>
    <row r="1" spans="1:1">
      <c r="A1" t="s">
        <v>0</v>
      </c>
    </row>
    <row r="2" spans="1:1">
      <c r="A2" t="s">
        <v>1</v>
      </c>
    </row>
    <row r="3" spans="1:1">
      <c r="A3" t="s">
        <v>2</v>
      </c>
    </row>
    <row r="4" spans="1:1">
      <c r="A4" t="s">
        <v>3</v>
      </c>
    </row>
    <row r="5" spans="1:1">
      <c r="A5" t="s">
        <v>4</v>
      </c>
    </row>
    <row r="6" spans="1:1">
      <c r="A6" t="s">
        <v>5</v>
      </c>
    </row>
    <row r="7" spans="1:1">
      <c r="A7" t="s">
        <v>6</v>
      </c>
    </row>
    <row r="8" spans="1:1">
      <c r="A8" t="s">
        <v>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4"/>
  <sheetViews>
    <sheetView workbookViewId="0">
      <selection activeCell="A2" sqref="A2"/>
    </sheetView>
  </sheetViews>
  <sheetFormatPr defaultColWidth="8.625" defaultRowHeight="15"/>
  <cols>
    <col min="1" max="1" width="12.625" bestFit="1" customWidth="1"/>
  </cols>
  <sheetData>
    <row r="1" spans="1:1">
      <c r="A1" t="s">
        <v>8</v>
      </c>
    </row>
    <row r="2" spans="1:1">
      <c r="A2" t="s">
        <v>1</v>
      </c>
    </row>
    <row r="3" spans="1:1">
      <c r="A3" t="s">
        <v>7</v>
      </c>
    </row>
    <row r="4" spans="1:1">
      <c r="A4" t="s">
        <v>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711CE-DAC5-5E4E-90AF-D8E169D2322C}">
  <sheetPr codeName="Sheet5"/>
  <dimension ref="A3:B11"/>
  <sheetViews>
    <sheetView workbookViewId="0">
      <selection activeCell="O30" sqref="O30"/>
    </sheetView>
  </sheetViews>
  <sheetFormatPr defaultColWidth="11" defaultRowHeight="15"/>
  <cols>
    <col min="1" max="1" width="11.625" bestFit="1" customWidth="1"/>
    <col min="2" max="2" width="18.375" bestFit="1" customWidth="1"/>
    <col min="3" max="3" width="6.5" bestFit="1" customWidth="1"/>
    <col min="4" max="4" width="7.375" bestFit="1" customWidth="1"/>
    <col min="5" max="5" width="7.625" bestFit="1" customWidth="1"/>
    <col min="6" max="6" width="8" bestFit="1" customWidth="1"/>
    <col min="7" max="7" width="9.625" bestFit="1" customWidth="1"/>
    <col min="8" max="8" width="18.375" bestFit="1" customWidth="1"/>
    <col min="9" max="9" width="12.625" bestFit="1" customWidth="1"/>
    <col min="10" max="10" width="18.375" bestFit="1" customWidth="1"/>
    <col min="11" max="11" width="12.625" bestFit="1" customWidth="1"/>
    <col min="12" max="12" width="22.5" bestFit="1" customWidth="1"/>
    <col min="13" max="13" width="16.625" bestFit="1" customWidth="1"/>
  </cols>
  <sheetData>
    <row r="3" spans="1:2">
      <c r="A3" s="208" t="s">
        <v>10</v>
      </c>
      <c r="B3" t="s">
        <v>11</v>
      </c>
    </row>
    <row r="4" spans="1:2">
      <c r="A4" s="209" t="s">
        <v>12</v>
      </c>
      <c r="B4">
        <v>3</v>
      </c>
    </row>
    <row r="5" spans="1:2">
      <c r="A5" s="209" t="s">
        <v>13</v>
      </c>
      <c r="B5">
        <v>2</v>
      </c>
    </row>
    <row r="6" spans="1:2">
      <c r="A6" s="209" t="s">
        <v>14</v>
      </c>
      <c r="B6">
        <v>1</v>
      </c>
    </row>
    <row r="7" spans="1:2">
      <c r="A7" s="209" t="s">
        <v>15</v>
      </c>
      <c r="B7">
        <v>10</v>
      </c>
    </row>
    <row r="8" spans="1:2">
      <c r="A8" s="209" t="s">
        <v>16</v>
      </c>
      <c r="B8">
        <v>3</v>
      </c>
    </row>
    <row r="9" spans="1:2">
      <c r="A9" s="209" t="s">
        <v>17</v>
      </c>
      <c r="B9">
        <v>3</v>
      </c>
    </row>
    <row r="10" spans="1:2">
      <c r="A10" s="209" t="s">
        <v>18</v>
      </c>
      <c r="B10">
        <v>9</v>
      </c>
    </row>
    <row r="11" spans="1:2">
      <c r="A11" s="209" t="s">
        <v>19</v>
      </c>
      <c r="B11">
        <v>31</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8F483-A83E-6C4F-AF48-D18630240053}">
  <sheetPr codeName="Sheet6"/>
  <dimension ref="A1:G32"/>
  <sheetViews>
    <sheetView workbookViewId="0">
      <selection sqref="A1:G32"/>
    </sheetView>
  </sheetViews>
  <sheetFormatPr defaultColWidth="11" defaultRowHeight="15"/>
  <sheetData>
    <row r="1" spans="1:7">
      <c r="A1" t="s">
        <v>20</v>
      </c>
      <c r="B1" t="s">
        <v>21</v>
      </c>
      <c r="C1" t="s">
        <v>22</v>
      </c>
      <c r="D1" t="s">
        <v>23</v>
      </c>
      <c r="E1" t="s">
        <v>24</v>
      </c>
      <c r="F1" t="s">
        <v>25</v>
      </c>
      <c r="G1" t="s">
        <v>26</v>
      </c>
    </row>
    <row r="2" spans="1:7">
      <c r="A2" t="s">
        <v>27</v>
      </c>
      <c r="B2" t="s">
        <v>28</v>
      </c>
      <c r="C2" t="s">
        <v>29</v>
      </c>
      <c r="D2" t="s">
        <v>30</v>
      </c>
      <c r="E2">
        <v>0</v>
      </c>
      <c r="F2" t="s">
        <v>18</v>
      </c>
      <c r="G2" t="s">
        <v>31</v>
      </c>
    </row>
    <row r="3" spans="1:7">
      <c r="A3" t="s">
        <v>27</v>
      </c>
      <c r="B3" t="s">
        <v>32</v>
      </c>
      <c r="C3" t="s">
        <v>29</v>
      </c>
      <c r="D3" t="s">
        <v>33</v>
      </c>
      <c r="E3">
        <v>0</v>
      </c>
      <c r="F3" t="s">
        <v>18</v>
      </c>
      <c r="G3" t="s">
        <v>31</v>
      </c>
    </row>
    <row r="4" spans="1:7">
      <c r="A4" t="s">
        <v>27</v>
      </c>
      <c r="B4" t="s">
        <v>34</v>
      </c>
      <c r="C4" t="s">
        <v>35</v>
      </c>
      <c r="D4" t="s">
        <v>36</v>
      </c>
      <c r="E4">
        <v>0</v>
      </c>
      <c r="F4" t="s">
        <v>15</v>
      </c>
      <c r="G4" t="s">
        <v>25</v>
      </c>
    </row>
    <row r="5" spans="1:7">
      <c r="A5" t="s">
        <v>27</v>
      </c>
      <c r="B5" t="s">
        <v>37</v>
      </c>
      <c r="C5" t="s">
        <v>35</v>
      </c>
      <c r="D5" t="s">
        <v>38</v>
      </c>
      <c r="E5">
        <v>0</v>
      </c>
      <c r="F5" t="s">
        <v>15</v>
      </c>
      <c r="G5" t="s">
        <v>25</v>
      </c>
    </row>
    <row r="6" spans="1:7">
      <c r="A6" t="s">
        <v>27</v>
      </c>
      <c r="B6" t="s">
        <v>39</v>
      </c>
      <c r="C6" t="s">
        <v>35</v>
      </c>
      <c r="D6" t="s">
        <v>40</v>
      </c>
      <c r="E6">
        <v>0</v>
      </c>
      <c r="F6" t="s">
        <v>18</v>
      </c>
      <c r="G6" t="s">
        <v>31</v>
      </c>
    </row>
    <row r="7" spans="1:7">
      <c r="A7" t="s">
        <v>27</v>
      </c>
      <c r="B7" t="s">
        <v>34</v>
      </c>
      <c r="C7" t="s">
        <v>35</v>
      </c>
      <c r="D7" t="s">
        <v>41</v>
      </c>
      <c r="E7">
        <v>0</v>
      </c>
      <c r="F7" t="s">
        <v>15</v>
      </c>
      <c r="G7" t="s">
        <v>42</v>
      </c>
    </row>
    <row r="8" spans="1:7">
      <c r="A8" t="s">
        <v>27</v>
      </c>
      <c r="B8" t="s">
        <v>34</v>
      </c>
      <c r="C8" t="s">
        <v>35</v>
      </c>
      <c r="D8" t="s">
        <v>43</v>
      </c>
      <c r="E8">
        <v>0</v>
      </c>
      <c r="F8" t="s">
        <v>15</v>
      </c>
      <c r="G8" t="s">
        <v>42</v>
      </c>
    </row>
    <row r="9" spans="1:7">
      <c r="A9" t="s">
        <v>27</v>
      </c>
      <c r="B9" t="s">
        <v>44</v>
      </c>
      <c r="C9" t="s">
        <v>35</v>
      </c>
      <c r="D9" t="s">
        <v>45</v>
      </c>
      <c r="E9">
        <v>0</v>
      </c>
      <c r="F9" t="s">
        <v>15</v>
      </c>
      <c r="G9" t="s">
        <v>42</v>
      </c>
    </row>
    <row r="10" spans="1:7">
      <c r="A10" t="s">
        <v>27</v>
      </c>
      <c r="B10" t="s">
        <v>46</v>
      </c>
      <c r="C10" t="s">
        <v>29</v>
      </c>
      <c r="D10" t="s">
        <v>47</v>
      </c>
      <c r="E10">
        <v>0</v>
      </c>
      <c r="F10" t="s">
        <v>18</v>
      </c>
      <c r="G10" t="s">
        <v>25</v>
      </c>
    </row>
    <row r="11" spans="1:7">
      <c r="A11" t="s">
        <v>27</v>
      </c>
      <c r="B11" t="s">
        <v>46</v>
      </c>
      <c r="C11" t="s">
        <v>29</v>
      </c>
      <c r="D11" t="s">
        <v>48</v>
      </c>
      <c r="E11">
        <v>0</v>
      </c>
      <c r="F11" t="s">
        <v>15</v>
      </c>
      <c r="G11" t="s">
        <v>42</v>
      </c>
    </row>
    <row r="12" spans="1:7">
      <c r="A12" t="s">
        <v>27</v>
      </c>
      <c r="B12" t="s">
        <v>46</v>
      </c>
      <c r="C12" t="s">
        <v>29</v>
      </c>
      <c r="D12" t="s">
        <v>49</v>
      </c>
      <c r="E12">
        <v>0</v>
      </c>
      <c r="F12" t="s">
        <v>13</v>
      </c>
      <c r="G12" t="s">
        <v>31</v>
      </c>
    </row>
    <row r="13" spans="1:7">
      <c r="A13" t="s">
        <v>50</v>
      </c>
      <c r="B13" t="s">
        <v>51</v>
      </c>
      <c r="C13" t="s">
        <v>29</v>
      </c>
      <c r="D13" t="s">
        <v>52</v>
      </c>
      <c r="E13">
        <v>0</v>
      </c>
      <c r="F13" t="s">
        <v>16</v>
      </c>
      <c r="G13" t="s">
        <v>31</v>
      </c>
    </row>
    <row r="14" spans="1:7">
      <c r="A14" t="s">
        <v>50</v>
      </c>
      <c r="B14" t="s">
        <v>53</v>
      </c>
      <c r="C14" t="s">
        <v>29</v>
      </c>
      <c r="D14" t="s">
        <v>54</v>
      </c>
      <c r="E14">
        <v>0</v>
      </c>
      <c r="F14" t="s">
        <v>17</v>
      </c>
      <c r="G14" t="s">
        <v>4</v>
      </c>
    </row>
    <row r="15" spans="1:7">
      <c r="A15" t="s">
        <v>50</v>
      </c>
      <c r="B15" t="s">
        <v>55</v>
      </c>
      <c r="C15" t="s">
        <v>56</v>
      </c>
      <c r="D15" t="s">
        <v>57</v>
      </c>
      <c r="E15">
        <v>-11250</v>
      </c>
      <c r="F15" t="s">
        <v>17</v>
      </c>
      <c r="G15" t="s">
        <v>4</v>
      </c>
    </row>
    <row r="16" spans="1:7">
      <c r="A16" t="s">
        <v>50</v>
      </c>
      <c r="B16" t="s">
        <v>58</v>
      </c>
      <c r="C16" t="s">
        <v>29</v>
      </c>
      <c r="D16" t="s">
        <v>59</v>
      </c>
      <c r="E16">
        <v>0</v>
      </c>
      <c r="F16" t="s">
        <v>15</v>
      </c>
      <c r="G16" t="s">
        <v>42</v>
      </c>
    </row>
    <row r="17" spans="1:7">
      <c r="A17" t="s">
        <v>50</v>
      </c>
      <c r="B17" t="s">
        <v>60</v>
      </c>
      <c r="C17" t="s">
        <v>29</v>
      </c>
      <c r="D17" t="s">
        <v>61</v>
      </c>
      <c r="E17">
        <v>0</v>
      </c>
      <c r="F17" t="s">
        <v>14</v>
      </c>
      <c r="G17" t="s">
        <v>25</v>
      </c>
    </row>
    <row r="18" spans="1:7">
      <c r="A18" t="s">
        <v>50</v>
      </c>
      <c r="B18" t="s">
        <v>62</v>
      </c>
      <c r="C18" t="s">
        <v>29</v>
      </c>
      <c r="D18" t="s">
        <v>63</v>
      </c>
      <c r="E18">
        <v>0</v>
      </c>
      <c r="F18" t="s">
        <v>13</v>
      </c>
      <c r="G18" t="s">
        <v>25</v>
      </c>
    </row>
    <row r="19" spans="1:7">
      <c r="A19" t="s">
        <v>50</v>
      </c>
      <c r="B19" t="s">
        <v>64</v>
      </c>
      <c r="C19" t="s">
        <v>29</v>
      </c>
      <c r="D19" t="s">
        <v>65</v>
      </c>
      <c r="E19">
        <v>0</v>
      </c>
      <c r="F19" t="s">
        <v>17</v>
      </c>
      <c r="G19" t="s">
        <v>25</v>
      </c>
    </row>
    <row r="20" spans="1:7">
      <c r="A20" t="s">
        <v>50</v>
      </c>
      <c r="B20" t="s">
        <v>66</v>
      </c>
      <c r="C20" t="s">
        <v>56</v>
      </c>
      <c r="D20" t="s">
        <v>67</v>
      </c>
      <c r="E20">
        <v>-90000</v>
      </c>
      <c r="F20" t="s">
        <v>18</v>
      </c>
      <c r="G20" t="s">
        <v>31</v>
      </c>
    </row>
    <row r="21" spans="1:7">
      <c r="A21" t="s">
        <v>50</v>
      </c>
      <c r="B21" t="s">
        <v>68</v>
      </c>
      <c r="C21" t="s">
        <v>56</v>
      </c>
      <c r="D21" t="s">
        <v>69</v>
      </c>
      <c r="E21">
        <v>-50624.999999999993</v>
      </c>
      <c r="F21" t="s">
        <v>18</v>
      </c>
      <c r="G21" t="s">
        <v>31</v>
      </c>
    </row>
    <row r="22" spans="1:7">
      <c r="A22" t="s">
        <v>50</v>
      </c>
      <c r="B22" t="s">
        <v>70</v>
      </c>
      <c r="C22" t="s">
        <v>56</v>
      </c>
      <c r="D22" t="s">
        <v>71</v>
      </c>
      <c r="E22">
        <v>-16875</v>
      </c>
      <c r="F22" t="s">
        <v>15</v>
      </c>
      <c r="G22" t="s">
        <v>25</v>
      </c>
    </row>
    <row r="23" spans="1:7">
      <c r="A23" t="s">
        <v>50</v>
      </c>
      <c r="B23" t="s">
        <v>72</v>
      </c>
      <c r="C23" t="s">
        <v>29</v>
      </c>
      <c r="D23" t="s">
        <v>73</v>
      </c>
      <c r="E23">
        <v>0</v>
      </c>
      <c r="F23" t="s">
        <v>15</v>
      </c>
      <c r="G23" t="s">
        <v>42</v>
      </c>
    </row>
    <row r="24" spans="1:7">
      <c r="A24" t="s">
        <v>50</v>
      </c>
      <c r="B24" t="s">
        <v>74</v>
      </c>
      <c r="C24" t="s">
        <v>29</v>
      </c>
      <c r="D24" t="s">
        <v>75</v>
      </c>
      <c r="E24">
        <v>0</v>
      </c>
      <c r="F24" t="s">
        <v>15</v>
      </c>
      <c r="G24" t="s">
        <v>31</v>
      </c>
    </row>
    <row r="25" spans="1:7">
      <c r="A25" t="s">
        <v>27</v>
      </c>
      <c r="B25" t="s">
        <v>76</v>
      </c>
      <c r="C25" t="s">
        <v>29</v>
      </c>
      <c r="D25" t="s">
        <v>77</v>
      </c>
      <c r="E25">
        <v>0</v>
      </c>
      <c r="F25" t="s">
        <v>12</v>
      </c>
      <c r="G25" t="s">
        <v>78</v>
      </c>
    </row>
    <row r="26" spans="1:7">
      <c r="A26" t="s">
        <v>27</v>
      </c>
      <c r="B26" t="s">
        <v>79</v>
      </c>
      <c r="C26" t="s">
        <v>29</v>
      </c>
      <c r="D26" t="s">
        <v>80</v>
      </c>
      <c r="E26">
        <v>0</v>
      </c>
      <c r="F26" t="s">
        <v>12</v>
      </c>
      <c r="G26" t="s">
        <v>78</v>
      </c>
    </row>
    <row r="27" spans="1:7">
      <c r="A27" t="s">
        <v>27</v>
      </c>
      <c r="B27" t="s">
        <v>81</v>
      </c>
      <c r="C27" t="s">
        <v>29</v>
      </c>
      <c r="D27" t="s">
        <v>82</v>
      </c>
      <c r="E27">
        <v>0</v>
      </c>
      <c r="F27" t="s">
        <v>12</v>
      </c>
      <c r="G27" t="s">
        <v>78</v>
      </c>
    </row>
    <row r="28" spans="1:7">
      <c r="A28" t="s">
        <v>27</v>
      </c>
      <c r="B28" t="s">
        <v>83</v>
      </c>
      <c r="C28" t="s">
        <v>29</v>
      </c>
      <c r="D28" t="s">
        <v>84</v>
      </c>
      <c r="E28">
        <v>0</v>
      </c>
      <c r="F28" t="s">
        <v>18</v>
      </c>
      <c r="G28" t="s">
        <v>4</v>
      </c>
    </row>
    <row r="29" spans="1:7">
      <c r="A29" t="s">
        <v>27</v>
      </c>
      <c r="B29" t="s">
        <v>85</v>
      </c>
      <c r="C29" t="s">
        <v>29</v>
      </c>
      <c r="D29" t="s">
        <v>86</v>
      </c>
      <c r="E29">
        <v>0</v>
      </c>
      <c r="F29" t="s">
        <v>16</v>
      </c>
      <c r="G29" t="s">
        <v>78</v>
      </c>
    </row>
    <row r="30" spans="1:7">
      <c r="A30" t="s">
        <v>27</v>
      </c>
      <c r="B30" t="s">
        <v>87</v>
      </c>
      <c r="C30" t="s">
        <v>29</v>
      </c>
      <c r="D30" t="s">
        <v>88</v>
      </c>
      <c r="E30">
        <v>0</v>
      </c>
      <c r="F30" t="s">
        <v>18</v>
      </c>
      <c r="G30" t="s">
        <v>31</v>
      </c>
    </row>
    <row r="31" spans="1:7">
      <c r="A31" t="s">
        <v>27</v>
      </c>
      <c r="B31" t="s">
        <v>89</v>
      </c>
      <c r="C31" t="s">
        <v>29</v>
      </c>
      <c r="D31" t="s">
        <v>90</v>
      </c>
      <c r="E31">
        <v>0</v>
      </c>
      <c r="F31" t="s">
        <v>18</v>
      </c>
      <c r="G31" t="s">
        <v>31</v>
      </c>
    </row>
    <row r="32" spans="1:7">
      <c r="A32" t="s">
        <v>27</v>
      </c>
      <c r="B32" t="s">
        <v>46</v>
      </c>
      <c r="C32" t="s">
        <v>29</v>
      </c>
      <c r="D32" t="s">
        <v>91</v>
      </c>
      <c r="E32">
        <v>0</v>
      </c>
      <c r="F32" t="s">
        <v>16</v>
      </c>
      <c r="G32" t="s">
        <v>31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C7AF7-7458-44E5-A2E8-C645A8D2FD2D}">
  <sheetPr codeName="Sheet13">
    <tabColor rgb="FF00B050"/>
    <pageSetUpPr fitToPage="1"/>
  </sheetPr>
  <dimension ref="A1:K331"/>
  <sheetViews>
    <sheetView showGridLines="0" tabSelected="1" zoomScale="70" zoomScaleNormal="70" workbookViewId="0">
      <pane xSplit="6" ySplit="2" topLeftCell="G120" activePane="bottomRight" state="frozen"/>
      <selection pane="topRight" activeCell="F1" sqref="F1"/>
      <selection pane="bottomLeft" activeCell="A3" sqref="A3"/>
      <selection pane="bottomRight" activeCell="E124" sqref="E124"/>
    </sheetView>
  </sheetViews>
  <sheetFormatPr defaultColWidth="8.625" defaultRowHeight="21"/>
  <cols>
    <col min="1" max="1" width="26.125" style="272" bestFit="1" customWidth="1"/>
    <col min="2" max="2" width="14.625" style="273" customWidth="1"/>
    <col min="3" max="3" width="14.625" style="274" customWidth="1"/>
    <col min="4" max="4" width="18" style="274" customWidth="1"/>
    <col min="5" max="5" width="16.625" style="275" bestFit="1" customWidth="1"/>
    <col min="6" max="6" width="65.5" style="276" customWidth="1"/>
    <col min="7" max="7" width="18" style="277" bestFit="1" customWidth="1"/>
    <col min="8" max="8" width="17.625" style="278" bestFit="1" customWidth="1"/>
    <col min="9" max="9" width="16.125" style="279" bestFit="1" customWidth="1"/>
    <col min="10" max="10" width="15.375" style="280" bestFit="1" customWidth="1"/>
    <col min="11" max="16384" width="8.625" style="70"/>
  </cols>
  <sheetData>
    <row r="1" spans="1:11" s="106" customFormat="1" ht="40.5" customHeight="1">
      <c r="A1" s="299" t="s">
        <v>92</v>
      </c>
      <c r="B1" s="300"/>
      <c r="C1" s="300"/>
      <c r="D1" s="300"/>
      <c r="E1" s="300"/>
      <c r="F1" s="300"/>
      <c r="G1" s="300"/>
      <c r="H1" s="300"/>
      <c r="I1" s="300"/>
      <c r="J1" s="301"/>
      <c r="K1" s="254"/>
    </row>
    <row r="2" spans="1:11" s="114" customFormat="1" ht="37.5" customHeight="1">
      <c r="A2" s="256" t="s">
        <v>20</v>
      </c>
      <c r="B2" s="257" t="s">
        <v>93</v>
      </c>
      <c r="C2" s="258" t="s">
        <v>94</v>
      </c>
      <c r="D2" s="258" t="s">
        <v>95</v>
      </c>
      <c r="E2" s="258" t="s">
        <v>22</v>
      </c>
      <c r="F2" s="258" t="s">
        <v>23</v>
      </c>
      <c r="G2" s="259" t="s">
        <v>96</v>
      </c>
      <c r="H2" s="260" t="s">
        <v>24</v>
      </c>
      <c r="I2" s="260" t="s">
        <v>97</v>
      </c>
      <c r="J2" s="260" t="s">
        <v>98</v>
      </c>
    </row>
    <row r="3" spans="1:11" s="71" customFormat="1" ht="40.5" customHeight="1">
      <c r="A3" s="261" t="s">
        <v>99</v>
      </c>
      <c r="B3" s="262">
        <v>42</v>
      </c>
      <c r="C3" s="263"/>
      <c r="D3" s="263"/>
      <c r="E3" s="290" t="s">
        <v>100</v>
      </c>
      <c r="F3" s="264" t="s">
        <v>101</v>
      </c>
      <c r="G3" s="282"/>
      <c r="H3" s="283">
        <v>0</v>
      </c>
      <c r="I3" s="284">
        <v>44068</v>
      </c>
      <c r="J3" s="285">
        <v>44068</v>
      </c>
    </row>
    <row r="4" spans="1:11" s="72" customFormat="1" ht="40.5" customHeight="1">
      <c r="A4" s="261" t="s">
        <v>99</v>
      </c>
      <c r="B4" s="262"/>
      <c r="C4" s="263"/>
      <c r="D4" s="263"/>
      <c r="E4" s="290" t="s">
        <v>35</v>
      </c>
      <c r="F4" s="264" t="s">
        <v>102</v>
      </c>
      <c r="G4" s="282"/>
      <c r="H4" s="283">
        <v>0</v>
      </c>
      <c r="I4" s="284">
        <v>44083</v>
      </c>
      <c r="J4" s="285">
        <v>44083</v>
      </c>
    </row>
    <row r="5" spans="1:11" s="72" customFormat="1" ht="40.5" customHeight="1">
      <c r="A5" s="261" t="s">
        <v>99</v>
      </c>
      <c r="B5" s="262">
        <v>43</v>
      </c>
      <c r="C5" s="263"/>
      <c r="D5" s="263"/>
      <c r="E5" s="290" t="s">
        <v>103</v>
      </c>
      <c r="F5" s="264" t="s">
        <v>104</v>
      </c>
      <c r="G5" s="282"/>
      <c r="H5" s="286">
        <v>18573.165000000001</v>
      </c>
      <c r="I5" s="284">
        <v>43975</v>
      </c>
      <c r="J5" s="285">
        <v>43975</v>
      </c>
    </row>
    <row r="6" spans="1:11" s="73" customFormat="1" ht="40.5" customHeight="1">
      <c r="A6" s="261" t="s">
        <v>99</v>
      </c>
      <c r="B6" s="262"/>
      <c r="C6" s="263"/>
      <c r="D6" s="263"/>
      <c r="E6" s="290" t="s">
        <v>100</v>
      </c>
      <c r="F6" s="264" t="s">
        <v>105</v>
      </c>
      <c r="G6" s="282"/>
      <c r="H6" s="283">
        <v>0</v>
      </c>
      <c r="I6" s="284">
        <v>44091</v>
      </c>
      <c r="J6" s="285">
        <v>44091</v>
      </c>
    </row>
    <row r="7" spans="1:11" s="73" customFormat="1" ht="40.5" customHeight="1">
      <c r="A7" s="261" t="s">
        <v>99</v>
      </c>
      <c r="B7" s="262"/>
      <c r="C7" s="263"/>
      <c r="D7" s="263"/>
      <c r="E7" s="290" t="s">
        <v>106</v>
      </c>
      <c r="F7" s="264" t="s">
        <v>107</v>
      </c>
      <c r="G7" s="282"/>
      <c r="H7" s="283">
        <v>0</v>
      </c>
      <c r="I7" s="284">
        <v>44091</v>
      </c>
      <c r="J7" s="285">
        <v>44091</v>
      </c>
    </row>
    <row r="8" spans="1:11" s="73" customFormat="1" ht="40.5" customHeight="1">
      <c r="A8" s="261" t="s">
        <v>99</v>
      </c>
      <c r="B8" s="268" t="s">
        <v>108</v>
      </c>
      <c r="C8" s="263"/>
      <c r="D8" s="263"/>
      <c r="E8" s="290" t="s">
        <v>109</v>
      </c>
      <c r="F8" s="264" t="s">
        <v>110</v>
      </c>
      <c r="G8" s="282"/>
      <c r="H8" s="283">
        <v>47623.5</v>
      </c>
      <c r="I8" s="284">
        <v>44129</v>
      </c>
      <c r="J8" s="285">
        <v>44129</v>
      </c>
    </row>
    <row r="9" spans="1:11" s="73" customFormat="1" ht="40.5" customHeight="1">
      <c r="A9" s="261" t="s">
        <v>111</v>
      </c>
      <c r="B9" s="262">
        <v>5</v>
      </c>
      <c r="C9" s="263"/>
      <c r="D9" s="263"/>
      <c r="E9" s="290" t="s">
        <v>109</v>
      </c>
      <c r="F9" s="264" t="s">
        <v>112</v>
      </c>
      <c r="G9" s="282"/>
      <c r="H9" s="283">
        <v>9492.119999999999</v>
      </c>
      <c r="I9" s="284">
        <v>44110</v>
      </c>
      <c r="J9" s="285">
        <v>44110</v>
      </c>
    </row>
    <row r="10" spans="1:11" s="73" customFormat="1" ht="40.5" customHeight="1">
      <c r="A10" s="261" t="s">
        <v>111</v>
      </c>
      <c r="B10" s="262">
        <v>6</v>
      </c>
      <c r="C10" s="263"/>
      <c r="D10" s="263"/>
      <c r="E10" s="290" t="s">
        <v>109</v>
      </c>
      <c r="F10" s="264" t="s">
        <v>113</v>
      </c>
      <c r="G10" s="282"/>
      <c r="H10" s="283">
        <v>7766.28</v>
      </c>
      <c r="I10" s="284">
        <v>44111</v>
      </c>
      <c r="J10" s="285">
        <v>44111</v>
      </c>
    </row>
    <row r="11" spans="1:11" s="73" customFormat="1" ht="40.5" customHeight="1">
      <c r="A11" s="261" t="s">
        <v>114</v>
      </c>
      <c r="B11" s="262">
        <v>639</v>
      </c>
      <c r="C11" s="263"/>
      <c r="D11" s="263"/>
      <c r="E11" s="290" t="s">
        <v>100</v>
      </c>
      <c r="F11" s="264" t="s">
        <v>115</v>
      </c>
      <c r="G11" s="282"/>
      <c r="H11" s="286">
        <v>0</v>
      </c>
      <c r="I11" s="284">
        <v>43972</v>
      </c>
      <c r="J11" s="285">
        <v>43972</v>
      </c>
    </row>
    <row r="12" spans="1:11" s="73" customFormat="1" ht="40.5" customHeight="1">
      <c r="A12" s="261" t="s">
        <v>114</v>
      </c>
      <c r="B12" s="262">
        <v>636</v>
      </c>
      <c r="C12" s="263"/>
      <c r="D12" s="263"/>
      <c r="E12" s="290" t="s">
        <v>116</v>
      </c>
      <c r="F12" s="264" t="s">
        <v>117</v>
      </c>
      <c r="G12" s="282"/>
      <c r="H12" s="286">
        <v>0</v>
      </c>
      <c r="I12" s="284">
        <v>43966</v>
      </c>
      <c r="J12" s="285">
        <v>43966</v>
      </c>
    </row>
    <row r="13" spans="1:11" s="73" customFormat="1" ht="40.5" customHeight="1">
      <c r="A13" s="261" t="s">
        <v>114</v>
      </c>
      <c r="B13" s="262">
        <v>646</v>
      </c>
      <c r="C13" s="263"/>
      <c r="D13" s="263"/>
      <c r="E13" s="290" t="s">
        <v>106</v>
      </c>
      <c r="F13" s="264" t="s">
        <v>118</v>
      </c>
      <c r="G13" s="282"/>
      <c r="H13" s="286">
        <v>0</v>
      </c>
      <c r="I13" s="284">
        <v>43966</v>
      </c>
      <c r="J13" s="285">
        <v>43966</v>
      </c>
    </row>
    <row r="14" spans="1:11" s="73" customFormat="1" ht="40.5" customHeight="1">
      <c r="A14" s="261" t="s">
        <v>114</v>
      </c>
      <c r="B14" s="262">
        <v>641</v>
      </c>
      <c r="C14" s="263"/>
      <c r="D14" s="263"/>
      <c r="E14" s="290" t="s">
        <v>103</v>
      </c>
      <c r="F14" s="264" t="s">
        <v>119</v>
      </c>
      <c r="G14" s="282"/>
      <c r="H14" s="283">
        <v>4447</v>
      </c>
      <c r="I14" s="284">
        <v>44113</v>
      </c>
      <c r="J14" s="285">
        <v>44113</v>
      </c>
    </row>
    <row r="15" spans="1:11" s="73" customFormat="1" ht="40.5" customHeight="1">
      <c r="A15" s="261" t="s">
        <v>114</v>
      </c>
      <c r="B15" s="262">
        <v>642</v>
      </c>
      <c r="C15" s="263"/>
      <c r="D15" s="263"/>
      <c r="E15" s="290" t="s">
        <v>103</v>
      </c>
      <c r="F15" s="264" t="s">
        <v>120</v>
      </c>
      <c r="G15" s="282"/>
      <c r="H15" s="283">
        <v>5337.9</v>
      </c>
      <c r="I15" s="284">
        <v>44116</v>
      </c>
      <c r="J15" s="285">
        <v>44116</v>
      </c>
    </row>
    <row r="16" spans="1:11" s="73" customFormat="1" ht="40.5" customHeight="1">
      <c r="A16" s="261" t="s">
        <v>114</v>
      </c>
      <c r="B16" s="262">
        <v>647</v>
      </c>
      <c r="C16" s="263"/>
      <c r="D16" s="263"/>
      <c r="E16" s="290" t="s">
        <v>100</v>
      </c>
      <c r="F16" s="264" t="s">
        <v>121</v>
      </c>
      <c r="G16" s="282"/>
      <c r="H16" s="283">
        <v>0</v>
      </c>
      <c r="I16" s="284">
        <v>44223</v>
      </c>
      <c r="J16" s="285">
        <v>44223</v>
      </c>
    </row>
    <row r="17" spans="1:10" s="73" customFormat="1" ht="40.5" customHeight="1">
      <c r="A17" s="261" t="s">
        <v>114</v>
      </c>
      <c r="B17" s="262">
        <v>648</v>
      </c>
      <c r="C17" s="263"/>
      <c r="D17" s="263"/>
      <c r="E17" s="290" t="s">
        <v>103</v>
      </c>
      <c r="F17" s="264" t="s">
        <v>122</v>
      </c>
      <c r="G17" s="282"/>
      <c r="H17" s="283">
        <v>12010.275</v>
      </c>
      <c r="I17" s="284">
        <v>44222</v>
      </c>
      <c r="J17" s="285">
        <v>44222</v>
      </c>
    </row>
    <row r="18" spans="1:10" s="73" customFormat="1" ht="40.5" customHeight="1">
      <c r="A18" s="261" t="s">
        <v>114</v>
      </c>
      <c r="B18" s="262">
        <v>644</v>
      </c>
      <c r="C18" s="263"/>
      <c r="D18" s="263"/>
      <c r="E18" s="290" t="s">
        <v>103</v>
      </c>
      <c r="F18" s="264" t="s">
        <v>123</v>
      </c>
      <c r="G18" s="282"/>
      <c r="H18" s="283">
        <v>42258.375</v>
      </c>
      <c r="I18" s="284">
        <v>44223</v>
      </c>
      <c r="J18" s="285">
        <v>44223</v>
      </c>
    </row>
    <row r="19" spans="1:10" s="73" customFormat="1" ht="40.5" customHeight="1">
      <c r="A19" s="261" t="s">
        <v>114</v>
      </c>
      <c r="B19" s="262">
        <v>649</v>
      </c>
      <c r="C19" s="263"/>
      <c r="D19" s="263"/>
      <c r="E19" s="290" t="s">
        <v>109</v>
      </c>
      <c r="F19" s="264" t="s">
        <v>124</v>
      </c>
      <c r="G19" s="282"/>
      <c r="H19" s="283">
        <v>0</v>
      </c>
      <c r="I19" s="284">
        <v>44223</v>
      </c>
      <c r="J19" s="285">
        <v>44223</v>
      </c>
    </row>
    <row r="20" spans="1:10" s="73" customFormat="1" ht="40.5" customHeight="1">
      <c r="A20" s="261" t="s">
        <v>114</v>
      </c>
      <c r="B20" s="262">
        <v>650</v>
      </c>
      <c r="C20" s="269"/>
      <c r="D20" s="269"/>
      <c r="E20" s="290" t="s">
        <v>109</v>
      </c>
      <c r="F20" s="264" t="s">
        <v>125</v>
      </c>
      <c r="G20" s="282"/>
      <c r="H20" s="287">
        <v>0</v>
      </c>
      <c r="I20" s="284">
        <v>44273</v>
      </c>
      <c r="J20" s="285">
        <v>44282</v>
      </c>
    </row>
    <row r="21" spans="1:10" s="73" customFormat="1" ht="40.5" customHeight="1">
      <c r="A21" s="261" t="s">
        <v>114</v>
      </c>
      <c r="B21" s="262">
        <v>651</v>
      </c>
      <c r="C21" s="269"/>
      <c r="D21" s="269"/>
      <c r="E21" s="290" t="s">
        <v>106</v>
      </c>
      <c r="F21" s="264" t="s">
        <v>126</v>
      </c>
      <c r="G21" s="282"/>
      <c r="H21" s="287">
        <v>0</v>
      </c>
      <c r="I21" s="284">
        <v>44273</v>
      </c>
      <c r="J21" s="285">
        <v>44282</v>
      </c>
    </row>
    <row r="22" spans="1:10" s="73" customFormat="1" ht="40.5" customHeight="1">
      <c r="A22" s="261" t="s">
        <v>114</v>
      </c>
      <c r="B22" s="262">
        <v>654</v>
      </c>
      <c r="C22" s="269"/>
      <c r="D22" s="269"/>
      <c r="E22" s="290" t="s">
        <v>103</v>
      </c>
      <c r="F22" s="264" t="s">
        <v>127</v>
      </c>
      <c r="G22" s="282"/>
      <c r="H22" s="287">
        <v>5034</v>
      </c>
      <c r="I22" s="284">
        <v>44341</v>
      </c>
      <c r="J22" s="285">
        <v>44341</v>
      </c>
    </row>
    <row r="23" spans="1:10" s="73" customFormat="1" ht="40.5" customHeight="1">
      <c r="A23" s="261" t="s">
        <v>114</v>
      </c>
      <c r="B23" s="262">
        <v>655</v>
      </c>
      <c r="C23" s="269"/>
      <c r="D23" s="269"/>
      <c r="E23" s="290" t="s">
        <v>128</v>
      </c>
      <c r="F23" s="264"/>
      <c r="G23" s="282"/>
      <c r="H23" s="287">
        <v>0</v>
      </c>
      <c r="I23" s="284"/>
      <c r="J23" s="285"/>
    </row>
    <row r="24" spans="1:10" s="73" customFormat="1" ht="40.5" customHeight="1">
      <c r="A24" s="261" t="s">
        <v>114</v>
      </c>
      <c r="B24" s="262">
        <v>656</v>
      </c>
      <c r="C24" s="269"/>
      <c r="D24" s="269"/>
      <c r="E24" s="290" t="s">
        <v>129</v>
      </c>
      <c r="F24" s="264" t="s">
        <v>130</v>
      </c>
      <c r="G24" s="282"/>
      <c r="H24" s="287">
        <v>37365.300000000003</v>
      </c>
      <c r="I24" s="284">
        <v>44361</v>
      </c>
      <c r="J24" s="285">
        <v>44361</v>
      </c>
    </row>
    <row r="25" spans="1:10" s="73" customFormat="1" ht="40.5" customHeight="1">
      <c r="A25" s="261" t="s">
        <v>131</v>
      </c>
      <c r="B25" s="262">
        <v>87</v>
      </c>
      <c r="C25" s="263"/>
      <c r="D25" s="263"/>
      <c r="E25" s="290" t="s">
        <v>100</v>
      </c>
      <c r="F25" s="264" t="s">
        <v>132</v>
      </c>
      <c r="G25" s="282"/>
      <c r="H25" s="283">
        <v>0</v>
      </c>
      <c r="I25" s="284">
        <v>44061</v>
      </c>
      <c r="J25" s="285">
        <v>44061</v>
      </c>
    </row>
    <row r="26" spans="1:10" s="73" customFormat="1" ht="40.5" customHeight="1">
      <c r="A26" s="261" t="s">
        <v>131</v>
      </c>
      <c r="B26" s="262">
        <v>84</v>
      </c>
      <c r="C26" s="263"/>
      <c r="D26" s="263"/>
      <c r="E26" s="290" t="s">
        <v>103</v>
      </c>
      <c r="F26" s="264" t="s">
        <v>133</v>
      </c>
      <c r="G26" s="282"/>
      <c r="H26" s="286">
        <v>9709.1999999999989</v>
      </c>
      <c r="I26" s="284">
        <v>44028</v>
      </c>
      <c r="J26" s="285">
        <v>44028</v>
      </c>
    </row>
    <row r="27" spans="1:10" s="73" customFormat="1" ht="40.5" customHeight="1">
      <c r="A27" s="261" t="s">
        <v>131</v>
      </c>
      <c r="B27" s="268" t="s">
        <v>108</v>
      </c>
      <c r="C27" s="263"/>
      <c r="D27" s="263"/>
      <c r="E27" s="290" t="s">
        <v>109</v>
      </c>
      <c r="F27" s="264" t="s">
        <v>110</v>
      </c>
      <c r="G27" s="282"/>
      <c r="H27" s="286">
        <v>48546</v>
      </c>
      <c r="I27" s="284">
        <v>43929</v>
      </c>
      <c r="J27" s="285">
        <v>43929</v>
      </c>
    </row>
    <row r="28" spans="1:10" s="73" customFormat="1" ht="40.5" customHeight="1">
      <c r="A28" s="261" t="s">
        <v>131</v>
      </c>
      <c r="B28" s="262"/>
      <c r="C28" s="263"/>
      <c r="D28" s="263"/>
      <c r="E28" s="290" t="s">
        <v>109</v>
      </c>
      <c r="F28" s="264" t="s">
        <v>134</v>
      </c>
      <c r="G28" s="282"/>
      <c r="H28" s="283">
        <v>2500</v>
      </c>
      <c r="I28" s="284">
        <v>44151</v>
      </c>
      <c r="J28" s="285">
        <v>44151</v>
      </c>
    </row>
    <row r="29" spans="1:10" s="73" customFormat="1" ht="40.5" customHeight="1">
      <c r="A29" s="261" t="s">
        <v>131</v>
      </c>
      <c r="B29" s="262"/>
      <c r="C29" s="263"/>
      <c r="D29" s="263"/>
      <c r="E29" s="290" t="s">
        <v>109</v>
      </c>
      <c r="F29" s="264" t="s">
        <v>135</v>
      </c>
      <c r="G29" s="282"/>
      <c r="H29" s="283">
        <v>18000</v>
      </c>
      <c r="I29" s="284">
        <v>44151</v>
      </c>
      <c r="J29" s="285">
        <v>44151</v>
      </c>
    </row>
    <row r="30" spans="1:10" s="73" customFormat="1" ht="40.5" customHeight="1">
      <c r="A30" s="261" t="s">
        <v>136</v>
      </c>
      <c r="B30" s="268" t="s">
        <v>137</v>
      </c>
      <c r="C30" s="269"/>
      <c r="D30" s="269"/>
      <c r="E30" s="290" t="s">
        <v>109</v>
      </c>
      <c r="F30" s="264" t="s">
        <v>110</v>
      </c>
      <c r="G30" s="282"/>
      <c r="H30" s="288">
        <v>0</v>
      </c>
      <c r="I30" s="284"/>
      <c r="J30" s="285"/>
    </row>
    <row r="31" spans="1:10" s="73" customFormat="1" ht="40.5" customHeight="1">
      <c r="A31" s="261" t="s">
        <v>138</v>
      </c>
      <c r="B31" s="262">
        <v>1</v>
      </c>
      <c r="C31" s="269"/>
      <c r="D31" s="269"/>
      <c r="E31" s="290" t="s">
        <v>109</v>
      </c>
      <c r="F31" s="264" t="s">
        <v>139</v>
      </c>
      <c r="G31" s="282"/>
      <c r="H31" s="283">
        <v>15066</v>
      </c>
      <c r="I31" s="284">
        <v>44243</v>
      </c>
      <c r="J31" s="285">
        <v>44243</v>
      </c>
    </row>
    <row r="32" spans="1:10" s="73" customFormat="1" ht="40.5" customHeight="1">
      <c r="A32" s="261" t="s">
        <v>140</v>
      </c>
      <c r="B32" s="262">
        <v>11</v>
      </c>
      <c r="C32" s="263"/>
      <c r="D32" s="263"/>
      <c r="E32" s="290" t="s">
        <v>100</v>
      </c>
      <c r="F32" s="264" t="s">
        <v>141</v>
      </c>
      <c r="G32" s="282"/>
      <c r="H32" s="286">
        <v>43383.600000000006</v>
      </c>
      <c r="I32" s="284">
        <v>43728</v>
      </c>
      <c r="J32" s="285">
        <v>43728</v>
      </c>
    </row>
    <row r="33" spans="1:10" s="73" customFormat="1" ht="40.5" customHeight="1">
      <c r="A33" s="261" t="s">
        <v>140</v>
      </c>
      <c r="B33" s="262">
        <v>12</v>
      </c>
      <c r="C33" s="263"/>
      <c r="D33" s="263"/>
      <c r="E33" s="290" t="s">
        <v>100</v>
      </c>
      <c r="F33" s="264" t="s">
        <v>142</v>
      </c>
      <c r="G33" s="282"/>
      <c r="H33" s="286">
        <v>55898.100000000006</v>
      </c>
      <c r="I33" s="284">
        <v>43728</v>
      </c>
      <c r="J33" s="285">
        <v>43728</v>
      </c>
    </row>
    <row r="34" spans="1:10" s="73" customFormat="1" ht="40.5" customHeight="1">
      <c r="A34" s="261" t="s">
        <v>140</v>
      </c>
      <c r="B34" s="268" t="s">
        <v>143</v>
      </c>
      <c r="C34" s="263"/>
      <c r="D34" s="263"/>
      <c r="E34" s="290" t="s">
        <v>103</v>
      </c>
      <c r="F34" s="264" t="s">
        <v>144</v>
      </c>
      <c r="G34" s="282"/>
      <c r="H34" s="286">
        <v>11680.2</v>
      </c>
      <c r="I34" s="284">
        <v>43945</v>
      </c>
      <c r="J34" s="285">
        <v>43945</v>
      </c>
    </row>
    <row r="35" spans="1:10" s="73" customFormat="1" ht="40.5" customHeight="1">
      <c r="A35" s="261" t="s">
        <v>140</v>
      </c>
      <c r="B35" s="262">
        <v>10</v>
      </c>
      <c r="C35" s="263"/>
      <c r="D35" s="263"/>
      <c r="E35" s="290" t="s">
        <v>103</v>
      </c>
      <c r="F35" s="264" t="s">
        <v>145</v>
      </c>
      <c r="G35" s="282"/>
      <c r="H35" s="286">
        <v>34067.25</v>
      </c>
      <c r="I35" s="284">
        <v>43988</v>
      </c>
      <c r="J35" s="285">
        <v>43988</v>
      </c>
    </row>
    <row r="36" spans="1:10" s="73" customFormat="1" ht="40.5" customHeight="1">
      <c r="A36" s="261" t="s">
        <v>140</v>
      </c>
      <c r="B36" s="262">
        <v>13</v>
      </c>
      <c r="C36" s="263"/>
      <c r="D36" s="263"/>
      <c r="E36" s="290" t="s">
        <v>103</v>
      </c>
      <c r="F36" s="264" t="s">
        <v>146</v>
      </c>
      <c r="G36" s="282"/>
      <c r="H36" s="286">
        <v>164820.6</v>
      </c>
      <c r="I36" s="284"/>
      <c r="J36" s="285"/>
    </row>
    <row r="37" spans="1:10" s="73" customFormat="1" ht="63.75" customHeight="1">
      <c r="A37" s="261" t="s">
        <v>140</v>
      </c>
      <c r="B37" s="262">
        <v>13.1</v>
      </c>
      <c r="C37" s="269"/>
      <c r="D37" s="269"/>
      <c r="E37" s="290" t="s">
        <v>103</v>
      </c>
      <c r="F37" s="264" t="s">
        <v>147</v>
      </c>
      <c r="G37" s="282"/>
      <c r="H37" s="288">
        <v>0</v>
      </c>
      <c r="I37" s="284">
        <v>44306</v>
      </c>
      <c r="J37" s="285">
        <v>44306</v>
      </c>
    </row>
    <row r="38" spans="1:10" s="73" customFormat="1" ht="48" customHeight="1">
      <c r="A38" s="261" t="s">
        <v>140</v>
      </c>
      <c r="B38" s="262">
        <v>13.2</v>
      </c>
      <c r="C38" s="269"/>
      <c r="D38" s="269"/>
      <c r="E38" s="290" t="s">
        <v>103</v>
      </c>
      <c r="F38" s="264" t="s">
        <v>148</v>
      </c>
      <c r="G38" s="282"/>
      <c r="H38" s="288">
        <v>0</v>
      </c>
      <c r="I38" s="284">
        <v>44306</v>
      </c>
      <c r="J38" s="285">
        <v>44306</v>
      </c>
    </row>
    <row r="39" spans="1:10" s="73" customFormat="1" ht="79.5" customHeight="1">
      <c r="A39" s="261" t="s">
        <v>140</v>
      </c>
      <c r="B39" s="262">
        <v>13.3</v>
      </c>
      <c r="C39" s="269"/>
      <c r="D39" s="269"/>
      <c r="E39" s="290" t="s">
        <v>103</v>
      </c>
      <c r="F39" s="264" t="s">
        <v>149</v>
      </c>
      <c r="G39" s="282"/>
      <c r="H39" s="288">
        <v>0</v>
      </c>
      <c r="I39" s="284">
        <v>44306</v>
      </c>
      <c r="J39" s="285">
        <v>44306</v>
      </c>
    </row>
    <row r="40" spans="1:10" s="73" customFormat="1" ht="40.5" customHeight="1">
      <c r="A40" s="261" t="s">
        <v>140</v>
      </c>
      <c r="B40" s="262">
        <v>13.4</v>
      </c>
      <c r="C40" s="269"/>
      <c r="D40" s="269"/>
      <c r="E40" s="290" t="s">
        <v>103</v>
      </c>
      <c r="F40" s="264" t="s">
        <v>150</v>
      </c>
      <c r="G40" s="282"/>
      <c r="H40" s="288">
        <v>0</v>
      </c>
      <c r="I40" s="284">
        <v>44306</v>
      </c>
      <c r="J40" s="285">
        <v>44306</v>
      </c>
    </row>
    <row r="41" spans="1:10" s="73" customFormat="1" ht="40.5" customHeight="1">
      <c r="A41" s="261" t="s">
        <v>140</v>
      </c>
      <c r="B41" s="262">
        <v>13.5</v>
      </c>
      <c r="C41" s="269"/>
      <c r="D41" s="269"/>
      <c r="E41" s="290" t="s">
        <v>103</v>
      </c>
      <c r="F41" s="264" t="s">
        <v>151</v>
      </c>
      <c r="G41" s="282"/>
      <c r="H41" s="288">
        <v>0</v>
      </c>
      <c r="I41" s="284">
        <v>44306</v>
      </c>
      <c r="J41" s="285">
        <v>44306</v>
      </c>
    </row>
    <row r="42" spans="1:10" s="73" customFormat="1" ht="40.5" customHeight="1">
      <c r="A42" s="261" t="s">
        <v>140</v>
      </c>
      <c r="B42" s="262">
        <v>13.6</v>
      </c>
      <c r="C42" s="269"/>
      <c r="D42" s="269"/>
      <c r="E42" s="290" t="s">
        <v>103</v>
      </c>
      <c r="F42" s="264" t="s">
        <v>152</v>
      </c>
      <c r="G42" s="282"/>
      <c r="H42" s="288">
        <v>0</v>
      </c>
      <c r="I42" s="284">
        <v>44306</v>
      </c>
      <c r="J42" s="285">
        <v>44306</v>
      </c>
    </row>
    <row r="43" spans="1:10" s="73" customFormat="1" ht="40.5" customHeight="1">
      <c r="A43" s="261" t="s">
        <v>140</v>
      </c>
      <c r="B43" s="262">
        <v>13.7</v>
      </c>
      <c r="C43" s="269"/>
      <c r="D43" s="269"/>
      <c r="E43" s="290" t="s">
        <v>103</v>
      </c>
      <c r="F43" s="264" t="s">
        <v>153</v>
      </c>
      <c r="G43" s="282"/>
      <c r="H43" s="288">
        <v>0</v>
      </c>
      <c r="I43" s="284">
        <v>44306</v>
      </c>
      <c r="J43" s="285">
        <v>44306</v>
      </c>
    </row>
    <row r="44" spans="1:10" s="73" customFormat="1" ht="40.5" customHeight="1">
      <c r="A44" s="261" t="s">
        <v>140</v>
      </c>
      <c r="B44" s="262">
        <v>13.8</v>
      </c>
      <c r="C44" s="269"/>
      <c r="D44" s="269"/>
      <c r="E44" s="290" t="s">
        <v>103</v>
      </c>
      <c r="F44" s="264" t="s">
        <v>154</v>
      </c>
      <c r="G44" s="282"/>
      <c r="H44" s="288">
        <v>0</v>
      </c>
      <c r="I44" s="284">
        <v>44306</v>
      </c>
      <c r="J44" s="285">
        <v>44306</v>
      </c>
    </row>
    <row r="45" spans="1:10" s="73" customFormat="1" ht="40.5" customHeight="1">
      <c r="A45" s="261" t="s">
        <v>140</v>
      </c>
      <c r="B45" s="262">
        <v>13.9</v>
      </c>
      <c r="C45" s="269"/>
      <c r="D45" s="269"/>
      <c r="E45" s="290" t="s">
        <v>103</v>
      </c>
      <c r="F45" s="264" t="s">
        <v>155</v>
      </c>
      <c r="G45" s="282"/>
      <c r="H45" s="288">
        <v>0</v>
      </c>
      <c r="I45" s="284">
        <v>44306</v>
      </c>
      <c r="J45" s="285">
        <v>44306</v>
      </c>
    </row>
    <row r="46" spans="1:10" s="73" customFormat="1" ht="40.5" customHeight="1">
      <c r="A46" s="261" t="s">
        <v>140</v>
      </c>
      <c r="B46" s="262">
        <v>14</v>
      </c>
      <c r="C46" s="269"/>
      <c r="D46" s="269"/>
      <c r="E46" s="290" t="s">
        <v>109</v>
      </c>
      <c r="F46" s="264" t="s">
        <v>156</v>
      </c>
      <c r="G46" s="282"/>
      <c r="H46" s="288">
        <v>8343</v>
      </c>
      <c r="I46" s="284">
        <v>44324</v>
      </c>
      <c r="J46" s="285">
        <v>44324</v>
      </c>
    </row>
    <row r="47" spans="1:10" s="73" customFormat="1" ht="40.5" customHeight="1">
      <c r="A47" s="261" t="s">
        <v>140</v>
      </c>
      <c r="B47" s="262">
        <v>13.1</v>
      </c>
      <c r="C47" s="270"/>
      <c r="D47" s="270"/>
      <c r="E47" s="290" t="s">
        <v>109</v>
      </c>
      <c r="F47" s="264" t="s">
        <v>157</v>
      </c>
      <c r="G47" s="282"/>
      <c r="H47" s="288">
        <v>0</v>
      </c>
      <c r="I47" s="284">
        <v>44306</v>
      </c>
      <c r="J47" s="285">
        <v>44306</v>
      </c>
    </row>
    <row r="48" spans="1:10" s="73" customFormat="1" ht="40.5" customHeight="1">
      <c r="A48" s="261" t="s">
        <v>158</v>
      </c>
      <c r="B48" s="262">
        <v>3</v>
      </c>
      <c r="C48" s="263"/>
      <c r="D48" s="263"/>
      <c r="E48" s="290" t="s">
        <v>103</v>
      </c>
      <c r="F48" s="264" t="s">
        <v>159</v>
      </c>
      <c r="G48" s="282"/>
      <c r="H48" s="286">
        <v>14696.415000000001</v>
      </c>
      <c r="I48" s="284">
        <v>44055</v>
      </c>
      <c r="J48" s="285">
        <v>44055</v>
      </c>
    </row>
    <row r="49" spans="1:10" s="73" customFormat="1" ht="40.5" customHeight="1">
      <c r="A49" s="261" t="s">
        <v>158</v>
      </c>
      <c r="B49" s="262">
        <v>4</v>
      </c>
      <c r="C49" s="263"/>
      <c r="D49" s="263"/>
      <c r="E49" s="290" t="s">
        <v>103</v>
      </c>
      <c r="F49" s="264" t="s">
        <v>160</v>
      </c>
      <c r="G49" s="282"/>
      <c r="H49" s="283">
        <v>15000</v>
      </c>
      <c r="I49" s="284">
        <v>44162</v>
      </c>
      <c r="J49" s="285">
        <v>44162</v>
      </c>
    </row>
    <row r="50" spans="1:10" s="73" customFormat="1" ht="40.5" customHeight="1">
      <c r="A50" s="261" t="s">
        <v>158</v>
      </c>
      <c r="B50" s="262">
        <v>5</v>
      </c>
      <c r="C50" s="269"/>
      <c r="D50" s="269"/>
      <c r="E50" s="290" t="s">
        <v>103</v>
      </c>
      <c r="F50" s="264" t="s">
        <v>161</v>
      </c>
      <c r="G50" s="282"/>
      <c r="H50" s="283">
        <v>2515.4550000000004</v>
      </c>
      <c r="I50" s="284">
        <v>44251</v>
      </c>
      <c r="J50" s="285">
        <v>44251</v>
      </c>
    </row>
    <row r="51" spans="1:10" ht="40.5" customHeight="1">
      <c r="A51" s="261" t="s">
        <v>162</v>
      </c>
      <c r="B51" s="262">
        <v>217</v>
      </c>
      <c r="C51" s="263"/>
      <c r="D51" s="263"/>
      <c r="E51" s="290" t="s">
        <v>35</v>
      </c>
      <c r="F51" s="264" t="s">
        <v>163</v>
      </c>
      <c r="G51" s="282"/>
      <c r="H51" s="286">
        <v>10848.600000000002</v>
      </c>
      <c r="I51" s="284">
        <v>43837</v>
      </c>
      <c r="J51" s="285">
        <v>43837</v>
      </c>
    </row>
    <row r="52" spans="1:10" ht="66" customHeight="1">
      <c r="A52" s="261" t="s">
        <v>162</v>
      </c>
      <c r="B52" s="262">
        <v>212</v>
      </c>
      <c r="C52" s="263"/>
      <c r="D52" s="263"/>
      <c r="E52" s="290" t="s">
        <v>35</v>
      </c>
      <c r="F52" s="264" t="s">
        <v>164</v>
      </c>
      <c r="G52" s="282"/>
      <c r="H52" s="286">
        <v>21358.181250000001</v>
      </c>
      <c r="I52" s="284">
        <v>43803</v>
      </c>
      <c r="J52" s="285">
        <v>43803</v>
      </c>
    </row>
    <row r="53" spans="1:10" ht="82.5" customHeight="1">
      <c r="A53" s="261" t="s">
        <v>162</v>
      </c>
      <c r="B53" s="262">
        <v>211</v>
      </c>
      <c r="C53" s="263"/>
      <c r="D53" s="263"/>
      <c r="E53" s="290" t="s">
        <v>35</v>
      </c>
      <c r="F53" s="264" t="s">
        <v>165</v>
      </c>
      <c r="G53" s="282"/>
      <c r="H53" s="286">
        <v>17628.975000000002</v>
      </c>
      <c r="I53" s="284">
        <v>43801</v>
      </c>
      <c r="J53" s="285">
        <v>43801</v>
      </c>
    </row>
    <row r="54" spans="1:10" ht="82.5" customHeight="1">
      <c r="A54" s="261" t="s">
        <v>162</v>
      </c>
      <c r="B54" s="262">
        <v>210</v>
      </c>
      <c r="C54" s="263"/>
      <c r="D54" s="263"/>
      <c r="E54" s="290" t="s">
        <v>35</v>
      </c>
      <c r="F54" s="264" t="s">
        <v>166</v>
      </c>
      <c r="G54" s="282"/>
      <c r="H54" s="286">
        <v>17289.956249999999</v>
      </c>
      <c r="I54" s="284">
        <v>43771</v>
      </c>
      <c r="J54" s="285">
        <v>43771</v>
      </c>
    </row>
    <row r="55" spans="1:10" ht="98.25" customHeight="1">
      <c r="A55" s="261" t="s">
        <v>162</v>
      </c>
      <c r="B55" s="262">
        <v>204</v>
      </c>
      <c r="C55" s="263"/>
      <c r="D55" s="263"/>
      <c r="E55" s="290" t="s">
        <v>35</v>
      </c>
      <c r="F55" s="264" t="s">
        <v>167</v>
      </c>
      <c r="G55" s="282"/>
      <c r="H55" s="283">
        <v>0</v>
      </c>
      <c r="I55" s="284">
        <v>44068</v>
      </c>
      <c r="J55" s="285">
        <v>44068</v>
      </c>
    </row>
    <row r="56" spans="1:10" ht="114" customHeight="1">
      <c r="A56" s="261" t="s">
        <v>162</v>
      </c>
      <c r="B56" s="262"/>
      <c r="C56" s="263"/>
      <c r="D56" s="263"/>
      <c r="E56" s="290" t="s">
        <v>35</v>
      </c>
      <c r="F56" s="264" t="s">
        <v>168</v>
      </c>
      <c r="G56" s="282"/>
      <c r="H56" s="283">
        <v>0</v>
      </c>
      <c r="I56" s="284">
        <v>44081</v>
      </c>
      <c r="J56" s="285">
        <v>44081</v>
      </c>
    </row>
    <row r="57" spans="1:10" ht="98.25" customHeight="1">
      <c r="A57" s="261" t="s">
        <v>162</v>
      </c>
      <c r="B57" s="262"/>
      <c r="C57" s="263"/>
      <c r="D57" s="263"/>
      <c r="E57" s="290" t="s">
        <v>35</v>
      </c>
      <c r="F57" s="264" t="s">
        <v>169</v>
      </c>
      <c r="G57" s="282"/>
      <c r="H57" s="283">
        <v>0</v>
      </c>
      <c r="I57" s="284">
        <v>44109</v>
      </c>
      <c r="J57" s="285">
        <v>44109</v>
      </c>
    </row>
    <row r="58" spans="1:10" ht="50.25" customHeight="1">
      <c r="A58" s="261" t="s">
        <v>162</v>
      </c>
      <c r="B58" s="262">
        <v>218</v>
      </c>
      <c r="C58" s="263"/>
      <c r="D58" s="263"/>
      <c r="E58" s="290" t="s">
        <v>116</v>
      </c>
      <c r="F58" s="264" t="s">
        <v>170</v>
      </c>
      <c r="G58" s="282"/>
      <c r="H58" s="286">
        <v>85365</v>
      </c>
      <c r="I58" s="284">
        <v>43885</v>
      </c>
      <c r="J58" s="285">
        <v>43885</v>
      </c>
    </row>
    <row r="59" spans="1:10" ht="50.25" customHeight="1">
      <c r="A59" s="261" t="s">
        <v>162</v>
      </c>
      <c r="B59" s="262">
        <v>219</v>
      </c>
      <c r="C59" s="263"/>
      <c r="D59" s="263"/>
      <c r="E59" s="290" t="s">
        <v>116</v>
      </c>
      <c r="F59" s="264" t="s">
        <v>171</v>
      </c>
      <c r="G59" s="282"/>
      <c r="H59" s="286">
        <v>7797.4312500000005</v>
      </c>
      <c r="I59" s="284">
        <v>44042</v>
      </c>
      <c r="J59" s="285">
        <v>44042</v>
      </c>
    </row>
    <row r="60" spans="1:10" ht="50.25" customHeight="1">
      <c r="A60" s="261" t="s">
        <v>162</v>
      </c>
      <c r="B60" s="262">
        <v>220</v>
      </c>
      <c r="C60" s="263"/>
      <c r="D60" s="263"/>
      <c r="E60" s="290" t="s">
        <v>116</v>
      </c>
      <c r="F60" s="264" t="s">
        <v>172</v>
      </c>
      <c r="G60" s="282"/>
      <c r="H60" s="286">
        <v>10509.581250000001</v>
      </c>
      <c r="I60" s="284">
        <v>44292</v>
      </c>
      <c r="J60" s="285">
        <v>44292</v>
      </c>
    </row>
    <row r="61" spans="1:10" ht="50.25" customHeight="1">
      <c r="A61" s="261" t="s">
        <v>173</v>
      </c>
      <c r="B61" s="262">
        <v>48</v>
      </c>
      <c r="C61" s="263"/>
      <c r="D61" s="263"/>
      <c r="E61" s="290" t="s">
        <v>35</v>
      </c>
      <c r="F61" s="264" t="s">
        <v>174</v>
      </c>
      <c r="G61" s="282"/>
      <c r="H61" s="286">
        <v>31530.186000000002</v>
      </c>
      <c r="I61" s="284">
        <v>43971</v>
      </c>
      <c r="J61" s="285">
        <v>43971</v>
      </c>
    </row>
    <row r="62" spans="1:10" ht="50.25" customHeight="1">
      <c r="A62" s="261" t="s">
        <v>173</v>
      </c>
      <c r="B62" s="262">
        <v>45</v>
      </c>
      <c r="C62" s="263"/>
      <c r="D62" s="263"/>
      <c r="E62" s="290" t="s">
        <v>100</v>
      </c>
      <c r="F62" s="264" t="s">
        <v>175</v>
      </c>
      <c r="G62" s="282"/>
      <c r="H62" s="283">
        <v>0</v>
      </c>
      <c r="I62" s="284">
        <v>44068</v>
      </c>
      <c r="J62" s="285">
        <v>44068</v>
      </c>
    </row>
    <row r="63" spans="1:10" ht="50.25" customHeight="1">
      <c r="A63" s="261" t="s">
        <v>173</v>
      </c>
      <c r="B63" s="262">
        <v>52</v>
      </c>
      <c r="C63" s="263"/>
      <c r="D63" s="263"/>
      <c r="E63" s="290" t="s">
        <v>103</v>
      </c>
      <c r="F63" s="264" t="s">
        <v>176</v>
      </c>
      <c r="G63" s="282"/>
      <c r="H63" s="283">
        <v>0</v>
      </c>
      <c r="I63" s="284">
        <v>44068</v>
      </c>
      <c r="J63" s="285">
        <v>44068</v>
      </c>
    </row>
    <row r="64" spans="1:10" ht="50.25" customHeight="1">
      <c r="A64" s="261" t="s">
        <v>173</v>
      </c>
      <c r="B64" s="262">
        <v>53</v>
      </c>
      <c r="C64" s="263"/>
      <c r="D64" s="263"/>
      <c r="E64" s="290" t="s">
        <v>100</v>
      </c>
      <c r="F64" s="264" t="s">
        <v>177</v>
      </c>
      <c r="G64" s="282"/>
      <c r="H64" s="283">
        <v>0</v>
      </c>
      <c r="I64" s="284">
        <v>44068</v>
      </c>
      <c r="J64" s="285">
        <v>44068</v>
      </c>
    </row>
    <row r="65" spans="1:10" ht="50.25" customHeight="1">
      <c r="A65" s="261" t="s">
        <v>158</v>
      </c>
      <c r="B65" s="262">
        <v>6</v>
      </c>
      <c r="C65" s="263"/>
      <c r="D65" s="263"/>
      <c r="E65" s="290" t="s">
        <v>103</v>
      </c>
      <c r="F65" s="264" t="s">
        <v>178</v>
      </c>
      <c r="G65" s="282"/>
      <c r="H65" s="283">
        <v>9509.4449999999997</v>
      </c>
      <c r="I65" s="284">
        <v>44322</v>
      </c>
      <c r="J65" s="285">
        <v>44322</v>
      </c>
    </row>
    <row r="66" spans="1:10" ht="50.25" customHeight="1">
      <c r="A66" s="261" t="s">
        <v>114</v>
      </c>
      <c r="B66" s="262">
        <v>657</v>
      </c>
      <c r="C66" s="263"/>
      <c r="D66" s="263"/>
      <c r="E66" s="291" t="s">
        <v>109</v>
      </c>
      <c r="F66" s="264" t="s">
        <v>179</v>
      </c>
      <c r="G66" s="282"/>
      <c r="H66" s="283">
        <v>53379</v>
      </c>
      <c r="I66" s="284">
        <v>44384</v>
      </c>
      <c r="J66" s="285">
        <v>44384</v>
      </c>
    </row>
    <row r="67" spans="1:10" ht="50.25" customHeight="1">
      <c r="A67" s="261" t="s">
        <v>131</v>
      </c>
      <c r="B67" s="262">
        <v>90</v>
      </c>
      <c r="C67" s="263"/>
      <c r="D67" s="263"/>
      <c r="E67" s="292" t="s">
        <v>180</v>
      </c>
      <c r="F67" s="264" t="s">
        <v>181</v>
      </c>
      <c r="G67" s="282"/>
      <c r="H67" s="283">
        <v>0</v>
      </c>
      <c r="I67" s="284">
        <v>44197</v>
      </c>
      <c r="J67" s="285">
        <v>44197</v>
      </c>
    </row>
    <row r="68" spans="1:10" ht="50.25" customHeight="1">
      <c r="A68" s="261" t="s">
        <v>162</v>
      </c>
      <c r="B68" s="262">
        <v>221</v>
      </c>
      <c r="C68" s="263"/>
      <c r="D68" s="263"/>
      <c r="E68" s="292" t="s">
        <v>129</v>
      </c>
      <c r="F68" s="264" t="s">
        <v>182</v>
      </c>
      <c r="G68" s="282">
        <v>44467</v>
      </c>
      <c r="H68" s="283">
        <v>4230.9539999999997</v>
      </c>
      <c r="I68" s="284">
        <v>44435</v>
      </c>
      <c r="J68" s="285">
        <v>44435</v>
      </c>
    </row>
    <row r="69" spans="1:10" ht="50.25" customHeight="1">
      <c r="A69" s="261" t="s">
        <v>162</v>
      </c>
      <c r="B69" s="262">
        <v>222</v>
      </c>
      <c r="C69" s="263"/>
      <c r="D69" s="263"/>
      <c r="E69" s="292" t="s">
        <v>180</v>
      </c>
      <c r="F69" s="264" t="s">
        <v>183</v>
      </c>
      <c r="G69" s="282">
        <v>44467</v>
      </c>
      <c r="H69" s="283">
        <v>12549.660480000002</v>
      </c>
      <c r="I69" s="284">
        <v>44435</v>
      </c>
      <c r="J69" s="285">
        <v>44435</v>
      </c>
    </row>
    <row r="70" spans="1:10" ht="50.25" customHeight="1">
      <c r="A70" s="261" t="s">
        <v>99</v>
      </c>
      <c r="B70" s="262">
        <v>46</v>
      </c>
      <c r="C70" s="263"/>
      <c r="D70" s="263"/>
      <c r="E70" s="292" t="s">
        <v>116</v>
      </c>
      <c r="F70" s="264" t="s">
        <v>184</v>
      </c>
      <c r="G70" s="282">
        <v>44461</v>
      </c>
      <c r="H70" s="283">
        <v>3809.8800000000006</v>
      </c>
      <c r="I70" s="284">
        <v>44447</v>
      </c>
      <c r="J70" s="285">
        <v>44447</v>
      </c>
    </row>
    <row r="71" spans="1:10" ht="50.25" customHeight="1">
      <c r="A71" s="261" t="s">
        <v>158</v>
      </c>
      <c r="B71" s="262">
        <v>7</v>
      </c>
      <c r="C71" s="263"/>
      <c r="D71" s="263"/>
      <c r="E71" s="292" t="s">
        <v>103</v>
      </c>
      <c r="F71" s="264" t="s">
        <v>185</v>
      </c>
      <c r="G71" s="282"/>
      <c r="H71" s="283">
        <v>3544.4295000000002</v>
      </c>
      <c r="I71" s="284">
        <v>44439</v>
      </c>
      <c r="J71" s="285">
        <v>44439</v>
      </c>
    </row>
    <row r="72" spans="1:10" ht="50.25" customHeight="1">
      <c r="A72" s="261" t="s">
        <v>131</v>
      </c>
      <c r="B72" s="262">
        <v>89</v>
      </c>
      <c r="C72" s="263"/>
      <c r="D72" s="263"/>
      <c r="E72" s="292" t="s">
        <v>109</v>
      </c>
      <c r="F72" s="264" t="s">
        <v>186</v>
      </c>
      <c r="G72" s="282">
        <v>44468</v>
      </c>
      <c r="H72" s="283">
        <v>14544.381600000001</v>
      </c>
      <c r="I72" s="284">
        <v>44450</v>
      </c>
      <c r="J72" s="285">
        <v>44453</v>
      </c>
    </row>
    <row r="73" spans="1:10" ht="50.25" customHeight="1">
      <c r="A73" s="261" t="s">
        <v>131</v>
      </c>
      <c r="B73" s="262">
        <v>88</v>
      </c>
      <c r="C73" s="263"/>
      <c r="D73" s="263"/>
      <c r="E73" s="292" t="s">
        <v>103</v>
      </c>
      <c r="F73" s="264" t="s">
        <v>187</v>
      </c>
      <c r="G73" s="282"/>
      <c r="H73" s="283">
        <v>970.91999999999985</v>
      </c>
      <c r="I73" s="284">
        <v>44419</v>
      </c>
      <c r="J73" s="285">
        <v>44425</v>
      </c>
    </row>
    <row r="74" spans="1:10" ht="50.25" customHeight="1">
      <c r="A74" s="261" t="s">
        <v>99</v>
      </c>
      <c r="B74" s="262">
        <v>45</v>
      </c>
      <c r="C74" s="263"/>
      <c r="D74" s="263"/>
      <c r="E74" s="292" t="s">
        <v>116</v>
      </c>
      <c r="F74" s="264" t="s">
        <v>188</v>
      </c>
      <c r="G74" s="282">
        <v>44438</v>
      </c>
      <c r="H74" s="283">
        <v>14287.050000000001</v>
      </c>
      <c r="I74" s="284">
        <v>44407</v>
      </c>
      <c r="J74" s="285">
        <v>44407</v>
      </c>
    </row>
    <row r="75" spans="1:10" ht="50.25" customHeight="1">
      <c r="A75" s="261" t="s">
        <v>27</v>
      </c>
      <c r="B75" s="262">
        <v>1000</v>
      </c>
      <c r="C75" s="263"/>
      <c r="D75" s="263"/>
      <c r="E75" s="292" t="s">
        <v>128</v>
      </c>
      <c r="F75" s="264" t="s">
        <v>189</v>
      </c>
      <c r="G75" s="282"/>
      <c r="H75" s="283">
        <v>0</v>
      </c>
      <c r="I75" s="284">
        <v>44525</v>
      </c>
      <c r="J75" s="285">
        <v>44525</v>
      </c>
    </row>
    <row r="76" spans="1:10" ht="50.25" customHeight="1">
      <c r="A76" s="261" t="s">
        <v>27</v>
      </c>
      <c r="B76" s="262">
        <v>1001</v>
      </c>
      <c r="C76" s="263"/>
      <c r="D76" s="263"/>
      <c r="E76" s="292" t="s">
        <v>128</v>
      </c>
      <c r="F76" s="264" t="s">
        <v>190</v>
      </c>
      <c r="G76" s="282"/>
      <c r="H76" s="283">
        <v>0</v>
      </c>
      <c r="I76" s="284">
        <v>44525</v>
      </c>
      <c r="J76" s="285">
        <v>44525</v>
      </c>
    </row>
    <row r="77" spans="1:10" ht="50.25" customHeight="1">
      <c r="A77" s="261" t="s">
        <v>140</v>
      </c>
      <c r="B77" s="262">
        <v>1002</v>
      </c>
      <c r="C77" s="263"/>
      <c r="D77" s="263"/>
      <c r="E77" s="292" t="s">
        <v>180</v>
      </c>
      <c r="F77" s="264" t="s">
        <v>191</v>
      </c>
      <c r="G77" s="282">
        <v>44530</v>
      </c>
      <c r="H77" s="283">
        <v>3337.2</v>
      </c>
      <c r="I77" s="284"/>
      <c r="J77" s="285">
        <v>0</v>
      </c>
    </row>
    <row r="78" spans="1:10" ht="50.25" customHeight="1">
      <c r="A78" s="261" t="s">
        <v>114</v>
      </c>
      <c r="B78" s="262">
        <v>1003</v>
      </c>
      <c r="C78" s="263"/>
      <c r="D78" s="263"/>
      <c r="E78" s="292" t="s">
        <v>116</v>
      </c>
      <c r="F78" s="264" t="s">
        <v>192</v>
      </c>
      <c r="G78" s="282">
        <v>44558</v>
      </c>
      <c r="H78" s="283">
        <v>645.4</v>
      </c>
      <c r="I78" s="284">
        <v>44538</v>
      </c>
      <c r="J78" s="285">
        <v>44538</v>
      </c>
    </row>
    <row r="79" spans="1:10" ht="50.25" customHeight="1">
      <c r="A79" s="261" t="s">
        <v>140</v>
      </c>
      <c r="B79" s="262">
        <v>1004</v>
      </c>
      <c r="C79" s="263">
        <v>2778</v>
      </c>
      <c r="D79" s="263"/>
      <c r="E79" s="292" t="s">
        <v>106</v>
      </c>
      <c r="F79" s="264" t="s">
        <v>193</v>
      </c>
      <c r="G79" s="282">
        <v>44550</v>
      </c>
      <c r="H79" s="283">
        <v>103870.35</v>
      </c>
      <c r="I79" s="284">
        <v>44565</v>
      </c>
      <c r="J79" s="285">
        <v>44565</v>
      </c>
    </row>
    <row r="80" spans="1:10" ht="50.25" customHeight="1">
      <c r="A80" s="261" t="s">
        <v>114</v>
      </c>
      <c r="B80" s="262">
        <v>1005</v>
      </c>
      <c r="C80" s="263"/>
      <c r="D80" s="263"/>
      <c r="E80" s="292" t="s">
        <v>180</v>
      </c>
      <c r="F80" s="264" t="s">
        <v>194</v>
      </c>
      <c r="G80" s="282"/>
      <c r="H80" s="283">
        <v>165474.9</v>
      </c>
      <c r="I80" s="284">
        <v>44565</v>
      </c>
      <c r="J80" s="285">
        <v>44565</v>
      </c>
    </row>
    <row r="81" spans="1:10" ht="50.25" customHeight="1">
      <c r="A81" s="261" t="s">
        <v>99</v>
      </c>
      <c r="B81" s="262">
        <v>1006</v>
      </c>
      <c r="C81" s="263">
        <v>2216</v>
      </c>
      <c r="D81" s="263"/>
      <c r="E81" s="292" t="s">
        <v>29</v>
      </c>
      <c r="F81" s="264" t="s">
        <v>195</v>
      </c>
      <c r="G81" s="282"/>
      <c r="H81" s="283">
        <v>793.72500000000002</v>
      </c>
      <c r="I81" s="284"/>
      <c r="J81" s="285">
        <v>0</v>
      </c>
    </row>
    <row r="82" spans="1:10" ht="50.25" customHeight="1">
      <c r="A82" s="261" t="s">
        <v>140</v>
      </c>
      <c r="B82" s="262">
        <v>1007</v>
      </c>
      <c r="C82" s="263">
        <v>3096</v>
      </c>
      <c r="D82" s="263"/>
      <c r="E82" s="292" t="s">
        <v>116</v>
      </c>
      <c r="F82" s="264" t="s">
        <v>196</v>
      </c>
      <c r="G82" s="282">
        <v>44896</v>
      </c>
      <c r="H82" s="283">
        <v>130150.8</v>
      </c>
      <c r="I82" s="284">
        <v>44573</v>
      </c>
      <c r="J82" s="285">
        <v>44573</v>
      </c>
    </row>
    <row r="83" spans="1:10" ht="50.25" customHeight="1">
      <c r="A83" s="261" t="s">
        <v>158</v>
      </c>
      <c r="B83" s="262">
        <v>1008</v>
      </c>
      <c r="C83" s="263">
        <v>3216</v>
      </c>
      <c r="D83" s="263"/>
      <c r="E83" s="292" t="s">
        <v>180</v>
      </c>
      <c r="F83" s="264" t="s">
        <v>197</v>
      </c>
      <c r="G83" s="282">
        <v>44575</v>
      </c>
      <c r="H83" s="283">
        <v>3457.98</v>
      </c>
      <c r="I83" s="284">
        <v>44578</v>
      </c>
      <c r="J83" s="285">
        <v>44578</v>
      </c>
    </row>
    <row r="84" spans="1:10" ht="50.25" customHeight="1">
      <c r="A84" s="261" t="s">
        <v>140</v>
      </c>
      <c r="B84" s="262">
        <v>1009</v>
      </c>
      <c r="C84" s="263">
        <v>1562</v>
      </c>
      <c r="D84" s="263"/>
      <c r="E84" s="292" t="s">
        <v>116</v>
      </c>
      <c r="F84" s="264" t="s">
        <v>198</v>
      </c>
      <c r="G84" s="282"/>
      <c r="H84" s="283">
        <v>15017.400000000001</v>
      </c>
      <c r="I84" s="284">
        <v>44519</v>
      </c>
      <c r="J84" s="285">
        <v>44519</v>
      </c>
    </row>
    <row r="85" spans="1:10" ht="50.25" customHeight="1">
      <c r="A85" s="261" t="s">
        <v>162</v>
      </c>
      <c r="B85" s="262">
        <v>1010</v>
      </c>
      <c r="C85" s="263">
        <v>3547</v>
      </c>
      <c r="D85" s="263"/>
      <c r="E85" s="292" t="s">
        <v>180</v>
      </c>
      <c r="F85" s="264" t="s">
        <v>199</v>
      </c>
      <c r="G85" s="282"/>
      <c r="H85" s="283">
        <v>0</v>
      </c>
      <c r="I85" s="284">
        <v>44588</v>
      </c>
      <c r="J85" s="285">
        <v>44588</v>
      </c>
    </row>
    <row r="86" spans="1:10" ht="50.25" customHeight="1">
      <c r="A86" s="261" t="s">
        <v>162</v>
      </c>
      <c r="B86" s="262">
        <v>1011</v>
      </c>
      <c r="C86" s="263">
        <v>3579</v>
      </c>
      <c r="D86" s="263"/>
      <c r="E86" s="292" t="s">
        <v>200</v>
      </c>
      <c r="F86" s="264" t="s">
        <v>201</v>
      </c>
      <c r="G86" s="282"/>
      <c r="H86" s="283">
        <v>0</v>
      </c>
      <c r="I86" s="284">
        <v>44588</v>
      </c>
      <c r="J86" s="285">
        <v>44588</v>
      </c>
    </row>
    <row r="87" spans="1:10" ht="50.25" customHeight="1">
      <c r="A87" s="261" t="s">
        <v>27</v>
      </c>
      <c r="B87" s="262">
        <v>1012</v>
      </c>
      <c r="C87" s="263">
        <v>4112</v>
      </c>
      <c r="D87" s="263"/>
      <c r="E87" s="292" t="s">
        <v>200</v>
      </c>
      <c r="F87" s="264" t="s">
        <v>202</v>
      </c>
      <c r="G87" s="282"/>
      <c r="H87" s="283">
        <v>0</v>
      </c>
      <c r="I87" s="284" t="s">
        <v>203</v>
      </c>
      <c r="J87" s="285">
        <v>0</v>
      </c>
    </row>
    <row r="88" spans="1:10" ht="50.25" customHeight="1">
      <c r="A88" s="261" t="s">
        <v>27</v>
      </c>
      <c r="B88" s="262">
        <v>1013</v>
      </c>
      <c r="C88" s="263">
        <v>4113</v>
      </c>
      <c r="D88" s="263"/>
      <c r="E88" s="292" t="s">
        <v>200</v>
      </c>
      <c r="F88" s="264" t="s">
        <v>204</v>
      </c>
      <c r="G88" s="282"/>
      <c r="H88" s="283">
        <v>0</v>
      </c>
      <c r="I88" s="284" t="s">
        <v>203</v>
      </c>
      <c r="J88" s="285">
        <v>0</v>
      </c>
    </row>
    <row r="89" spans="1:10" ht="50.25" customHeight="1">
      <c r="A89" s="261" t="s">
        <v>140</v>
      </c>
      <c r="B89" s="262">
        <v>1014</v>
      </c>
      <c r="C89" s="263">
        <v>4655</v>
      </c>
      <c r="D89" s="263"/>
      <c r="E89" s="292" t="s">
        <v>205</v>
      </c>
      <c r="F89" s="264" t="s">
        <v>206</v>
      </c>
      <c r="G89" s="282"/>
      <c r="H89" s="283">
        <v>0</v>
      </c>
      <c r="I89" s="284"/>
      <c r="J89" s="285">
        <v>0</v>
      </c>
    </row>
    <row r="90" spans="1:10" ht="50.25" customHeight="1">
      <c r="A90" s="261" t="s">
        <v>114</v>
      </c>
      <c r="B90" s="262">
        <v>1015</v>
      </c>
      <c r="C90" s="263">
        <v>5365</v>
      </c>
      <c r="D90" s="263"/>
      <c r="E90" s="292" t="s">
        <v>180</v>
      </c>
      <c r="F90" s="264" t="s">
        <v>207</v>
      </c>
      <c r="G90" s="282"/>
      <c r="H90" s="283">
        <v>0</v>
      </c>
      <c r="I90" s="284"/>
      <c r="J90" s="285">
        <v>0</v>
      </c>
    </row>
    <row r="91" spans="1:10" ht="50.25" customHeight="1">
      <c r="A91" s="261" t="s">
        <v>162</v>
      </c>
      <c r="B91" s="262">
        <v>1016</v>
      </c>
      <c r="C91" s="263">
        <v>3500</v>
      </c>
      <c r="D91" s="263"/>
      <c r="E91" s="292" t="s">
        <v>180</v>
      </c>
      <c r="F91" s="264" t="s">
        <v>208</v>
      </c>
      <c r="G91" s="282"/>
      <c r="H91" s="283">
        <v>0</v>
      </c>
      <c r="I91" s="284"/>
      <c r="J91" s="285">
        <v>0</v>
      </c>
    </row>
    <row r="92" spans="1:10" ht="50.25" customHeight="1">
      <c r="A92" s="261" t="s">
        <v>158</v>
      </c>
      <c r="B92" s="262">
        <v>1017</v>
      </c>
      <c r="C92" s="263">
        <v>6375</v>
      </c>
      <c r="D92" s="263"/>
      <c r="E92" s="292" t="s">
        <v>129</v>
      </c>
      <c r="F92" s="264" t="s">
        <v>209</v>
      </c>
      <c r="G92" s="282"/>
      <c r="H92" s="283">
        <v>0</v>
      </c>
      <c r="I92" s="284"/>
      <c r="J92" s="285">
        <v>0</v>
      </c>
    </row>
    <row r="93" spans="1:10" ht="50.25" customHeight="1">
      <c r="A93" s="261" t="s">
        <v>140</v>
      </c>
      <c r="B93" s="262">
        <v>1018</v>
      </c>
      <c r="C93" s="263">
        <v>6527</v>
      </c>
      <c r="D93" s="263"/>
      <c r="E93" s="292" t="s">
        <v>180</v>
      </c>
      <c r="F93" s="264" t="s">
        <v>210</v>
      </c>
      <c r="G93" s="282"/>
      <c r="H93" s="283">
        <v>0</v>
      </c>
      <c r="I93" s="284"/>
      <c r="J93" s="285">
        <v>0</v>
      </c>
    </row>
    <row r="94" spans="1:10" ht="50.25" customHeight="1">
      <c r="A94" s="261" t="s">
        <v>136</v>
      </c>
      <c r="B94" s="262">
        <v>1019</v>
      </c>
      <c r="C94" s="263">
        <v>6445</v>
      </c>
      <c r="D94" s="263"/>
      <c r="E94" s="292" t="s">
        <v>180</v>
      </c>
      <c r="F94" s="264" t="s">
        <v>211</v>
      </c>
      <c r="G94" s="282"/>
      <c r="H94" s="283">
        <v>0</v>
      </c>
      <c r="I94" s="284">
        <v>44699</v>
      </c>
      <c r="J94" s="285">
        <v>44699</v>
      </c>
    </row>
    <row r="95" spans="1:10" ht="50.25" customHeight="1">
      <c r="A95" s="261" t="s">
        <v>158</v>
      </c>
      <c r="B95" s="262">
        <v>1020</v>
      </c>
      <c r="C95" s="263">
        <v>7445</v>
      </c>
      <c r="D95" s="263"/>
      <c r="E95" s="292" t="s">
        <v>180</v>
      </c>
      <c r="F95" s="264" t="s">
        <v>212</v>
      </c>
      <c r="G95" s="282"/>
      <c r="H95" s="283">
        <v>0</v>
      </c>
      <c r="I95" s="284"/>
      <c r="J95" s="285">
        <v>0</v>
      </c>
    </row>
    <row r="96" spans="1:10" ht="50.25" customHeight="1">
      <c r="A96" s="261" t="s">
        <v>114</v>
      </c>
      <c r="B96" s="262">
        <v>1021</v>
      </c>
      <c r="C96" s="263">
        <v>7608</v>
      </c>
      <c r="D96" s="263"/>
      <c r="E96" s="292" t="s">
        <v>106</v>
      </c>
      <c r="F96" s="264" t="s">
        <v>213</v>
      </c>
      <c r="G96" s="282"/>
      <c r="H96" s="283">
        <v>0</v>
      </c>
      <c r="I96" s="284"/>
      <c r="J96" s="285">
        <v>0</v>
      </c>
    </row>
    <row r="97" spans="1:10" ht="50.25" customHeight="1">
      <c r="A97" s="261" t="s">
        <v>136</v>
      </c>
      <c r="B97" s="262">
        <v>1022</v>
      </c>
      <c r="C97" s="263"/>
      <c r="D97" s="263"/>
      <c r="E97" s="292" t="s">
        <v>129</v>
      </c>
      <c r="F97" s="264" t="s">
        <v>214</v>
      </c>
      <c r="G97" s="282"/>
      <c r="H97" s="283">
        <v>0</v>
      </c>
      <c r="I97" s="284"/>
      <c r="J97" s="285">
        <v>1</v>
      </c>
    </row>
    <row r="98" spans="1:10" ht="50.25" customHeight="1">
      <c r="A98" s="261" t="s">
        <v>50</v>
      </c>
      <c r="B98" s="262">
        <v>1023</v>
      </c>
      <c r="C98" s="263">
        <v>8485</v>
      </c>
      <c r="D98" s="263" t="s">
        <v>215</v>
      </c>
      <c r="E98" s="292" t="s">
        <v>200</v>
      </c>
      <c r="F98" s="264" t="s">
        <v>216</v>
      </c>
      <c r="G98" s="282"/>
      <c r="H98" s="283"/>
      <c r="I98" s="284">
        <v>44706</v>
      </c>
      <c r="J98" s="285">
        <v>44734</v>
      </c>
    </row>
    <row r="99" spans="1:10" ht="50.25" customHeight="1">
      <c r="A99" s="261" t="s">
        <v>50</v>
      </c>
      <c r="B99" s="262">
        <v>1024</v>
      </c>
      <c r="C99" s="263">
        <v>8489</v>
      </c>
      <c r="D99" s="263" t="s">
        <v>217</v>
      </c>
      <c r="E99" s="292" t="s">
        <v>200</v>
      </c>
      <c r="F99" s="264" t="s">
        <v>218</v>
      </c>
      <c r="G99" s="282"/>
      <c r="H99" s="283"/>
      <c r="I99" s="284">
        <v>44706</v>
      </c>
      <c r="J99" s="285">
        <v>44734</v>
      </c>
    </row>
    <row r="100" spans="1:10" ht="50.25" customHeight="1">
      <c r="A100" s="261" t="s">
        <v>50</v>
      </c>
      <c r="B100" s="262">
        <v>1025</v>
      </c>
      <c r="C100" s="263">
        <v>8504</v>
      </c>
      <c r="D100" s="263" t="s">
        <v>219</v>
      </c>
      <c r="E100" s="292" t="s">
        <v>200</v>
      </c>
      <c r="F100" s="264" t="s">
        <v>220</v>
      </c>
      <c r="G100" s="282"/>
      <c r="H100" s="283"/>
      <c r="I100" s="284">
        <v>44706</v>
      </c>
      <c r="J100" s="285">
        <v>44734</v>
      </c>
    </row>
    <row r="101" spans="1:10" ht="50.25" customHeight="1">
      <c r="A101" s="261" t="s">
        <v>50</v>
      </c>
      <c r="B101" s="262">
        <v>1026</v>
      </c>
      <c r="C101" s="263">
        <v>8510</v>
      </c>
      <c r="D101" s="263" t="s">
        <v>221</v>
      </c>
      <c r="E101" s="292" t="s">
        <v>200</v>
      </c>
      <c r="F101" s="264" t="s">
        <v>222</v>
      </c>
      <c r="G101" s="282"/>
      <c r="H101" s="283"/>
      <c r="I101" s="284">
        <v>44706</v>
      </c>
      <c r="J101" s="285">
        <v>44734</v>
      </c>
    </row>
    <row r="102" spans="1:10" ht="50.25" customHeight="1">
      <c r="A102" s="261" t="s">
        <v>50</v>
      </c>
      <c r="B102" s="262">
        <v>1027</v>
      </c>
      <c r="C102" s="263">
        <v>8508</v>
      </c>
      <c r="D102" s="263" t="s">
        <v>223</v>
      </c>
      <c r="E102" s="292" t="s">
        <v>200</v>
      </c>
      <c r="F102" s="264" t="s">
        <v>224</v>
      </c>
      <c r="G102" s="282"/>
      <c r="H102" s="283"/>
      <c r="I102" s="284">
        <v>44706</v>
      </c>
      <c r="J102" s="285">
        <v>44734</v>
      </c>
    </row>
    <row r="103" spans="1:10" ht="50.25" customHeight="1">
      <c r="A103" s="261" t="s">
        <v>50</v>
      </c>
      <c r="B103" s="262">
        <v>1028</v>
      </c>
      <c r="C103" s="263">
        <v>8487</v>
      </c>
      <c r="D103" s="263" t="s">
        <v>225</v>
      </c>
      <c r="E103" s="292" t="s">
        <v>200</v>
      </c>
      <c r="F103" s="264" t="s">
        <v>226</v>
      </c>
      <c r="G103" s="282"/>
      <c r="H103" s="283"/>
      <c r="I103" s="284">
        <v>44706</v>
      </c>
      <c r="J103" s="285">
        <v>44734</v>
      </c>
    </row>
    <row r="104" spans="1:10" ht="50.25" customHeight="1">
      <c r="A104" s="261" t="s">
        <v>50</v>
      </c>
      <c r="B104" s="262">
        <v>1029</v>
      </c>
      <c r="C104" s="263">
        <v>8491</v>
      </c>
      <c r="D104" s="263" t="s">
        <v>227</v>
      </c>
      <c r="E104" s="292" t="s">
        <v>100</v>
      </c>
      <c r="F104" s="264" t="s">
        <v>228</v>
      </c>
      <c r="G104" s="282"/>
      <c r="H104" s="283"/>
      <c r="I104" s="284">
        <v>44706</v>
      </c>
      <c r="J104" s="285">
        <v>44734</v>
      </c>
    </row>
    <row r="105" spans="1:10" ht="50.25" customHeight="1">
      <c r="A105" s="261" t="s">
        <v>50</v>
      </c>
      <c r="B105" s="262">
        <v>1030</v>
      </c>
      <c r="C105" s="263">
        <v>8493</v>
      </c>
      <c r="D105" s="263" t="s">
        <v>229</v>
      </c>
      <c r="E105" s="292" t="s">
        <v>100</v>
      </c>
      <c r="F105" s="264" t="s">
        <v>230</v>
      </c>
      <c r="G105" s="282"/>
      <c r="H105" s="283"/>
      <c r="I105" s="284">
        <v>44706</v>
      </c>
      <c r="J105" s="285">
        <v>44734</v>
      </c>
    </row>
    <row r="106" spans="1:10" ht="50.25" customHeight="1">
      <c r="A106" s="261" t="s">
        <v>50</v>
      </c>
      <c r="B106" s="262">
        <v>1031</v>
      </c>
      <c r="C106" s="263">
        <v>8512</v>
      </c>
      <c r="D106" s="263" t="s">
        <v>231</v>
      </c>
      <c r="E106" s="292" t="s">
        <v>29</v>
      </c>
      <c r="F106" s="264" t="s">
        <v>232</v>
      </c>
      <c r="G106" s="282"/>
      <c r="H106" s="283"/>
      <c r="I106" s="284">
        <v>44706</v>
      </c>
      <c r="J106" s="285">
        <v>44734</v>
      </c>
    </row>
    <row r="107" spans="1:10" ht="50.25" customHeight="1">
      <c r="A107" s="261" t="s">
        <v>50</v>
      </c>
      <c r="B107" s="262">
        <v>1032</v>
      </c>
      <c r="C107" s="263">
        <v>8500</v>
      </c>
      <c r="D107" s="263" t="s">
        <v>233</v>
      </c>
      <c r="E107" s="292" t="s">
        <v>29</v>
      </c>
      <c r="F107" s="264" t="s">
        <v>234</v>
      </c>
      <c r="G107" s="282"/>
      <c r="H107" s="283"/>
      <c r="I107" s="284">
        <v>44706</v>
      </c>
      <c r="J107" s="285">
        <v>44734</v>
      </c>
    </row>
    <row r="108" spans="1:10" ht="50.25" customHeight="1">
      <c r="A108" s="261" t="s">
        <v>138</v>
      </c>
      <c r="B108" s="262">
        <v>1033</v>
      </c>
      <c r="C108" s="263">
        <v>7738</v>
      </c>
      <c r="D108" s="263"/>
      <c r="E108" s="292" t="s">
        <v>180</v>
      </c>
      <c r="F108" s="264" t="s">
        <v>235</v>
      </c>
      <c r="G108" s="282"/>
      <c r="H108" s="283">
        <v>0</v>
      </c>
      <c r="I108" s="289">
        <v>44740</v>
      </c>
      <c r="J108" s="285">
        <v>44740</v>
      </c>
    </row>
    <row r="109" spans="1:10" ht="50.25" customHeight="1">
      <c r="A109" s="261" t="s">
        <v>138</v>
      </c>
      <c r="B109" s="262">
        <v>1050</v>
      </c>
      <c r="C109" s="263"/>
      <c r="D109" s="263"/>
      <c r="E109" s="292" t="s">
        <v>109</v>
      </c>
      <c r="F109" s="264" t="s">
        <v>236</v>
      </c>
      <c r="G109" s="282"/>
      <c r="H109" s="283">
        <v>0</v>
      </c>
      <c r="I109" s="289">
        <v>44883</v>
      </c>
      <c r="J109" s="285">
        <v>44883</v>
      </c>
    </row>
    <row r="110" spans="1:10" ht="50.25" customHeight="1">
      <c r="A110" s="261" t="s">
        <v>138</v>
      </c>
      <c r="B110" s="262">
        <v>1051</v>
      </c>
      <c r="C110" s="263"/>
      <c r="D110" s="263"/>
      <c r="E110" s="292" t="s">
        <v>109</v>
      </c>
      <c r="F110" s="264" t="s">
        <v>237</v>
      </c>
      <c r="G110" s="282"/>
      <c r="H110" s="283">
        <v>0</v>
      </c>
      <c r="I110" s="289">
        <v>44886</v>
      </c>
      <c r="J110" s="285">
        <v>44886</v>
      </c>
    </row>
    <row r="111" spans="1:10" ht="50.25" customHeight="1">
      <c r="A111" s="261" t="s">
        <v>158</v>
      </c>
      <c r="B111" s="262">
        <v>1036</v>
      </c>
      <c r="C111" s="263">
        <v>8255</v>
      </c>
      <c r="D111" s="263"/>
      <c r="E111" s="292" t="s">
        <v>180</v>
      </c>
      <c r="F111" s="264" t="s">
        <v>238</v>
      </c>
      <c r="G111" s="282"/>
      <c r="H111" s="283">
        <v>0</v>
      </c>
      <c r="I111" s="289">
        <v>44750</v>
      </c>
      <c r="J111" s="285">
        <v>44757</v>
      </c>
    </row>
    <row r="112" spans="1:10" ht="50.25" customHeight="1">
      <c r="A112" s="261" t="s">
        <v>158</v>
      </c>
      <c r="B112" s="262">
        <v>1037</v>
      </c>
      <c r="C112" s="263">
        <v>8253</v>
      </c>
      <c r="D112" s="263"/>
      <c r="E112" s="292" t="s">
        <v>180</v>
      </c>
      <c r="F112" s="264" t="s">
        <v>239</v>
      </c>
      <c r="G112" s="282"/>
      <c r="H112" s="283">
        <v>0</v>
      </c>
      <c r="I112" s="289">
        <v>44750</v>
      </c>
      <c r="J112" s="285">
        <v>44757</v>
      </c>
    </row>
    <row r="113" spans="1:10" ht="50.25" customHeight="1">
      <c r="A113" s="261" t="s">
        <v>158</v>
      </c>
      <c r="B113" s="262">
        <v>1038</v>
      </c>
      <c r="C113" s="263">
        <v>8715</v>
      </c>
      <c r="D113" s="263"/>
      <c r="E113" s="292" t="s">
        <v>106</v>
      </c>
      <c r="F113" s="264" t="s">
        <v>240</v>
      </c>
      <c r="G113" s="282"/>
      <c r="H113" s="283">
        <v>0</v>
      </c>
      <c r="I113" s="289">
        <v>44750</v>
      </c>
      <c r="J113" s="285">
        <v>44776</v>
      </c>
    </row>
    <row r="114" spans="1:10" ht="50.25" customHeight="1">
      <c r="A114" s="261" t="s">
        <v>114</v>
      </c>
      <c r="B114" s="262">
        <v>1039</v>
      </c>
      <c r="C114" s="263">
        <v>10104</v>
      </c>
      <c r="D114" s="263"/>
      <c r="E114" s="292" t="s">
        <v>109</v>
      </c>
      <c r="F114" s="264" t="s">
        <v>241</v>
      </c>
      <c r="G114" s="282"/>
      <c r="H114" s="283">
        <v>4000</v>
      </c>
      <c r="I114" s="289">
        <v>44870</v>
      </c>
      <c r="J114" s="285">
        <v>44839</v>
      </c>
    </row>
    <row r="115" spans="1:10" ht="50.25" customHeight="1">
      <c r="A115" s="261" t="s">
        <v>99</v>
      </c>
      <c r="B115" s="262">
        <v>1040</v>
      </c>
      <c r="C115" s="263">
        <v>10145</v>
      </c>
      <c r="D115" s="263"/>
      <c r="E115" s="292" t="s">
        <v>180</v>
      </c>
      <c r="F115" s="264" t="s">
        <v>242</v>
      </c>
      <c r="G115" s="282"/>
      <c r="H115" s="283">
        <v>0</v>
      </c>
      <c r="I115" s="289">
        <v>44713</v>
      </c>
      <c r="J115" s="285">
        <v>44840</v>
      </c>
    </row>
    <row r="116" spans="1:10" ht="50.25" customHeight="1">
      <c r="A116" s="261" t="s">
        <v>99</v>
      </c>
      <c r="B116" s="262">
        <v>1041</v>
      </c>
      <c r="C116" s="263"/>
      <c r="D116" s="263"/>
      <c r="E116" s="292" t="s">
        <v>106</v>
      </c>
      <c r="F116" s="264" t="s">
        <v>243</v>
      </c>
      <c r="G116" s="282"/>
      <c r="H116" s="283"/>
      <c r="I116" s="289"/>
      <c r="J116" s="285"/>
    </row>
    <row r="117" spans="1:10" ht="50.25" customHeight="1">
      <c r="A117" s="261" t="s">
        <v>162</v>
      </c>
      <c r="B117" s="262">
        <v>1042</v>
      </c>
      <c r="C117" s="263">
        <v>10455</v>
      </c>
      <c r="D117" s="263"/>
      <c r="E117" s="292" t="s">
        <v>106</v>
      </c>
      <c r="F117" s="264" t="s">
        <v>244</v>
      </c>
      <c r="G117" s="282"/>
      <c r="H117" s="283">
        <v>0</v>
      </c>
      <c r="I117" s="289">
        <v>44853</v>
      </c>
      <c r="J117" s="285">
        <v>44853</v>
      </c>
    </row>
    <row r="118" spans="1:10" ht="50.25" customHeight="1">
      <c r="A118" s="261" t="s">
        <v>131</v>
      </c>
      <c r="B118" s="262">
        <v>1043</v>
      </c>
      <c r="C118" s="263">
        <v>10575</v>
      </c>
      <c r="D118" s="263"/>
      <c r="E118" s="292" t="s">
        <v>106</v>
      </c>
      <c r="F118" s="264" t="s">
        <v>245</v>
      </c>
      <c r="G118" s="282"/>
      <c r="H118" s="283">
        <v>0</v>
      </c>
      <c r="I118" s="289">
        <v>44859</v>
      </c>
      <c r="J118" s="285">
        <v>44859</v>
      </c>
    </row>
    <row r="119" spans="1:10" ht="50.25" customHeight="1">
      <c r="A119" s="261" t="s">
        <v>131</v>
      </c>
      <c r="B119" s="262">
        <v>1044</v>
      </c>
      <c r="C119" s="263">
        <v>10582</v>
      </c>
      <c r="D119" s="263"/>
      <c r="E119" s="292" t="s">
        <v>106</v>
      </c>
      <c r="F119" s="264" t="s">
        <v>246</v>
      </c>
      <c r="G119" s="282"/>
      <c r="H119" s="283">
        <v>0</v>
      </c>
      <c r="I119" s="289">
        <v>44859</v>
      </c>
      <c r="J119" s="285">
        <v>44859</v>
      </c>
    </row>
    <row r="120" spans="1:10" ht="50.25" customHeight="1">
      <c r="A120" s="261" t="s">
        <v>140</v>
      </c>
      <c r="B120" s="262">
        <v>1045</v>
      </c>
      <c r="C120" s="263">
        <v>10136</v>
      </c>
      <c r="D120" s="263"/>
      <c r="E120" s="292" t="s">
        <v>106</v>
      </c>
      <c r="F120" s="264" t="s">
        <v>247</v>
      </c>
      <c r="G120" s="282"/>
      <c r="H120" s="283">
        <v>0</v>
      </c>
      <c r="I120" s="289">
        <v>44865</v>
      </c>
      <c r="J120" s="285">
        <v>44865</v>
      </c>
    </row>
    <row r="121" spans="1:10" ht="50.25" customHeight="1">
      <c r="A121" s="261" t="s">
        <v>140</v>
      </c>
      <c r="B121" s="262">
        <v>1046</v>
      </c>
      <c r="C121" s="263">
        <v>10416</v>
      </c>
      <c r="D121" s="263"/>
      <c r="E121" s="292" t="s">
        <v>106</v>
      </c>
      <c r="F121" s="264" t="s">
        <v>248</v>
      </c>
      <c r="G121" s="282"/>
      <c r="H121" s="283">
        <v>0</v>
      </c>
      <c r="I121" s="289">
        <v>44865</v>
      </c>
      <c r="J121" s="285">
        <v>44865</v>
      </c>
    </row>
    <row r="122" spans="1:10" ht="50.25" customHeight="1">
      <c r="A122" s="261" t="s">
        <v>158</v>
      </c>
      <c r="B122" s="262">
        <v>1047</v>
      </c>
      <c r="C122" s="263">
        <v>10954</v>
      </c>
      <c r="D122" s="263"/>
      <c r="E122" s="292" t="s">
        <v>106</v>
      </c>
      <c r="F122" s="264" t="s">
        <v>249</v>
      </c>
      <c r="G122" s="282"/>
      <c r="H122" s="283">
        <v>0</v>
      </c>
      <c r="I122" s="289" t="s">
        <v>250</v>
      </c>
      <c r="J122" s="285">
        <v>44872</v>
      </c>
    </row>
    <row r="123" spans="1:10" ht="50.25" customHeight="1">
      <c r="A123" s="261" t="s">
        <v>158</v>
      </c>
      <c r="B123" s="262">
        <v>1048</v>
      </c>
      <c r="C123" s="263">
        <v>10982</v>
      </c>
      <c r="D123" s="263"/>
      <c r="E123" s="292" t="s">
        <v>106</v>
      </c>
      <c r="F123" s="264" t="s">
        <v>251</v>
      </c>
      <c r="G123" s="282"/>
      <c r="H123" s="283">
        <v>0</v>
      </c>
      <c r="I123" s="289" t="s">
        <v>250</v>
      </c>
      <c r="J123" s="285">
        <v>44874</v>
      </c>
    </row>
    <row r="124" spans="1:10" ht="50.25" customHeight="1">
      <c r="A124" s="261" t="s">
        <v>162</v>
      </c>
      <c r="B124" s="262">
        <v>1049</v>
      </c>
      <c r="C124" s="263">
        <v>11158</v>
      </c>
      <c r="D124" s="263"/>
      <c r="E124" s="292" t="s">
        <v>116</v>
      </c>
      <c r="F124" s="264" t="s">
        <v>252</v>
      </c>
      <c r="G124" s="282"/>
      <c r="H124" s="283">
        <v>0</v>
      </c>
      <c r="I124" s="289">
        <v>44882</v>
      </c>
      <c r="J124" s="285">
        <v>44882</v>
      </c>
    </row>
    <row r="125" spans="1:10" ht="50.25" customHeight="1">
      <c r="A125" s="261"/>
      <c r="B125" s="262"/>
      <c r="C125" s="263"/>
      <c r="D125" s="263"/>
      <c r="E125" s="292"/>
      <c r="F125" s="264"/>
      <c r="G125" s="282"/>
      <c r="H125" s="283" t="s">
        <v>253</v>
      </c>
      <c r="I125" s="289"/>
      <c r="J125" s="285"/>
    </row>
    <row r="126" spans="1:10" ht="50.25" customHeight="1">
      <c r="A126" s="261"/>
      <c r="B126" s="262"/>
      <c r="C126" s="263"/>
      <c r="D126" s="263"/>
      <c r="E126" s="292"/>
      <c r="F126" s="264"/>
      <c r="G126" s="282"/>
      <c r="H126" s="283" t="s">
        <v>253</v>
      </c>
      <c r="I126" s="289"/>
      <c r="J126" s="285"/>
    </row>
    <row r="127" spans="1:10" ht="50.25" customHeight="1">
      <c r="A127" s="261"/>
      <c r="B127" s="262"/>
      <c r="C127" s="263"/>
      <c r="D127" s="263"/>
      <c r="E127" s="292"/>
      <c r="F127" s="264"/>
      <c r="G127" s="282"/>
      <c r="H127" s="283" t="s">
        <v>253</v>
      </c>
      <c r="I127" s="289"/>
      <c r="J127" s="285"/>
    </row>
    <row r="128" spans="1:10" ht="50.25" customHeight="1">
      <c r="A128" s="261"/>
      <c r="B128" s="262"/>
      <c r="C128" s="263"/>
      <c r="D128" s="263"/>
      <c r="E128" s="292"/>
      <c r="F128" s="264"/>
      <c r="G128" s="282"/>
      <c r="H128" s="283" t="s">
        <v>253</v>
      </c>
      <c r="I128" s="289"/>
      <c r="J128" s="285"/>
    </row>
    <row r="129" spans="1:10" ht="50.25" customHeight="1">
      <c r="A129" s="261"/>
      <c r="B129" s="262"/>
      <c r="C129" s="263"/>
      <c r="D129" s="263"/>
      <c r="E129" s="292"/>
      <c r="F129" s="264"/>
      <c r="G129" s="282"/>
      <c r="H129" s="283" t="s">
        <v>253</v>
      </c>
      <c r="I129" s="289"/>
      <c r="J129" s="285"/>
    </row>
    <row r="130" spans="1:10" ht="50.25" customHeight="1">
      <c r="A130" s="261"/>
      <c r="B130" s="262"/>
      <c r="C130" s="263"/>
      <c r="D130" s="263"/>
      <c r="E130" s="292"/>
      <c r="F130" s="264"/>
      <c r="G130" s="282"/>
      <c r="H130" s="283" t="s">
        <v>253</v>
      </c>
      <c r="I130" s="289"/>
      <c r="J130" s="285"/>
    </row>
    <row r="131" spans="1:10" ht="50.25" customHeight="1">
      <c r="A131" s="261"/>
      <c r="B131" s="262"/>
      <c r="C131" s="263"/>
      <c r="D131" s="263"/>
      <c r="E131" s="292"/>
      <c r="F131" s="264"/>
      <c r="G131" s="282"/>
      <c r="H131" s="283" t="s">
        <v>253</v>
      </c>
      <c r="I131" s="289"/>
      <c r="J131" s="285"/>
    </row>
    <row r="132" spans="1:10" ht="50.25" customHeight="1">
      <c r="A132" s="261"/>
      <c r="B132" s="262"/>
      <c r="C132" s="263"/>
      <c r="D132" s="263"/>
      <c r="E132" s="292"/>
      <c r="F132" s="264"/>
      <c r="G132" s="282"/>
      <c r="H132" s="283" t="s">
        <v>253</v>
      </c>
      <c r="I132" s="289"/>
      <c r="J132" s="285"/>
    </row>
    <row r="133" spans="1:10" ht="50.25" customHeight="1">
      <c r="A133" s="261"/>
      <c r="B133" s="262"/>
      <c r="C133" s="263"/>
      <c r="D133" s="263"/>
      <c r="E133" s="292"/>
      <c r="F133" s="264"/>
      <c r="G133" s="282"/>
      <c r="H133" s="283" t="s">
        <v>253</v>
      </c>
      <c r="I133" s="289"/>
      <c r="J133" s="285"/>
    </row>
    <row r="134" spans="1:10">
      <c r="A134" s="261"/>
      <c r="B134" s="262"/>
      <c r="C134" s="263"/>
      <c r="D134" s="263"/>
      <c r="E134" s="292"/>
      <c r="F134" s="264"/>
      <c r="G134" s="282"/>
      <c r="H134" s="283" t="s">
        <v>253</v>
      </c>
      <c r="I134" s="289"/>
      <c r="J134" s="285"/>
    </row>
    <row r="135" spans="1:10">
      <c r="A135" s="261"/>
      <c r="B135" s="262"/>
      <c r="C135" s="263"/>
      <c r="D135" s="263"/>
      <c r="E135" s="292"/>
      <c r="F135" s="264"/>
      <c r="G135" s="282"/>
      <c r="H135" s="283" t="s">
        <v>253</v>
      </c>
      <c r="I135" s="289"/>
      <c r="J135" s="285"/>
    </row>
    <row r="136" spans="1:10">
      <c r="A136" s="261"/>
      <c r="B136" s="262"/>
      <c r="C136" s="263"/>
      <c r="D136" s="263"/>
      <c r="E136" s="292"/>
      <c r="F136" s="264"/>
      <c r="G136" s="282"/>
      <c r="H136" s="283" t="s">
        <v>253</v>
      </c>
      <c r="I136" s="289"/>
      <c r="J136" s="285"/>
    </row>
    <row r="137" spans="1:10">
      <c r="A137" s="261"/>
      <c r="B137" s="262"/>
      <c r="C137" s="263"/>
      <c r="D137" s="263"/>
      <c r="E137" s="292"/>
      <c r="F137" s="264"/>
      <c r="G137" s="282"/>
      <c r="H137" s="283" t="s">
        <v>253</v>
      </c>
      <c r="I137" s="289"/>
      <c r="J137" s="285"/>
    </row>
    <row r="138" spans="1:10">
      <c r="A138" s="261"/>
      <c r="B138" s="262"/>
      <c r="C138" s="263"/>
      <c r="D138" s="263"/>
      <c r="E138" s="292"/>
      <c r="F138" s="264"/>
      <c r="G138" s="282"/>
      <c r="H138" s="283" t="s">
        <v>253</v>
      </c>
      <c r="I138" s="289"/>
      <c r="J138" s="285"/>
    </row>
    <row r="139" spans="1:10">
      <c r="A139" s="261"/>
      <c r="B139" s="262"/>
      <c r="C139" s="263"/>
      <c r="D139" s="263"/>
      <c r="E139" s="292"/>
      <c r="F139" s="264"/>
      <c r="G139" s="282"/>
      <c r="H139" s="283" t="s">
        <v>253</v>
      </c>
      <c r="I139" s="289"/>
      <c r="J139" s="285"/>
    </row>
    <row r="140" spans="1:10">
      <c r="A140" s="261"/>
      <c r="B140" s="262"/>
      <c r="C140" s="263"/>
      <c r="D140" s="263"/>
      <c r="E140" s="292"/>
      <c r="F140" s="264"/>
      <c r="G140" s="282"/>
      <c r="H140" s="283" t="s">
        <v>253</v>
      </c>
      <c r="I140" s="289"/>
      <c r="J140" s="285"/>
    </row>
    <row r="141" spans="1:10">
      <c r="A141" s="261"/>
      <c r="B141" s="262"/>
      <c r="C141" s="263"/>
      <c r="D141" s="263"/>
      <c r="E141" s="292"/>
      <c r="F141" s="264"/>
      <c r="G141" s="282"/>
      <c r="H141" s="283" t="s">
        <v>253</v>
      </c>
      <c r="I141" s="289"/>
      <c r="J141" s="285"/>
    </row>
    <row r="142" spans="1:10">
      <c r="A142" s="261"/>
      <c r="B142" s="262"/>
      <c r="C142" s="263"/>
      <c r="D142" s="263"/>
      <c r="E142" s="292"/>
      <c r="F142" s="264"/>
      <c r="G142" s="282"/>
      <c r="H142" s="283" t="s">
        <v>253</v>
      </c>
      <c r="I142" s="289"/>
      <c r="J142" s="285"/>
    </row>
    <row r="143" spans="1:10">
      <c r="A143" s="261"/>
      <c r="B143" s="262"/>
      <c r="C143" s="263"/>
      <c r="D143" s="263"/>
      <c r="E143" s="292"/>
      <c r="F143" s="264"/>
      <c r="G143" s="282"/>
      <c r="H143" s="283" t="s">
        <v>253</v>
      </c>
      <c r="I143" s="289"/>
      <c r="J143" s="285"/>
    </row>
    <row r="144" spans="1:10">
      <c r="A144" s="261"/>
      <c r="B144" s="262"/>
      <c r="C144" s="263"/>
      <c r="D144" s="263"/>
      <c r="E144" s="292"/>
      <c r="F144" s="264"/>
      <c r="G144" s="282"/>
      <c r="H144" s="283" t="s">
        <v>253</v>
      </c>
      <c r="I144" s="289"/>
      <c r="J144" s="285"/>
    </row>
    <row r="145" spans="1:10">
      <c r="A145" s="261"/>
      <c r="B145" s="262"/>
      <c r="C145" s="263"/>
      <c r="D145" s="263"/>
      <c r="E145" s="292"/>
      <c r="F145" s="264"/>
      <c r="G145" s="282"/>
      <c r="H145" s="283" t="s">
        <v>253</v>
      </c>
      <c r="I145" s="289"/>
      <c r="J145" s="285"/>
    </row>
    <row r="146" spans="1:10">
      <c r="A146" s="261"/>
      <c r="B146" s="262"/>
      <c r="C146" s="263"/>
      <c r="D146" s="263"/>
      <c r="E146" s="292"/>
      <c r="F146" s="264"/>
      <c r="G146" s="282"/>
      <c r="H146" s="283" t="s">
        <v>253</v>
      </c>
      <c r="I146" s="289"/>
      <c r="J146" s="285"/>
    </row>
    <row r="147" spans="1:10">
      <c r="A147" s="261"/>
      <c r="B147" s="262"/>
      <c r="C147" s="263"/>
      <c r="D147" s="263"/>
      <c r="E147" s="292"/>
      <c r="F147" s="264"/>
      <c r="G147" s="282"/>
      <c r="H147" s="283" t="s">
        <v>253</v>
      </c>
      <c r="I147" s="289"/>
      <c r="J147" s="285"/>
    </row>
    <row r="148" spans="1:10">
      <c r="A148" s="261"/>
      <c r="B148" s="262"/>
      <c r="C148" s="263"/>
      <c r="D148" s="263"/>
      <c r="E148" s="292"/>
      <c r="F148" s="264"/>
      <c r="G148" s="282"/>
      <c r="H148" s="283" t="s">
        <v>253</v>
      </c>
      <c r="I148" s="289"/>
      <c r="J148" s="285"/>
    </row>
    <row r="149" spans="1:10">
      <c r="A149" s="261"/>
      <c r="B149" s="262"/>
      <c r="C149" s="263"/>
      <c r="D149" s="263"/>
      <c r="E149" s="292"/>
      <c r="F149" s="264"/>
      <c r="G149" s="282"/>
      <c r="H149" s="283" t="s">
        <v>253</v>
      </c>
      <c r="I149" s="289"/>
      <c r="J149" s="285"/>
    </row>
    <row r="150" spans="1:10">
      <c r="A150" s="261"/>
      <c r="B150" s="262"/>
      <c r="C150" s="263"/>
      <c r="D150" s="263"/>
      <c r="E150" s="292"/>
      <c r="F150" s="264"/>
      <c r="G150" s="282"/>
      <c r="H150" s="283" t="s">
        <v>253</v>
      </c>
      <c r="I150" s="289"/>
      <c r="J150" s="285"/>
    </row>
    <row r="151" spans="1:10">
      <c r="A151" s="261"/>
      <c r="B151" s="262"/>
      <c r="C151" s="263"/>
      <c r="D151" s="263"/>
      <c r="E151" s="292"/>
      <c r="F151" s="264"/>
      <c r="G151" s="282"/>
      <c r="H151" s="283" t="s">
        <v>253</v>
      </c>
      <c r="I151" s="289"/>
      <c r="J151" s="285"/>
    </row>
    <row r="152" spans="1:10">
      <c r="A152" s="261"/>
      <c r="B152" s="262"/>
      <c r="C152" s="263"/>
      <c r="D152" s="263"/>
      <c r="E152" s="292"/>
      <c r="F152" s="264"/>
      <c r="G152" s="282"/>
      <c r="H152" s="283" t="s">
        <v>253</v>
      </c>
      <c r="I152" s="289"/>
      <c r="J152" s="285"/>
    </row>
    <row r="153" spans="1:10">
      <c r="A153" s="261"/>
      <c r="B153" s="262"/>
      <c r="C153" s="263"/>
      <c r="D153" s="263"/>
      <c r="E153" s="292"/>
      <c r="F153" s="264"/>
      <c r="G153" s="282"/>
      <c r="H153" s="283" t="s">
        <v>253</v>
      </c>
      <c r="I153" s="289"/>
      <c r="J153" s="285"/>
    </row>
    <row r="154" spans="1:10">
      <c r="A154" s="261"/>
      <c r="B154" s="262"/>
      <c r="C154" s="263"/>
      <c r="D154" s="263"/>
      <c r="E154" s="292"/>
      <c r="F154" s="264"/>
      <c r="G154" s="282"/>
      <c r="H154" s="283" t="s">
        <v>253</v>
      </c>
      <c r="I154" s="289"/>
      <c r="J154" s="285"/>
    </row>
    <row r="155" spans="1:10">
      <c r="A155" s="261"/>
      <c r="B155" s="262"/>
      <c r="C155" s="263"/>
      <c r="D155" s="263"/>
      <c r="E155" s="292"/>
      <c r="F155" s="264"/>
      <c r="G155" s="282"/>
      <c r="H155" s="283" t="s">
        <v>253</v>
      </c>
      <c r="I155" s="289"/>
      <c r="J155" s="285"/>
    </row>
    <row r="156" spans="1:10">
      <c r="A156" s="261"/>
      <c r="B156" s="262"/>
      <c r="C156" s="263"/>
      <c r="D156" s="263"/>
      <c r="E156" s="292"/>
      <c r="F156" s="264"/>
      <c r="G156" s="282"/>
      <c r="H156" s="283" t="s">
        <v>253</v>
      </c>
      <c r="I156" s="289"/>
      <c r="J156" s="285"/>
    </row>
    <row r="157" spans="1:10">
      <c r="A157" s="261"/>
      <c r="B157" s="262"/>
      <c r="C157" s="263"/>
      <c r="D157" s="263"/>
      <c r="E157" s="292"/>
      <c r="F157" s="264"/>
      <c r="G157" s="282"/>
      <c r="H157" s="283" t="s">
        <v>253</v>
      </c>
      <c r="I157" s="289"/>
      <c r="J157" s="285"/>
    </row>
    <row r="158" spans="1:10">
      <c r="A158" s="261"/>
      <c r="B158" s="262"/>
      <c r="C158" s="263"/>
      <c r="D158" s="263"/>
      <c r="E158" s="292"/>
      <c r="F158" s="264"/>
      <c r="G158" s="282"/>
      <c r="H158" s="283" t="s">
        <v>253</v>
      </c>
      <c r="I158" s="289"/>
      <c r="J158" s="285"/>
    </row>
    <row r="159" spans="1:10">
      <c r="A159" s="261"/>
      <c r="B159" s="262"/>
      <c r="C159" s="263"/>
      <c r="D159" s="263"/>
      <c r="E159" s="292"/>
      <c r="F159" s="264"/>
      <c r="G159" s="282"/>
      <c r="H159" s="283" t="s">
        <v>253</v>
      </c>
      <c r="I159" s="289"/>
      <c r="J159" s="285"/>
    </row>
    <row r="160" spans="1:10">
      <c r="A160" s="261"/>
      <c r="B160" s="262"/>
      <c r="C160" s="263"/>
      <c r="D160" s="263"/>
      <c r="E160" s="292"/>
      <c r="F160" s="264"/>
      <c r="G160" s="282"/>
      <c r="H160" s="283" t="s">
        <v>253</v>
      </c>
      <c r="I160" s="289"/>
      <c r="J160" s="285"/>
    </row>
    <row r="161" spans="1:10">
      <c r="A161" s="261"/>
      <c r="B161" s="262"/>
      <c r="C161" s="263"/>
      <c r="D161" s="263"/>
      <c r="E161" s="292"/>
      <c r="F161" s="264"/>
      <c r="G161" s="282"/>
      <c r="H161" s="283" t="s">
        <v>253</v>
      </c>
      <c r="I161" s="289"/>
      <c r="J161" s="285"/>
    </row>
    <row r="162" spans="1:10">
      <c r="A162" s="261"/>
      <c r="B162" s="262"/>
      <c r="C162" s="263"/>
      <c r="D162" s="263"/>
      <c r="E162" s="292"/>
      <c r="F162" s="264"/>
      <c r="G162" s="282"/>
      <c r="H162" s="283" t="s">
        <v>253</v>
      </c>
      <c r="I162" s="289"/>
      <c r="J162" s="285"/>
    </row>
    <row r="163" spans="1:10">
      <c r="A163" s="261"/>
      <c r="B163" s="262"/>
      <c r="C163" s="263"/>
      <c r="D163" s="263"/>
      <c r="E163" s="292"/>
      <c r="F163" s="264"/>
      <c r="G163" s="282"/>
      <c r="H163" s="283" t="s">
        <v>253</v>
      </c>
      <c r="I163" s="289"/>
      <c r="J163" s="285"/>
    </row>
    <row r="164" spans="1:10">
      <c r="A164" s="261"/>
      <c r="B164" s="262"/>
      <c r="C164" s="263"/>
      <c r="D164" s="263"/>
      <c r="E164" s="292"/>
      <c r="F164" s="264"/>
      <c r="G164" s="282"/>
      <c r="H164" s="283" t="s">
        <v>253</v>
      </c>
      <c r="I164" s="289"/>
      <c r="J164" s="285"/>
    </row>
    <row r="165" spans="1:10">
      <c r="A165" s="261"/>
      <c r="B165" s="262"/>
      <c r="C165" s="263"/>
      <c r="D165" s="263"/>
      <c r="E165" s="292"/>
      <c r="F165" s="264"/>
      <c r="G165" s="282"/>
      <c r="H165" s="283" t="s">
        <v>253</v>
      </c>
      <c r="I165" s="289"/>
      <c r="J165" s="285"/>
    </row>
    <row r="166" spans="1:10">
      <c r="A166" s="261"/>
      <c r="B166" s="262"/>
      <c r="C166" s="263"/>
      <c r="D166" s="263"/>
      <c r="E166" s="292"/>
      <c r="F166" s="264"/>
      <c r="G166" s="282"/>
      <c r="H166" s="283" t="s">
        <v>253</v>
      </c>
      <c r="I166" s="289"/>
      <c r="J166" s="285"/>
    </row>
    <row r="167" spans="1:10">
      <c r="A167" s="261"/>
      <c r="B167" s="262"/>
      <c r="C167" s="263"/>
      <c r="D167" s="263"/>
      <c r="E167" s="292"/>
      <c r="F167" s="264"/>
      <c r="G167" s="282"/>
      <c r="H167" s="283" t="s">
        <v>253</v>
      </c>
      <c r="I167" s="289"/>
      <c r="J167" s="285"/>
    </row>
    <row r="168" spans="1:10">
      <c r="A168" s="261"/>
      <c r="B168" s="262"/>
      <c r="C168" s="263"/>
      <c r="D168" s="263"/>
      <c r="E168" s="292"/>
      <c r="F168" s="264"/>
      <c r="G168" s="282"/>
      <c r="H168" s="283" t="s">
        <v>253</v>
      </c>
      <c r="I168" s="289"/>
      <c r="J168" s="285"/>
    </row>
    <row r="169" spans="1:10">
      <c r="A169" s="261"/>
      <c r="B169" s="262"/>
      <c r="C169" s="263"/>
      <c r="D169" s="263"/>
      <c r="E169" s="292"/>
      <c r="F169" s="264"/>
      <c r="G169" s="282"/>
      <c r="H169" s="283" t="s">
        <v>253</v>
      </c>
      <c r="I169" s="289"/>
      <c r="J169" s="285"/>
    </row>
    <row r="170" spans="1:10">
      <c r="A170" s="261"/>
      <c r="B170" s="262"/>
      <c r="C170" s="263"/>
      <c r="D170" s="263"/>
      <c r="E170" s="292"/>
      <c r="F170" s="264"/>
      <c r="G170" s="282"/>
      <c r="H170" s="283" t="s">
        <v>253</v>
      </c>
      <c r="I170" s="289"/>
      <c r="J170" s="285"/>
    </row>
    <row r="171" spans="1:10">
      <c r="A171" s="261"/>
      <c r="B171" s="262"/>
      <c r="C171" s="263"/>
      <c r="D171" s="263"/>
      <c r="E171" s="292"/>
      <c r="F171" s="264"/>
      <c r="G171" s="265"/>
      <c r="H171" s="266" t="s">
        <v>253</v>
      </c>
      <c r="I171" s="271"/>
      <c r="J171" s="267"/>
    </row>
    <row r="172" spans="1:10">
      <c r="A172" s="261"/>
      <c r="B172" s="262"/>
      <c r="C172" s="263"/>
      <c r="D172" s="263"/>
      <c r="E172" s="292"/>
      <c r="F172" s="264"/>
      <c r="G172" s="265"/>
      <c r="H172" s="266" t="s">
        <v>253</v>
      </c>
      <c r="I172" s="271"/>
      <c r="J172" s="267"/>
    </row>
    <row r="173" spans="1:10">
      <c r="A173" s="261"/>
      <c r="B173" s="262"/>
      <c r="C173" s="263"/>
      <c r="D173" s="263"/>
      <c r="E173" s="292"/>
      <c r="F173" s="264"/>
      <c r="G173" s="265"/>
      <c r="H173" s="266" t="s">
        <v>253</v>
      </c>
      <c r="I173" s="271"/>
      <c r="J173" s="267"/>
    </row>
    <row r="174" spans="1:10">
      <c r="A174" s="261"/>
      <c r="B174" s="262"/>
      <c r="C174" s="263"/>
      <c r="D174" s="263"/>
      <c r="E174" s="292"/>
      <c r="F174" s="264"/>
      <c r="G174" s="265"/>
      <c r="H174" s="266" t="s">
        <v>253</v>
      </c>
      <c r="I174" s="271"/>
      <c r="J174" s="267"/>
    </row>
    <row r="175" spans="1:10">
      <c r="A175" s="261"/>
      <c r="B175" s="262"/>
      <c r="C175" s="263"/>
      <c r="D175" s="263"/>
      <c r="E175" s="292"/>
      <c r="F175" s="264"/>
      <c r="G175" s="265"/>
      <c r="H175" s="266" t="s">
        <v>253</v>
      </c>
      <c r="I175" s="271"/>
      <c r="J175" s="267"/>
    </row>
    <row r="176" spans="1:10" ht="8.25" customHeight="1">
      <c r="A176" s="261"/>
      <c r="B176" s="262"/>
      <c r="C176" s="263"/>
      <c r="D176" s="263"/>
      <c r="E176" s="292"/>
      <c r="F176" s="264"/>
      <c r="G176" s="265"/>
      <c r="H176" s="266" t="s">
        <v>253</v>
      </c>
      <c r="I176" s="271"/>
      <c r="J176" s="267"/>
    </row>
    <row r="177" spans="1:10" ht="40.5" customHeight="1">
      <c r="A177" s="261"/>
      <c r="B177" s="262"/>
      <c r="C177" s="263"/>
      <c r="D177" s="263"/>
      <c r="E177" s="292"/>
      <c r="F177" s="264"/>
      <c r="G177" s="265"/>
      <c r="H177" s="266" t="s">
        <v>253</v>
      </c>
      <c r="I177" s="271"/>
      <c r="J177" s="267"/>
    </row>
    <row r="178" spans="1:10" ht="40.5" customHeight="1">
      <c r="E178" s="293"/>
      <c r="H178" s="281"/>
    </row>
    <row r="179" spans="1:10" ht="40.5" customHeight="1"/>
    <row r="180" spans="1:10" ht="40.5" customHeight="1"/>
    <row r="181" spans="1:10" ht="40.5" customHeight="1"/>
    <row r="182" spans="1:10" ht="40.5" customHeight="1"/>
    <row r="183" spans="1:10" ht="40.5" customHeight="1"/>
    <row r="184" spans="1:10" ht="40.5" customHeight="1"/>
    <row r="185" spans="1:10" ht="40.5" customHeight="1"/>
    <row r="186" spans="1:10" ht="40.5" customHeight="1"/>
    <row r="187" spans="1:10" ht="40.5" customHeight="1"/>
    <row r="188" spans="1:10" ht="40.5" customHeight="1"/>
    <row r="189" spans="1:10" ht="40.5" customHeight="1"/>
    <row r="190" spans="1:10" ht="40.5" customHeight="1"/>
    <row r="191" spans="1:10" ht="40.5" customHeight="1"/>
    <row r="192" spans="1:10" ht="40.5" customHeight="1"/>
    <row r="193" ht="40.5" customHeight="1"/>
    <row r="194" ht="40.5" customHeight="1"/>
    <row r="195" ht="40.5" customHeight="1"/>
    <row r="196" ht="40.5" customHeight="1"/>
    <row r="197" ht="40.5" customHeight="1"/>
    <row r="198" ht="40.5" customHeight="1"/>
    <row r="199" ht="40.5" customHeight="1"/>
    <row r="200" ht="40.5" customHeight="1"/>
    <row r="201" ht="40.5" customHeight="1"/>
    <row r="202" ht="40.5" customHeight="1"/>
    <row r="203" ht="40.5" customHeight="1"/>
    <row r="204" ht="40.5" customHeight="1"/>
    <row r="205" ht="40.5" customHeight="1"/>
    <row r="206" ht="40.5" customHeight="1"/>
    <row r="207" ht="40.5" customHeight="1"/>
    <row r="208" ht="40.5" customHeight="1"/>
    <row r="209" ht="40.5" customHeight="1"/>
    <row r="210" ht="40.5" customHeight="1"/>
    <row r="211" ht="40.5" customHeight="1"/>
    <row r="212" ht="40.5" customHeight="1"/>
    <row r="213" ht="40.5" customHeight="1"/>
    <row r="214" ht="40.5" customHeight="1"/>
    <row r="215" ht="40.5" customHeight="1"/>
    <row r="216" ht="40.5" customHeight="1"/>
    <row r="217" ht="40.5" customHeight="1"/>
    <row r="218" ht="40.5" customHeight="1"/>
    <row r="219" ht="40.5" customHeight="1"/>
    <row r="220" ht="40.5" customHeight="1"/>
    <row r="221" ht="40.5" customHeight="1"/>
    <row r="222" ht="40.5" customHeight="1"/>
    <row r="223" ht="40.5" customHeight="1"/>
    <row r="224" ht="40.5" customHeight="1"/>
    <row r="225" ht="40.5" customHeight="1"/>
    <row r="226" ht="40.5" customHeight="1"/>
    <row r="227" ht="40.5" customHeight="1"/>
    <row r="228" ht="40.5" customHeight="1"/>
    <row r="229" ht="40.5" customHeight="1"/>
    <row r="230" ht="40.5" customHeight="1"/>
    <row r="231" ht="40.5" customHeight="1"/>
    <row r="232" ht="40.5" customHeight="1"/>
    <row r="233" ht="40.5" customHeight="1"/>
    <row r="234" ht="40.5" customHeight="1"/>
    <row r="235" ht="40.5" customHeight="1"/>
    <row r="236" ht="40.5" customHeight="1"/>
    <row r="237" ht="40.5" customHeight="1"/>
    <row r="238" ht="40.5" customHeight="1"/>
    <row r="239" ht="40.5" customHeight="1"/>
    <row r="240" ht="40.5" customHeight="1"/>
    <row r="241" ht="40.5" customHeight="1"/>
    <row r="242" ht="40.5" customHeight="1"/>
    <row r="243" ht="40.5" customHeight="1"/>
    <row r="244" ht="40.5" customHeight="1"/>
    <row r="245" ht="40.5" customHeight="1"/>
    <row r="246" ht="40.5" customHeight="1"/>
    <row r="247" ht="40.5" customHeight="1"/>
    <row r="248" ht="40.5" customHeight="1"/>
    <row r="249" ht="40.5" customHeight="1"/>
    <row r="250" ht="40.5" customHeight="1"/>
    <row r="251" ht="40.5" customHeight="1"/>
    <row r="252" ht="40.5" customHeight="1"/>
    <row r="253" ht="40.5" customHeight="1"/>
    <row r="254" ht="40.5" customHeight="1"/>
    <row r="255" ht="40.5" customHeight="1"/>
    <row r="256" ht="40.5" customHeight="1"/>
    <row r="257" ht="40.5" customHeight="1"/>
    <row r="258" ht="40.5" customHeight="1"/>
    <row r="259" ht="40.5" customHeight="1"/>
    <row r="260" ht="40.5" customHeight="1"/>
    <row r="261" ht="40.5" customHeight="1"/>
    <row r="262" ht="40.5" customHeight="1"/>
    <row r="263" ht="40.5" customHeight="1"/>
    <row r="264" ht="40.5" customHeight="1"/>
    <row r="265" ht="40.5" customHeight="1"/>
    <row r="266" ht="40.5" customHeight="1"/>
    <row r="267" ht="40.5" customHeight="1"/>
    <row r="268" ht="40.5" customHeight="1"/>
    <row r="269" ht="40.5" customHeight="1"/>
    <row r="270" ht="40.5" customHeight="1"/>
    <row r="271" ht="40.5" customHeight="1"/>
    <row r="272" ht="40.5" customHeight="1"/>
    <row r="273" ht="40.5" customHeight="1"/>
    <row r="274" ht="40.5" customHeight="1"/>
    <row r="275" ht="40.5" customHeight="1"/>
    <row r="276" ht="40.5" customHeight="1"/>
    <row r="277" ht="40.5" customHeight="1"/>
    <row r="278" ht="40.5" customHeight="1"/>
    <row r="279" ht="40.5" customHeight="1"/>
    <row r="280" ht="40.5" customHeight="1"/>
    <row r="281" ht="40.5" customHeight="1"/>
    <row r="282" ht="40.5" customHeight="1"/>
    <row r="283" ht="40.5" customHeight="1"/>
    <row r="284" ht="40.5" customHeight="1"/>
    <row r="285" ht="40.5" customHeight="1"/>
    <row r="286" ht="40.5" customHeight="1"/>
    <row r="287" ht="40.5" customHeight="1"/>
    <row r="288" ht="40.5" customHeight="1"/>
    <row r="289" ht="40.5" customHeight="1"/>
    <row r="290" ht="40.5" customHeight="1"/>
    <row r="291" ht="40.5" customHeight="1"/>
    <row r="292" ht="40.5" customHeight="1"/>
    <row r="293" ht="40.5" customHeight="1"/>
    <row r="294" ht="40.5" customHeight="1"/>
    <row r="295" ht="40.5" customHeight="1"/>
    <row r="296" ht="40.5" customHeight="1"/>
    <row r="297" ht="40.5" customHeight="1"/>
    <row r="298" ht="40.5" customHeight="1"/>
    <row r="299" ht="40.5" customHeight="1"/>
    <row r="300" ht="40.5" customHeight="1"/>
    <row r="301" ht="40.5" customHeight="1"/>
    <row r="302" ht="40.5" customHeight="1"/>
    <row r="303" ht="40.5" customHeight="1"/>
    <row r="304" ht="40.5" customHeight="1"/>
    <row r="305" ht="40.5" customHeight="1"/>
    <row r="306" ht="40.5" customHeight="1"/>
    <row r="307" ht="40.5" customHeight="1"/>
    <row r="308" ht="40.5" customHeight="1"/>
    <row r="309" ht="40.5" customHeight="1"/>
    <row r="310" ht="40.5" customHeight="1"/>
    <row r="311" ht="40.5" customHeight="1"/>
    <row r="312" ht="40.5" customHeight="1"/>
    <row r="313" ht="40.5" customHeight="1"/>
    <row r="314" ht="40.5" customHeight="1"/>
    <row r="315" ht="40.5" customHeight="1"/>
    <row r="316" ht="40.5" customHeight="1"/>
    <row r="317" ht="40.5" customHeight="1"/>
    <row r="318" ht="40.5" customHeight="1"/>
    <row r="319" ht="40.5" customHeight="1"/>
    <row r="320" ht="40.5" customHeight="1"/>
    <row r="321" ht="40.5" customHeight="1"/>
    <row r="322" ht="40.5" customHeight="1"/>
    <row r="323" ht="40.5" customHeight="1"/>
    <row r="324" ht="40.5" customHeight="1"/>
    <row r="325" ht="40.5" customHeight="1"/>
    <row r="326" ht="40.5" customHeight="1"/>
    <row r="327" ht="40.5" customHeight="1"/>
    <row r="328" ht="40.5" customHeight="1"/>
    <row r="329" ht="40.5" customHeight="1"/>
    <row r="330" ht="40.5" customHeight="1"/>
    <row r="331" ht="40.5" customHeight="1"/>
  </sheetData>
  <sheetProtection sort="0" autoFilter="0"/>
  <autoFilter ref="A2:H177" xr:uid="{95ED83B0-1B28-4FEE-AE76-E7B2FEF8CF28}"/>
  <mergeCells count="1">
    <mergeCell ref="A1:J1"/>
  </mergeCells>
  <phoneticPr fontId="3" type="noConversion"/>
  <conditionalFormatting sqref="F59 F22:F36 F74:F86 F64:F72 F48:F57 F3:F20 F89:F1048576">
    <cfRule type="cellIs" dxfId="728" priority="363" operator="lessThan">
      <formula>0</formula>
    </cfRule>
  </conditionalFormatting>
  <conditionalFormatting sqref="E2">
    <cfRule type="containsText" dxfId="727" priority="311" operator="containsText" text="With Product">
      <formula>NOT(ISERROR(SEARCH("With Product",E2)))</formula>
    </cfRule>
    <cfRule type="containsText" dxfId="726" priority="312" operator="containsText" text="Rejected">
      <formula>NOT(ISERROR(SEARCH("Rejected",E2)))</formula>
    </cfRule>
    <cfRule type="beginsWith" dxfId="725" priority="313" operator="beginsWith" text="Live">
      <formula>LEFT(E2,LEN("Live"))="Live"</formula>
    </cfRule>
    <cfRule type="containsText" dxfId="724" priority="314" operator="containsText" text="Delivered">
      <formula>NOT(ISERROR(SEARCH("Delivered",E2)))</formula>
    </cfRule>
    <cfRule type="containsText" dxfId="723" priority="315" operator="containsText" text="Ref Product">
      <formula>NOT(ISERROR(SEARCH("Ref Product",E2)))</formula>
    </cfRule>
    <cfRule type="containsText" dxfId="722" priority="316" operator="containsText" text="Approved">
      <formula>NOT(ISERROR(SEARCH("Approved",E2)))</formula>
    </cfRule>
    <cfRule type="containsText" dxfId="721" priority="317" operator="containsText" text="With Client">
      <formula>NOT(ISERROR(SEARCH("With Client",E2)))</formula>
    </cfRule>
    <cfRule type="containsText" dxfId="720" priority="318" operator="containsText" text="With Mgt">
      <formula>NOT(ISERROR(SEARCH("With Mgt",E2)))</formula>
    </cfRule>
    <cfRule type="containsText" dxfId="719" priority="319" operator="containsText" text="Writing">
      <formula>NOT(ISERROR(SEARCH("Writing",E2)))</formula>
    </cfRule>
    <cfRule type="containsText" dxfId="718" priority="320" operator="containsText" text="Pre-RSC">
      <formula>NOT(ISERROR(SEARCH("Pre-RSC",E2)))</formula>
    </cfRule>
  </conditionalFormatting>
  <conditionalFormatting sqref="B2:D2">
    <cfRule type="containsText" dxfId="717" priority="301" operator="containsText" text="With Product">
      <formula>NOT(ISERROR(SEARCH("With Product",B2)))</formula>
    </cfRule>
    <cfRule type="containsText" dxfId="716" priority="302" operator="containsText" text="Rejected">
      <formula>NOT(ISERROR(SEARCH("Rejected",B2)))</formula>
    </cfRule>
    <cfRule type="beginsWith" dxfId="715" priority="303" operator="beginsWith" text="Live">
      <formula>LEFT(B2,LEN("Live"))="Live"</formula>
    </cfRule>
    <cfRule type="containsText" dxfId="714" priority="304" operator="containsText" text="Delivered">
      <formula>NOT(ISERROR(SEARCH("Delivered",B2)))</formula>
    </cfRule>
    <cfRule type="containsText" dxfId="713" priority="305" operator="containsText" text="Ref Product">
      <formula>NOT(ISERROR(SEARCH("Ref Product",B2)))</formula>
    </cfRule>
    <cfRule type="containsText" dxfId="712" priority="306" operator="containsText" text="Approved">
      <formula>NOT(ISERROR(SEARCH("Approved",B2)))</formula>
    </cfRule>
    <cfRule type="containsText" dxfId="711" priority="307" operator="containsText" text="With Client">
      <formula>NOT(ISERROR(SEARCH("With Client",B2)))</formula>
    </cfRule>
    <cfRule type="containsText" dxfId="710" priority="308" operator="containsText" text="With Mgt">
      <formula>NOT(ISERROR(SEARCH("With Mgt",B2)))</formula>
    </cfRule>
    <cfRule type="containsText" dxfId="709" priority="309" operator="containsText" text="Writing">
      <formula>NOT(ISERROR(SEARCH("Writing",B2)))</formula>
    </cfRule>
    <cfRule type="containsText" dxfId="708" priority="310" operator="containsText" text="Pre-RSC">
      <formula>NOT(ISERROR(SEARCH("Pre-RSC",B2)))</formula>
    </cfRule>
  </conditionalFormatting>
  <conditionalFormatting sqref="F58">
    <cfRule type="cellIs" dxfId="707" priority="261" operator="lessThan">
      <formula>0</formula>
    </cfRule>
  </conditionalFormatting>
  <conditionalFormatting sqref="F61">
    <cfRule type="cellIs" dxfId="706" priority="237" operator="lessThan">
      <formula>0</formula>
    </cfRule>
  </conditionalFormatting>
  <conditionalFormatting sqref="F62">
    <cfRule type="cellIs" dxfId="705" priority="223" operator="lessThan">
      <formula>0</formula>
    </cfRule>
  </conditionalFormatting>
  <conditionalFormatting sqref="F63">
    <cfRule type="cellIs" dxfId="704" priority="209" operator="lessThan">
      <formula>0</formula>
    </cfRule>
  </conditionalFormatting>
  <conditionalFormatting sqref="F60">
    <cfRule type="cellIs" dxfId="703" priority="195" operator="lessThan">
      <formula>0</formula>
    </cfRule>
  </conditionalFormatting>
  <conditionalFormatting sqref="F37">
    <cfRule type="cellIs" dxfId="702" priority="175" operator="lessThan">
      <formula>0</formula>
    </cfRule>
  </conditionalFormatting>
  <conditionalFormatting sqref="F38">
    <cfRule type="cellIs" dxfId="701" priority="161" operator="lessThan">
      <formula>0</formula>
    </cfRule>
  </conditionalFormatting>
  <conditionalFormatting sqref="F39">
    <cfRule type="cellIs" dxfId="700" priority="147" operator="lessThan">
      <formula>0</formula>
    </cfRule>
  </conditionalFormatting>
  <conditionalFormatting sqref="F40">
    <cfRule type="cellIs" dxfId="699" priority="133" operator="lessThan">
      <formula>0</formula>
    </cfRule>
  </conditionalFormatting>
  <conditionalFormatting sqref="F41">
    <cfRule type="cellIs" dxfId="698" priority="119" operator="lessThan">
      <formula>0</formula>
    </cfRule>
  </conditionalFormatting>
  <conditionalFormatting sqref="F42">
    <cfRule type="cellIs" dxfId="697" priority="105" operator="lessThan">
      <formula>0</formula>
    </cfRule>
  </conditionalFormatting>
  <conditionalFormatting sqref="F43">
    <cfRule type="cellIs" dxfId="696" priority="91" operator="lessThan">
      <formula>0</formula>
    </cfRule>
  </conditionalFormatting>
  <conditionalFormatting sqref="F47">
    <cfRule type="cellIs" dxfId="695" priority="77" operator="lessThan">
      <formula>0</formula>
    </cfRule>
  </conditionalFormatting>
  <conditionalFormatting sqref="F44">
    <cfRule type="cellIs" dxfId="694" priority="63" operator="lessThan">
      <formula>0</formula>
    </cfRule>
  </conditionalFormatting>
  <conditionalFormatting sqref="F45:F46">
    <cfRule type="cellIs" dxfId="693" priority="49" operator="lessThan">
      <formula>0</formula>
    </cfRule>
  </conditionalFormatting>
  <conditionalFormatting sqref="F21">
    <cfRule type="cellIs" dxfId="692" priority="25" operator="lessThan">
      <formula>0</formula>
    </cfRule>
  </conditionalFormatting>
  <conditionalFormatting sqref="F73">
    <cfRule type="cellIs" dxfId="691" priority="8" operator="lessThan">
      <formula>0</formula>
    </cfRule>
  </conditionalFormatting>
  <conditionalFormatting sqref="F87">
    <cfRule type="cellIs" dxfId="690" priority="6" operator="lessThan">
      <formula>0</formula>
    </cfRule>
  </conditionalFormatting>
  <conditionalFormatting sqref="F88">
    <cfRule type="cellIs" dxfId="689" priority="4" operator="lessThan">
      <formula>0</formula>
    </cfRule>
  </conditionalFormatting>
  <dataValidations count="1">
    <dataValidation type="date" operator="greaterThanOrEqual" allowBlank="1" showInputMessage="1" showErrorMessage="1" sqref="I34:I48" xr:uid="{FC8C865D-297B-D74A-9321-A7C60A2FC40B}">
      <formula1>29221</formula1>
    </dataValidation>
  </dataValidations>
  <pageMargins left="0.7" right="0.7" top="0.75" bottom="0.75" header="0.3" footer="0.3"/>
  <pageSetup paperSize="9" scale="10" orientation="portrait" verticalDpi="300"/>
  <rowBreaks count="1" manualBreakCount="1">
    <brk id="29" max="16383" man="1"/>
  </rowBreaks>
  <extLst>
    <ext xmlns:x14="http://schemas.microsoft.com/office/spreadsheetml/2009/9/main" uri="{78C0D931-6437-407d-A8EE-F0AAD7539E65}">
      <x14:conditionalFormattings>
        <x14:conditionalFormatting xmlns:xm="http://schemas.microsoft.com/office/excel/2006/main">
          <x14:cfRule type="iconSet" priority="361" id="{7CA61C99-74D9-44FD-BB1E-0490C65DE7BF}">
            <x14:iconSet custom="1">
              <x14:cfvo type="percent">
                <xm:f>0</xm:f>
              </x14:cfvo>
              <x14:cfvo type="num">
                <xm:f>0</xm:f>
              </x14:cfvo>
              <x14:cfvo type="num">
                <xm:f>20000</xm:f>
              </x14:cfvo>
              <x14:cfIcon iconSet="NoIcons" iconId="0"/>
              <x14:cfIcon iconSet="3Flags" iconId="2"/>
              <x14:cfIcon iconSet="3Flags" iconId="1"/>
            </x14:iconSet>
          </x14:cfRule>
          <xm:sqref>F74:F86 F59 F48:F57 F22:F36 F64:F72 F89:F1048576 F3:F20</xm:sqref>
        </x14:conditionalFormatting>
        <x14:conditionalFormatting xmlns:xm="http://schemas.microsoft.com/office/excel/2006/main">
          <x14:cfRule type="iconSet" priority="259" id="{2B0A3DCF-B0B9-4322-B13A-3CEA5E077190}">
            <x14:iconSet custom="1">
              <x14:cfvo type="percent">
                <xm:f>0</xm:f>
              </x14:cfvo>
              <x14:cfvo type="num">
                <xm:f>0</xm:f>
              </x14:cfvo>
              <x14:cfvo type="num">
                <xm:f>20000</xm:f>
              </x14:cfvo>
              <x14:cfIcon iconSet="NoIcons" iconId="0"/>
              <x14:cfIcon iconSet="3Flags" iconId="2"/>
              <x14:cfIcon iconSet="3Flags" iconId="1"/>
            </x14:iconSet>
          </x14:cfRule>
          <xm:sqref>F58</xm:sqref>
        </x14:conditionalFormatting>
        <x14:conditionalFormatting xmlns:xm="http://schemas.microsoft.com/office/excel/2006/main">
          <x14:cfRule type="iconSet" priority="235" id="{CF605B86-4957-4BBE-86AE-7772DE196B1E}">
            <x14:iconSet custom="1">
              <x14:cfvo type="percent">
                <xm:f>0</xm:f>
              </x14:cfvo>
              <x14:cfvo type="num">
                <xm:f>0</xm:f>
              </x14:cfvo>
              <x14:cfvo type="num">
                <xm:f>20000</xm:f>
              </x14:cfvo>
              <x14:cfIcon iconSet="NoIcons" iconId="0"/>
              <x14:cfIcon iconSet="3Flags" iconId="2"/>
              <x14:cfIcon iconSet="3Flags" iconId="1"/>
            </x14:iconSet>
          </x14:cfRule>
          <xm:sqref>F61</xm:sqref>
        </x14:conditionalFormatting>
        <x14:conditionalFormatting xmlns:xm="http://schemas.microsoft.com/office/excel/2006/main">
          <x14:cfRule type="iconSet" priority="221" id="{41D17706-E0E6-4003-BDD9-7E30B55631F7}">
            <x14:iconSet custom="1">
              <x14:cfvo type="percent">
                <xm:f>0</xm:f>
              </x14:cfvo>
              <x14:cfvo type="num">
                <xm:f>0</xm:f>
              </x14:cfvo>
              <x14:cfvo type="num">
                <xm:f>20000</xm:f>
              </x14:cfvo>
              <x14:cfIcon iconSet="NoIcons" iconId="0"/>
              <x14:cfIcon iconSet="3Flags" iconId="2"/>
              <x14:cfIcon iconSet="3Flags" iconId="1"/>
            </x14:iconSet>
          </x14:cfRule>
          <xm:sqref>F62</xm:sqref>
        </x14:conditionalFormatting>
        <x14:conditionalFormatting xmlns:xm="http://schemas.microsoft.com/office/excel/2006/main">
          <x14:cfRule type="iconSet" priority="207" id="{C0D17EFF-8027-4938-B876-847F032A0C39}">
            <x14:iconSet custom="1">
              <x14:cfvo type="percent">
                <xm:f>0</xm:f>
              </x14:cfvo>
              <x14:cfvo type="num">
                <xm:f>0</xm:f>
              </x14:cfvo>
              <x14:cfvo type="num">
                <xm:f>20000</xm:f>
              </x14:cfvo>
              <x14:cfIcon iconSet="NoIcons" iconId="0"/>
              <x14:cfIcon iconSet="3Flags" iconId="2"/>
              <x14:cfIcon iconSet="3Flags" iconId="1"/>
            </x14:iconSet>
          </x14:cfRule>
          <xm:sqref>F63</xm:sqref>
        </x14:conditionalFormatting>
        <x14:conditionalFormatting xmlns:xm="http://schemas.microsoft.com/office/excel/2006/main">
          <x14:cfRule type="iconSet" priority="193" id="{749353BD-88CF-4638-9FB9-142291699521}">
            <x14:iconSet custom="1">
              <x14:cfvo type="percent">
                <xm:f>0</xm:f>
              </x14:cfvo>
              <x14:cfvo type="num">
                <xm:f>0</xm:f>
              </x14:cfvo>
              <x14:cfvo type="num">
                <xm:f>20000</xm:f>
              </x14:cfvo>
              <x14:cfIcon iconSet="NoIcons" iconId="0"/>
              <x14:cfIcon iconSet="3Flags" iconId="2"/>
              <x14:cfIcon iconSet="3Flags" iconId="1"/>
            </x14:iconSet>
          </x14:cfRule>
          <xm:sqref>F60</xm:sqref>
        </x14:conditionalFormatting>
        <x14:conditionalFormatting xmlns:xm="http://schemas.microsoft.com/office/excel/2006/main">
          <x14:cfRule type="iconSet" priority="173" id="{95A50757-9F94-4A9A-AFCC-9E3ED1574D6B}">
            <x14:iconSet custom="1">
              <x14:cfvo type="percent">
                <xm:f>0</xm:f>
              </x14:cfvo>
              <x14:cfvo type="num">
                <xm:f>0</xm:f>
              </x14:cfvo>
              <x14:cfvo type="num">
                <xm:f>20000</xm:f>
              </x14:cfvo>
              <x14:cfIcon iconSet="NoIcons" iconId="0"/>
              <x14:cfIcon iconSet="3Flags" iconId="2"/>
              <x14:cfIcon iconSet="3Flags" iconId="1"/>
            </x14:iconSet>
          </x14:cfRule>
          <xm:sqref>F37</xm:sqref>
        </x14:conditionalFormatting>
        <x14:conditionalFormatting xmlns:xm="http://schemas.microsoft.com/office/excel/2006/main">
          <x14:cfRule type="iconSet" priority="159" id="{7AAD07C3-DAD2-4B51-AE58-CC6E30E1B31F}">
            <x14:iconSet custom="1">
              <x14:cfvo type="percent">
                <xm:f>0</xm:f>
              </x14:cfvo>
              <x14:cfvo type="num">
                <xm:f>0</xm:f>
              </x14:cfvo>
              <x14:cfvo type="num">
                <xm:f>20000</xm:f>
              </x14:cfvo>
              <x14:cfIcon iconSet="NoIcons" iconId="0"/>
              <x14:cfIcon iconSet="3Flags" iconId="2"/>
              <x14:cfIcon iconSet="3Flags" iconId="1"/>
            </x14:iconSet>
          </x14:cfRule>
          <xm:sqref>F38</xm:sqref>
        </x14:conditionalFormatting>
        <x14:conditionalFormatting xmlns:xm="http://schemas.microsoft.com/office/excel/2006/main">
          <x14:cfRule type="iconSet" priority="145" id="{02F612E3-2BAF-435F-B785-AF11A7D73268}">
            <x14:iconSet custom="1">
              <x14:cfvo type="percent">
                <xm:f>0</xm:f>
              </x14:cfvo>
              <x14:cfvo type="num">
                <xm:f>0</xm:f>
              </x14:cfvo>
              <x14:cfvo type="num">
                <xm:f>20000</xm:f>
              </x14:cfvo>
              <x14:cfIcon iconSet="NoIcons" iconId="0"/>
              <x14:cfIcon iconSet="3Flags" iconId="2"/>
              <x14:cfIcon iconSet="3Flags" iconId="1"/>
            </x14:iconSet>
          </x14:cfRule>
          <xm:sqref>F39</xm:sqref>
        </x14:conditionalFormatting>
        <x14:conditionalFormatting xmlns:xm="http://schemas.microsoft.com/office/excel/2006/main">
          <x14:cfRule type="iconSet" priority="131" id="{C1E6ACCA-FA62-44F9-9A90-DF233E3C1A71}">
            <x14:iconSet custom="1">
              <x14:cfvo type="percent">
                <xm:f>0</xm:f>
              </x14:cfvo>
              <x14:cfvo type="num">
                <xm:f>0</xm:f>
              </x14:cfvo>
              <x14:cfvo type="num">
                <xm:f>20000</xm:f>
              </x14:cfvo>
              <x14:cfIcon iconSet="NoIcons" iconId="0"/>
              <x14:cfIcon iconSet="3Flags" iconId="2"/>
              <x14:cfIcon iconSet="3Flags" iconId="1"/>
            </x14:iconSet>
          </x14:cfRule>
          <xm:sqref>F40</xm:sqref>
        </x14:conditionalFormatting>
        <x14:conditionalFormatting xmlns:xm="http://schemas.microsoft.com/office/excel/2006/main">
          <x14:cfRule type="iconSet" priority="117" id="{B513CF2C-FCA4-454E-A7FE-C646FC890F0E}">
            <x14:iconSet custom="1">
              <x14:cfvo type="percent">
                <xm:f>0</xm:f>
              </x14:cfvo>
              <x14:cfvo type="num">
                <xm:f>0</xm:f>
              </x14:cfvo>
              <x14:cfvo type="num">
                <xm:f>20000</xm:f>
              </x14:cfvo>
              <x14:cfIcon iconSet="NoIcons" iconId="0"/>
              <x14:cfIcon iconSet="3Flags" iconId="2"/>
              <x14:cfIcon iconSet="3Flags" iconId="1"/>
            </x14:iconSet>
          </x14:cfRule>
          <xm:sqref>F41</xm:sqref>
        </x14:conditionalFormatting>
        <x14:conditionalFormatting xmlns:xm="http://schemas.microsoft.com/office/excel/2006/main">
          <x14:cfRule type="iconSet" priority="103" id="{3EE38A85-35BC-433C-800D-D97A76C41337}">
            <x14:iconSet custom="1">
              <x14:cfvo type="percent">
                <xm:f>0</xm:f>
              </x14:cfvo>
              <x14:cfvo type="num">
                <xm:f>0</xm:f>
              </x14:cfvo>
              <x14:cfvo type="num">
                <xm:f>20000</xm:f>
              </x14:cfvo>
              <x14:cfIcon iconSet="NoIcons" iconId="0"/>
              <x14:cfIcon iconSet="3Flags" iconId="2"/>
              <x14:cfIcon iconSet="3Flags" iconId="1"/>
            </x14:iconSet>
          </x14:cfRule>
          <xm:sqref>F42</xm:sqref>
        </x14:conditionalFormatting>
        <x14:conditionalFormatting xmlns:xm="http://schemas.microsoft.com/office/excel/2006/main">
          <x14:cfRule type="iconSet" priority="89" id="{DA64FB63-FB39-4819-B7E1-F9CB0F9C7928}">
            <x14:iconSet custom="1">
              <x14:cfvo type="percent">
                <xm:f>0</xm:f>
              </x14:cfvo>
              <x14:cfvo type="num">
                <xm:f>0</xm:f>
              </x14:cfvo>
              <x14:cfvo type="num">
                <xm:f>20000</xm:f>
              </x14:cfvo>
              <x14:cfIcon iconSet="NoIcons" iconId="0"/>
              <x14:cfIcon iconSet="3Flags" iconId="2"/>
              <x14:cfIcon iconSet="3Flags" iconId="1"/>
            </x14:iconSet>
          </x14:cfRule>
          <xm:sqref>F43</xm:sqref>
        </x14:conditionalFormatting>
        <x14:conditionalFormatting xmlns:xm="http://schemas.microsoft.com/office/excel/2006/main">
          <x14:cfRule type="iconSet" priority="75" id="{7CB6928C-C4D9-48C9-9E83-3C4F72690AAC}">
            <x14:iconSet custom="1">
              <x14:cfvo type="percent">
                <xm:f>0</xm:f>
              </x14:cfvo>
              <x14:cfvo type="num">
                <xm:f>0</xm:f>
              </x14:cfvo>
              <x14:cfvo type="num">
                <xm:f>20000</xm:f>
              </x14:cfvo>
              <x14:cfIcon iconSet="NoIcons" iconId="0"/>
              <x14:cfIcon iconSet="3Flags" iconId="2"/>
              <x14:cfIcon iconSet="3Flags" iconId="1"/>
            </x14:iconSet>
          </x14:cfRule>
          <xm:sqref>F47</xm:sqref>
        </x14:conditionalFormatting>
        <x14:conditionalFormatting xmlns:xm="http://schemas.microsoft.com/office/excel/2006/main">
          <x14:cfRule type="iconSet" priority="61" id="{7A0F707E-1BB5-4B0A-8AB5-28AA7B7A45B4}">
            <x14:iconSet custom="1">
              <x14:cfvo type="percent">
                <xm:f>0</xm:f>
              </x14:cfvo>
              <x14:cfvo type="num">
                <xm:f>0</xm:f>
              </x14:cfvo>
              <x14:cfvo type="num">
                <xm:f>20000</xm:f>
              </x14:cfvo>
              <x14:cfIcon iconSet="NoIcons" iconId="0"/>
              <x14:cfIcon iconSet="3Flags" iconId="2"/>
              <x14:cfIcon iconSet="3Flags" iconId="1"/>
            </x14:iconSet>
          </x14:cfRule>
          <xm:sqref>F44</xm:sqref>
        </x14:conditionalFormatting>
        <x14:conditionalFormatting xmlns:xm="http://schemas.microsoft.com/office/excel/2006/main">
          <x14:cfRule type="iconSet" priority="47" id="{6CC18941-D714-415A-9D68-752945F06458}">
            <x14:iconSet custom="1">
              <x14:cfvo type="percent">
                <xm:f>0</xm:f>
              </x14:cfvo>
              <x14:cfvo type="num">
                <xm:f>0</xm:f>
              </x14:cfvo>
              <x14:cfvo type="num">
                <xm:f>20000</xm:f>
              </x14:cfvo>
              <x14:cfIcon iconSet="NoIcons" iconId="0"/>
              <x14:cfIcon iconSet="3Flags" iconId="2"/>
              <x14:cfIcon iconSet="3Flags" iconId="1"/>
            </x14:iconSet>
          </x14:cfRule>
          <xm:sqref>F45:F46</xm:sqref>
        </x14:conditionalFormatting>
        <x14:conditionalFormatting xmlns:xm="http://schemas.microsoft.com/office/excel/2006/main">
          <x14:cfRule type="iconSet" priority="23" id="{17C319A5-02CD-400E-AD6F-98BD6975B2CA}">
            <x14:iconSet custom="1">
              <x14:cfvo type="percent">
                <xm:f>0</xm:f>
              </x14:cfvo>
              <x14:cfvo type="num">
                <xm:f>0</xm:f>
              </x14:cfvo>
              <x14:cfvo type="num">
                <xm:f>20000</xm:f>
              </x14:cfvo>
              <x14:cfIcon iconSet="NoIcons" iconId="0"/>
              <x14:cfIcon iconSet="3Flags" iconId="2"/>
              <x14:cfIcon iconSet="3Flags" iconId="1"/>
            </x14:iconSet>
          </x14:cfRule>
          <xm:sqref>F21</xm:sqref>
        </x14:conditionalFormatting>
        <x14:conditionalFormatting xmlns:xm="http://schemas.microsoft.com/office/excel/2006/main">
          <x14:cfRule type="iconSet" priority="7" id="{E7391406-983E-41F9-A58E-8F2E8413ACDB}">
            <x14:iconSet custom="1">
              <x14:cfvo type="percent">
                <xm:f>0</xm:f>
              </x14:cfvo>
              <x14:cfvo type="num">
                <xm:f>0</xm:f>
              </x14:cfvo>
              <x14:cfvo type="num">
                <xm:f>20000</xm:f>
              </x14:cfvo>
              <x14:cfIcon iconSet="NoIcons" iconId="0"/>
              <x14:cfIcon iconSet="3Flags" iconId="2"/>
              <x14:cfIcon iconSet="3Flags" iconId="1"/>
            </x14:iconSet>
          </x14:cfRule>
          <xm:sqref>F73</xm:sqref>
        </x14:conditionalFormatting>
        <x14:conditionalFormatting xmlns:xm="http://schemas.microsoft.com/office/excel/2006/main">
          <x14:cfRule type="iconSet" priority="5" id="{4AEA2A04-024C-4AC1-A36B-55973E81D2FB}">
            <x14:iconSet custom="1">
              <x14:cfvo type="percent">
                <xm:f>0</xm:f>
              </x14:cfvo>
              <x14:cfvo type="num">
                <xm:f>0</xm:f>
              </x14:cfvo>
              <x14:cfvo type="num">
                <xm:f>20000</xm:f>
              </x14:cfvo>
              <x14:cfIcon iconSet="NoIcons" iconId="0"/>
              <x14:cfIcon iconSet="3Flags" iconId="2"/>
              <x14:cfIcon iconSet="3Flags" iconId="1"/>
            </x14:iconSet>
          </x14:cfRule>
          <xm:sqref>F87</xm:sqref>
        </x14:conditionalFormatting>
        <x14:conditionalFormatting xmlns:xm="http://schemas.microsoft.com/office/excel/2006/main">
          <x14:cfRule type="iconSet" priority="3" id="{F172E60E-FAB7-4E26-9F5F-9C50B272417E}">
            <x14:iconSet custom="1">
              <x14:cfvo type="percent">
                <xm:f>0</xm:f>
              </x14:cfvo>
              <x14:cfvo type="num">
                <xm:f>0</xm:f>
              </x14:cfvo>
              <x14:cfvo type="num">
                <xm:f>20000</xm:f>
              </x14:cfvo>
              <x14:cfIcon iconSet="NoIcons" iconId="0"/>
              <x14:cfIcon iconSet="3Flags" iconId="2"/>
              <x14:cfIcon iconSet="3Flags" iconId="1"/>
            </x14:iconSet>
          </x14:cfRule>
          <xm:sqref>F88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9A429A9B-0303-4014-93D2-BEFB245FD515}">
          <x14:formula1>
            <xm:f>WORKFLOW!$H$26:$H$42</xm:f>
          </x14:formula1>
          <xm:sqref>E2:E1048576</xm:sqref>
        </x14:dataValidation>
        <x14:dataValidation type="list" allowBlank="1" showInputMessage="1" showErrorMessage="1" xr:uid="{533F0A9A-0A77-4EB0-B2E2-679FB8FECF22}">
          <x14:formula1>
            <xm:f>CUSTOMERS!$A$2:$A$51</xm:f>
          </x14:formula1>
          <xm:sqref>A3:A1048576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1278A-4EFB-1A4D-9206-92F30C6189C9}">
  <sheetPr codeName="Sheet14">
    <tabColor rgb="FFC00000"/>
  </sheetPr>
  <dimension ref="A1:M11"/>
  <sheetViews>
    <sheetView zoomScale="40" zoomScaleNormal="40" workbookViewId="0">
      <selection activeCell="Q9" sqref="Q9"/>
    </sheetView>
  </sheetViews>
  <sheetFormatPr defaultColWidth="11" defaultRowHeight="31.5"/>
  <cols>
    <col min="1" max="1" width="22.625" style="4" customWidth="1"/>
    <col min="2" max="2" width="65.625" style="248" customWidth="1"/>
    <col min="3" max="3" width="45" customWidth="1"/>
    <col min="4" max="4" width="11" style="247"/>
  </cols>
  <sheetData>
    <row r="1" spans="1:13" ht="53.25" customHeight="1">
      <c r="A1" s="294"/>
      <c r="B1" s="249" t="s">
        <v>254</v>
      </c>
      <c r="C1" s="249" t="s">
        <v>255</v>
      </c>
      <c r="D1" s="249" t="s">
        <v>256</v>
      </c>
      <c r="H1" s="302" t="s">
        <v>257</v>
      </c>
      <c r="I1" s="302"/>
      <c r="J1" s="302"/>
      <c r="K1" s="302"/>
      <c r="L1" s="302"/>
      <c r="M1" s="302"/>
    </row>
    <row r="2" spans="1:13" ht="53.25" customHeight="1">
      <c r="A2" s="294" t="s">
        <v>258</v>
      </c>
      <c r="B2" s="250" t="s">
        <v>138</v>
      </c>
      <c r="C2" s="255" t="s">
        <v>259</v>
      </c>
      <c r="D2" s="296"/>
      <c r="H2" s="302"/>
      <c r="I2" s="302"/>
      <c r="J2" s="302"/>
      <c r="K2" s="302"/>
      <c r="L2" s="302"/>
      <c r="M2" s="302"/>
    </row>
    <row r="3" spans="1:13" ht="53.25" customHeight="1">
      <c r="A3" s="294" t="s">
        <v>94</v>
      </c>
      <c r="B3" s="298"/>
      <c r="C3" s="295" t="s">
        <v>260</v>
      </c>
      <c r="D3" s="296"/>
    </row>
    <row r="4" spans="1:13" ht="53.25" customHeight="1">
      <c r="A4" s="294" t="s">
        <v>261</v>
      </c>
      <c r="B4" s="251"/>
      <c r="C4" s="295" t="s">
        <v>262</v>
      </c>
      <c r="D4" s="296"/>
    </row>
    <row r="5" spans="1:13" ht="53.25" customHeight="1">
      <c r="A5" s="294" t="s">
        <v>263</v>
      </c>
      <c r="B5" s="250" t="s">
        <v>106</v>
      </c>
      <c r="C5" s="255" t="s">
        <v>264</v>
      </c>
      <c r="D5" s="296"/>
    </row>
    <row r="6" spans="1:13" ht="125.25" customHeight="1">
      <c r="A6" s="294" t="s">
        <v>265</v>
      </c>
      <c r="B6" s="253" t="s">
        <v>237</v>
      </c>
      <c r="C6" s="255" t="s">
        <v>266</v>
      </c>
      <c r="D6" s="296"/>
    </row>
    <row r="7" spans="1:13" ht="53.25" customHeight="1">
      <c r="A7" s="294" t="s">
        <v>267</v>
      </c>
      <c r="B7" s="251"/>
      <c r="C7" s="295" t="s">
        <v>268</v>
      </c>
      <c r="D7" s="296"/>
      <c r="H7" s="303" t="s">
        <v>269</v>
      </c>
      <c r="I7" s="303"/>
      <c r="J7" s="303"/>
      <c r="K7" s="303"/>
      <c r="L7" s="303"/>
      <c r="M7" s="303"/>
    </row>
    <row r="8" spans="1:13" ht="53.25" customHeight="1">
      <c r="A8" s="294" t="s">
        <v>270</v>
      </c>
      <c r="B8" s="251"/>
      <c r="C8" s="295" t="s">
        <v>271</v>
      </c>
      <c r="D8" s="297">
        <v>0</v>
      </c>
      <c r="H8" s="303"/>
      <c r="I8" s="303"/>
      <c r="J8" s="303"/>
      <c r="K8" s="303"/>
      <c r="L8" s="303"/>
      <c r="M8" s="303"/>
    </row>
    <row r="9" spans="1:13" ht="53.25" customHeight="1">
      <c r="A9" s="294" t="s">
        <v>272</v>
      </c>
      <c r="B9" s="252">
        <v>44886</v>
      </c>
      <c r="C9" s="295" t="s">
        <v>273</v>
      </c>
      <c r="D9" s="296" t="s">
        <v>274</v>
      </c>
    </row>
    <row r="10" spans="1:13">
      <c r="H10" s="304" t="s">
        <v>275</v>
      </c>
      <c r="I10" s="304"/>
      <c r="J10" s="304"/>
      <c r="K10" s="304"/>
      <c r="L10" s="304"/>
      <c r="M10" s="304"/>
    </row>
    <row r="11" spans="1:13">
      <c r="H11" s="304"/>
      <c r="I11" s="304"/>
      <c r="J11" s="304"/>
      <c r="K11" s="304"/>
      <c r="L11" s="304"/>
      <c r="M11" s="304"/>
    </row>
  </sheetData>
  <mergeCells count="3">
    <mergeCell ref="H1:M2"/>
    <mergeCell ref="H7:M8"/>
    <mergeCell ref="H10:M1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74" r:id="rId4" name="Button 14">
              <controlPr defaultSize="0" print="0" autoFill="0" autoPict="0" macro="[0]!addRSC">
                <anchor moveWithCells="1" sizeWithCells="1">
                  <from>
                    <xdr:col>7</xdr:col>
                    <xdr:colOff>9525</xdr:colOff>
                    <xdr:row>2</xdr:row>
                    <xdr:rowOff>647700</xdr:rowOff>
                  </from>
                  <to>
                    <xdr:col>13</xdr:col>
                    <xdr:colOff>0</xdr:colOff>
                    <xdr:row>4</xdr:row>
                    <xdr:rowOff>657225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91A6C20-A3EC-0C40-9F78-8D5089D97E7E}">
          <x14:formula1>
            <xm:f>WORKFLOW!$H$25:$H$64</xm:f>
          </x14:formula1>
          <xm:sqref>B5</xm:sqref>
        </x14:dataValidation>
        <x14:dataValidation type="list" allowBlank="1" showInputMessage="1" showErrorMessage="1" xr:uid="{F4ECD212-5201-6F42-BBEB-9BE71E066BAB}">
          <x14:formula1>
            <xm:f>CUSTOMERS!$A$2:$A$48</xm:f>
          </x14:formula1>
          <xm:sqref>B2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O17"/>
  <sheetViews>
    <sheetView workbookViewId="0">
      <selection activeCell="A9" sqref="A9:XFD9"/>
    </sheetView>
  </sheetViews>
  <sheetFormatPr defaultColWidth="8.625" defaultRowHeight="14.25"/>
  <cols>
    <col min="1" max="1" width="33" style="20" customWidth="1"/>
    <col min="2" max="2" width="9" style="20" customWidth="1"/>
    <col min="3" max="3" width="8.625" style="20"/>
    <col min="4" max="4" width="15.375" style="28" customWidth="1"/>
    <col min="5" max="5" width="10.625" style="20" bestFit="1" customWidth="1"/>
    <col min="6" max="6" width="8.625" style="20" bestFit="1" customWidth="1"/>
    <col min="7" max="7" width="9" style="20" customWidth="1"/>
    <col min="8" max="8" width="8.625" style="20"/>
    <col min="9" max="9" width="12.625" style="20" customWidth="1"/>
    <col min="10" max="10" width="14.125" style="20" customWidth="1"/>
    <col min="11" max="16384" width="8.625" style="20"/>
  </cols>
  <sheetData>
    <row r="1" spans="1:15" ht="15">
      <c r="A1" s="20" t="s">
        <v>276</v>
      </c>
      <c r="B1" s="20" t="s">
        <v>277</v>
      </c>
      <c r="C1" s="20" t="s">
        <v>278</v>
      </c>
      <c r="D1" s="28" t="s">
        <v>279</v>
      </c>
      <c r="E1" s="20" t="s">
        <v>280</v>
      </c>
      <c r="F1" s="20" t="s">
        <v>281</v>
      </c>
      <c r="O1" s="197" t="s">
        <v>25</v>
      </c>
    </row>
    <row r="2" spans="1:15">
      <c r="A2" s="20" t="s">
        <v>99</v>
      </c>
      <c r="B2" s="20" t="s">
        <v>282</v>
      </c>
      <c r="C2" s="20" t="s">
        <v>93</v>
      </c>
      <c r="D2" s="29">
        <v>211.66</v>
      </c>
      <c r="E2" s="21">
        <v>0.2</v>
      </c>
      <c r="F2" s="20" t="s">
        <v>283</v>
      </c>
      <c r="O2" s="20" t="s">
        <v>18</v>
      </c>
    </row>
    <row r="3" spans="1:15">
      <c r="A3" s="20" t="s">
        <v>111</v>
      </c>
      <c r="B3" s="20" t="s">
        <v>284</v>
      </c>
      <c r="C3" s="20" t="s">
        <v>93</v>
      </c>
      <c r="D3" s="29">
        <v>191.76</v>
      </c>
      <c r="E3" s="21">
        <v>0.2</v>
      </c>
      <c r="F3" s="20" t="s">
        <v>283</v>
      </c>
      <c r="I3" s="175">
        <f ca="1">TODAY()-30</f>
        <v>44867</v>
      </c>
      <c r="O3" s="20" t="s">
        <v>17</v>
      </c>
    </row>
    <row r="4" spans="1:15">
      <c r="A4" s="20" t="s">
        <v>114</v>
      </c>
      <c r="B4" s="20" t="s">
        <v>285</v>
      </c>
      <c r="C4" s="20" t="s">
        <v>93</v>
      </c>
      <c r="D4" s="29">
        <v>197.7</v>
      </c>
      <c r="E4" s="21">
        <v>0.2</v>
      </c>
      <c r="F4" s="20" t="s">
        <v>283</v>
      </c>
      <c r="I4" s="175">
        <f ca="1">TODAY()</f>
        <v>44897</v>
      </c>
      <c r="O4" s="20" t="s">
        <v>14</v>
      </c>
    </row>
    <row r="5" spans="1:15">
      <c r="A5" s="20" t="s">
        <v>131</v>
      </c>
      <c r="B5" s="20" t="s">
        <v>286</v>
      </c>
      <c r="C5" s="20" t="s">
        <v>93</v>
      </c>
      <c r="D5" s="29">
        <v>215.76</v>
      </c>
      <c r="E5" s="21">
        <v>0.2</v>
      </c>
      <c r="F5" s="20" t="s">
        <v>283</v>
      </c>
      <c r="I5" s="20">
        <f ca="1">MONTH(TODAY())-1</f>
        <v>11</v>
      </c>
      <c r="O5" s="20" t="s">
        <v>13</v>
      </c>
    </row>
    <row r="6" spans="1:15">
      <c r="A6" s="20" t="s">
        <v>136</v>
      </c>
      <c r="B6" s="20" t="s">
        <v>286</v>
      </c>
      <c r="C6" s="20" t="s">
        <v>93</v>
      </c>
      <c r="D6" s="29">
        <v>215.76</v>
      </c>
      <c r="E6" s="21">
        <v>0.2</v>
      </c>
      <c r="F6" s="20" t="s">
        <v>283</v>
      </c>
      <c r="I6" s="20" t="str">
        <f ca="1">"01/"&amp;I5&amp;"/"&amp;YEAR(TODAY())</f>
        <v>01/11/2022</v>
      </c>
      <c r="J6" s="175">
        <f ca="1">DATEVALUE(I6)</f>
        <v>44866</v>
      </c>
      <c r="O6" s="20" t="s">
        <v>12</v>
      </c>
    </row>
    <row r="7" spans="1:15">
      <c r="A7" s="20" t="s">
        <v>287</v>
      </c>
      <c r="B7" s="20" t="s">
        <v>288</v>
      </c>
      <c r="C7" s="20" t="s">
        <v>93</v>
      </c>
      <c r="D7" s="29">
        <v>189.85</v>
      </c>
      <c r="E7" s="21">
        <v>0.2</v>
      </c>
      <c r="F7" s="20" t="s">
        <v>283</v>
      </c>
      <c r="O7" s="20" t="s">
        <v>16</v>
      </c>
    </row>
    <row r="8" spans="1:15">
      <c r="A8" s="20" t="s">
        <v>138</v>
      </c>
      <c r="B8" s="20" t="s">
        <v>289</v>
      </c>
      <c r="C8" s="20" t="s">
        <v>93</v>
      </c>
      <c r="D8" s="29">
        <v>205.2</v>
      </c>
      <c r="E8" s="21">
        <v>0.2</v>
      </c>
      <c r="F8" s="20" t="s">
        <v>283</v>
      </c>
      <c r="O8" s="20" t="s">
        <v>15</v>
      </c>
    </row>
    <row r="9" spans="1:15">
      <c r="A9" s="20" t="s">
        <v>140</v>
      </c>
      <c r="B9" s="20" t="s">
        <v>290</v>
      </c>
      <c r="C9" s="20" t="s">
        <v>93</v>
      </c>
      <c r="D9" s="29">
        <v>185.4</v>
      </c>
      <c r="E9" s="21">
        <v>0.2</v>
      </c>
      <c r="F9" s="20" t="s">
        <v>283</v>
      </c>
      <c r="M9" s="23"/>
      <c r="O9" s="20" t="s">
        <v>6</v>
      </c>
    </row>
    <row r="10" spans="1:15">
      <c r="A10" s="20" t="s">
        <v>158</v>
      </c>
      <c r="B10" s="20" t="s">
        <v>158</v>
      </c>
      <c r="C10" s="20" t="s">
        <v>93</v>
      </c>
      <c r="D10" s="29">
        <v>192.11</v>
      </c>
      <c r="E10" s="21">
        <v>0.2</v>
      </c>
      <c r="F10" s="20" t="s">
        <v>283</v>
      </c>
      <c r="O10" s="20" t="s">
        <v>291</v>
      </c>
    </row>
    <row r="11" spans="1:15">
      <c r="A11" s="20" t="s">
        <v>27</v>
      </c>
      <c r="B11" s="20" t="s">
        <v>292</v>
      </c>
      <c r="C11" s="20" t="s">
        <v>293</v>
      </c>
      <c r="D11" s="29">
        <v>-150</v>
      </c>
      <c r="E11" s="21">
        <v>0</v>
      </c>
      <c r="F11" s="20" t="s">
        <v>294</v>
      </c>
      <c r="O11" s="20" t="s">
        <v>295</v>
      </c>
    </row>
    <row r="12" spans="1:15">
      <c r="A12" s="20" t="s">
        <v>50</v>
      </c>
      <c r="B12" s="20" t="s">
        <v>292</v>
      </c>
      <c r="C12" s="20" t="s">
        <v>296</v>
      </c>
      <c r="D12" s="29">
        <v>-150</v>
      </c>
      <c r="E12" s="21">
        <v>0</v>
      </c>
      <c r="F12" s="20" t="s">
        <v>294</v>
      </c>
    </row>
    <row r="13" spans="1:15">
      <c r="A13" s="20" t="s">
        <v>78</v>
      </c>
      <c r="B13" s="20" t="s">
        <v>297</v>
      </c>
      <c r="C13" s="20" t="s">
        <v>297</v>
      </c>
      <c r="D13" s="29">
        <v>186</v>
      </c>
      <c r="E13" s="22">
        <v>0</v>
      </c>
      <c r="F13" s="20" t="s">
        <v>294</v>
      </c>
    </row>
    <row r="14" spans="1:15">
      <c r="A14" s="20" t="s">
        <v>162</v>
      </c>
      <c r="B14" s="20" t="s">
        <v>298</v>
      </c>
      <c r="C14" s="20" t="s">
        <v>93</v>
      </c>
      <c r="D14" s="29">
        <v>180.81</v>
      </c>
      <c r="E14" s="21">
        <v>0</v>
      </c>
      <c r="F14" s="20" t="s">
        <v>283</v>
      </c>
    </row>
    <row r="15" spans="1:15">
      <c r="A15" s="20" t="s">
        <v>299</v>
      </c>
      <c r="B15" s="20" t="s">
        <v>299</v>
      </c>
      <c r="C15" s="20" t="s">
        <v>93</v>
      </c>
      <c r="D15" s="29"/>
      <c r="E15" s="21">
        <v>0.2</v>
      </c>
      <c r="F15" s="26" t="s">
        <v>283</v>
      </c>
    </row>
    <row r="16" spans="1:15">
      <c r="A16" s="20" t="s">
        <v>173</v>
      </c>
      <c r="B16" s="20" t="s">
        <v>300</v>
      </c>
      <c r="C16" s="20" t="s">
        <v>93</v>
      </c>
      <c r="D16" s="29">
        <v>211.3</v>
      </c>
      <c r="E16" s="21">
        <v>0.2</v>
      </c>
      <c r="F16" s="24" t="s">
        <v>283</v>
      </c>
    </row>
    <row r="17" spans="1:6">
      <c r="A17" s="20" t="s">
        <v>301</v>
      </c>
      <c r="B17" s="20" t="s">
        <v>300</v>
      </c>
      <c r="C17" s="20" t="s">
        <v>93</v>
      </c>
      <c r="D17" s="29">
        <v>184.64</v>
      </c>
      <c r="E17" s="21">
        <v>0.2</v>
      </c>
      <c r="F17" s="25" t="s">
        <v>283</v>
      </c>
    </row>
  </sheetData>
  <pageMargins left="0.7" right="0.7" top="0.75" bottom="0.75" header="0.3" footer="0.3"/>
  <pageSetup paperSize="9" orientation="portrait" horizontalDpi="0" verticalDpi="0"/>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J44"/>
  <sheetViews>
    <sheetView workbookViewId="0">
      <selection activeCell="H43" sqref="H43"/>
    </sheetView>
  </sheetViews>
  <sheetFormatPr defaultColWidth="8.625" defaultRowHeight="15"/>
  <cols>
    <col min="1" max="1" width="28.5" bestFit="1" customWidth="1"/>
    <col min="2" max="2" width="24.375" customWidth="1"/>
    <col min="4" max="4" width="27.125" bestFit="1" customWidth="1"/>
  </cols>
  <sheetData>
    <row r="1" spans="1:10">
      <c r="A1" t="s">
        <v>302</v>
      </c>
      <c r="B1" t="s">
        <v>303</v>
      </c>
      <c r="C1" t="s">
        <v>304</v>
      </c>
      <c r="D1" t="s">
        <v>305</v>
      </c>
      <c r="J1" s="212" t="s">
        <v>278</v>
      </c>
    </row>
    <row r="2" spans="1:10">
      <c r="A2" t="s">
        <v>306</v>
      </c>
      <c r="B2" t="s">
        <v>307</v>
      </c>
      <c r="C2">
        <v>0</v>
      </c>
      <c r="D2" t="str">
        <f t="shared" ref="D2:D44" si="0">TRIM(_xlfn.CONCAT(TEXT(C2,"000")," - ",B2," ",A2))</f>
        <v>000 - UNK New</v>
      </c>
      <c r="J2" t="s">
        <v>308</v>
      </c>
    </row>
    <row r="3" spans="1:10">
      <c r="A3" t="s">
        <v>309</v>
      </c>
      <c r="B3" t="s">
        <v>310</v>
      </c>
      <c r="C3">
        <v>1</v>
      </c>
      <c r="D3" t="str">
        <f>TRIM(_xlfn.CONCAT(TEXT(C3,"000")," - ",B3," ",A3))</f>
        <v>001 - OPS With PM</v>
      </c>
      <c r="J3" t="s">
        <v>311</v>
      </c>
    </row>
    <row r="4" spans="1:10">
      <c r="A4" t="s">
        <v>312</v>
      </c>
      <c r="B4" t="s">
        <v>292</v>
      </c>
      <c r="C4">
        <v>2</v>
      </c>
      <c r="D4" t="str">
        <f t="shared" si="0"/>
        <v>002 - PRD Research</v>
      </c>
      <c r="J4" t="s">
        <v>313</v>
      </c>
    </row>
    <row r="5" spans="1:10">
      <c r="A5" t="s">
        <v>314</v>
      </c>
      <c r="B5" t="s">
        <v>292</v>
      </c>
      <c r="C5">
        <v>3</v>
      </c>
      <c r="D5" t="str">
        <f t="shared" si="0"/>
        <v>003 - PRD Triaged Idea Backlog</v>
      </c>
    </row>
    <row r="6" spans="1:10">
      <c r="A6" t="s">
        <v>315</v>
      </c>
      <c r="B6" t="s">
        <v>297</v>
      </c>
      <c r="C6">
        <v>100</v>
      </c>
      <c r="D6" t="str">
        <f t="shared" si="0"/>
        <v>100 - SAL With Sales</v>
      </c>
    </row>
    <row r="7" spans="1:10">
      <c r="A7" t="s">
        <v>109</v>
      </c>
      <c r="B7" t="s">
        <v>316</v>
      </c>
      <c r="C7">
        <v>200</v>
      </c>
      <c r="D7" t="str">
        <f t="shared" si="0"/>
        <v>200 - CLI With Client</v>
      </c>
    </row>
    <row r="8" spans="1:10">
      <c r="A8" t="s">
        <v>317</v>
      </c>
      <c r="B8" t="s">
        <v>310</v>
      </c>
      <c r="C8">
        <v>201</v>
      </c>
      <c r="D8" t="str">
        <f t="shared" si="0"/>
        <v>201 - OPS Authorised to write</v>
      </c>
    </row>
    <row r="9" spans="1:10">
      <c r="A9" t="s">
        <v>318</v>
      </c>
      <c r="B9" t="s">
        <v>310</v>
      </c>
      <c r="C9">
        <v>202</v>
      </c>
      <c r="D9" t="str">
        <f t="shared" si="0"/>
        <v>202 - OPS Req. in Progress</v>
      </c>
    </row>
    <row r="10" spans="1:10">
      <c r="A10" t="s">
        <v>318</v>
      </c>
      <c r="B10" t="s">
        <v>292</v>
      </c>
      <c r="C10">
        <v>203</v>
      </c>
      <c r="D10" t="str">
        <f t="shared" si="0"/>
        <v>203 - PRD Req. in Progress</v>
      </c>
    </row>
    <row r="11" spans="1:10">
      <c r="A11" t="s">
        <v>319</v>
      </c>
      <c r="B11" t="s">
        <v>310</v>
      </c>
      <c r="C11">
        <v>204</v>
      </c>
      <c r="D11" t="str">
        <f t="shared" si="0"/>
        <v>204 - OPS Wording Review</v>
      </c>
    </row>
    <row r="12" spans="1:10">
      <c r="A12" t="s">
        <v>320</v>
      </c>
      <c r="B12" t="s">
        <v>310</v>
      </c>
      <c r="C12">
        <v>205</v>
      </c>
      <c r="D12" t="str">
        <f t="shared" si="0"/>
        <v>205 - OPS Solution in Progress</v>
      </c>
    </row>
    <row r="13" spans="1:10">
      <c r="A13" t="s">
        <v>320</v>
      </c>
      <c r="B13" t="s">
        <v>292</v>
      </c>
      <c r="C13">
        <v>206</v>
      </c>
      <c r="D13" t="str">
        <f t="shared" si="0"/>
        <v>206 - PRD Solution in Progress</v>
      </c>
    </row>
    <row r="14" spans="1:10">
      <c r="A14" t="s">
        <v>321</v>
      </c>
      <c r="B14" t="s">
        <v>310</v>
      </c>
      <c r="C14">
        <v>207</v>
      </c>
      <c r="D14" t="str">
        <f t="shared" si="0"/>
        <v>207 - OPS In Estimation</v>
      </c>
    </row>
    <row r="15" spans="1:10">
      <c r="A15" t="s">
        <v>322</v>
      </c>
      <c r="B15" t="s">
        <v>310</v>
      </c>
      <c r="C15">
        <v>208</v>
      </c>
      <c r="D15" t="str">
        <f>TRIM(_xlfn.CONCAT(TEXT(C15,"000")," - ",B15," ",A15))</f>
        <v>208 - OPS Request Req. Budget</v>
      </c>
    </row>
    <row r="16" spans="1:10">
      <c r="A16" t="s">
        <v>323</v>
      </c>
      <c r="B16" t="s">
        <v>292</v>
      </c>
      <c r="C16">
        <v>300</v>
      </c>
      <c r="D16" t="str">
        <f t="shared" si="0"/>
        <v>300 - PRD Waiting Approval</v>
      </c>
    </row>
    <row r="17" spans="1:8">
      <c r="A17" t="s">
        <v>324</v>
      </c>
      <c r="B17" t="s">
        <v>292</v>
      </c>
      <c r="C17">
        <v>301</v>
      </c>
      <c r="D17" t="str">
        <f t="shared" si="0"/>
        <v>301 - PRD Review in Progress</v>
      </c>
    </row>
    <row r="18" spans="1:8">
      <c r="A18" t="s">
        <v>116</v>
      </c>
      <c r="B18" t="s">
        <v>292</v>
      </c>
      <c r="C18">
        <v>302</v>
      </c>
      <c r="D18" t="str">
        <f t="shared" si="0"/>
        <v>302 - PRD Approved</v>
      </c>
    </row>
    <row r="19" spans="1:8">
      <c r="A19" t="s">
        <v>100</v>
      </c>
      <c r="B19" t="s">
        <v>292</v>
      </c>
      <c r="C19">
        <v>303</v>
      </c>
      <c r="D19" t="str">
        <f t="shared" si="0"/>
        <v>303 - PRD Rejected</v>
      </c>
    </row>
    <row r="20" spans="1:8">
      <c r="A20" t="s">
        <v>323</v>
      </c>
      <c r="B20" t="s">
        <v>325</v>
      </c>
      <c r="C20">
        <v>400</v>
      </c>
      <c r="D20" t="str">
        <f t="shared" si="0"/>
        <v>400 - FIN Waiting Approval</v>
      </c>
    </row>
    <row r="21" spans="1:8">
      <c r="A21" t="s">
        <v>116</v>
      </c>
      <c r="B21" t="s">
        <v>325</v>
      </c>
      <c r="C21">
        <v>402</v>
      </c>
      <c r="D21" t="str">
        <f t="shared" si="0"/>
        <v>402 - FIN Approved</v>
      </c>
    </row>
    <row r="22" spans="1:8">
      <c r="A22" t="s">
        <v>100</v>
      </c>
      <c r="B22" t="s">
        <v>325</v>
      </c>
      <c r="C22">
        <v>403</v>
      </c>
      <c r="D22" t="str">
        <f t="shared" si="0"/>
        <v>403 - FIN Rejected</v>
      </c>
    </row>
    <row r="23" spans="1:8">
      <c r="A23" t="s">
        <v>323</v>
      </c>
      <c r="B23" t="s">
        <v>326</v>
      </c>
      <c r="C23">
        <v>404</v>
      </c>
      <c r="D23" t="str">
        <f t="shared" ref="D23:D25" si="1">TRIM(_xlfn.CONCAT(TEXT(C23,"000")," - ",B23," ",A23))</f>
        <v>404 - SRG Waiting Approval</v>
      </c>
    </row>
    <row r="24" spans="1:8">
      <c r="A24" t="s">
        <v>116</v>
      </c>
      <c r="B24" t="s">
        <v>326</v>
      </c>
      <c r="C24">
        <v>405</v>
      </c>
      <c r="D24" t="str">
        <f t="shared" si="1"/>
        <v>405 - SRG Approved</v>
      </c>
    </row>
    <row r="25" spans="1:8">
      <c r="A25" t="s">
        <v>100</v>
      </c>
      <c r="B25" t="s">
        <v>326</v>
      </c>
      <c r="C25">
        <v>406</v>
      </c>
      <c r="D25" t="str">
        <f t="shared" si="1"/>
        <v>406 - SRG Rejected</v>
      </c>
    </row>
    <row r="26" spans="1:8">
      <c r="A26" t="s">
        <v>323</v>
      </c>
      <c r="B26" t="s">
        <v>316</v>
      </c>
      <c r="C26">
        <v>500</v>
      </c>
      <c r="D26" t="str">
        <f t="shared" si="0"/>
        <v>500 - CLI Waiting Approval</v>
      </c>
      <c r="H26" s="11" t="s">
        <v>106</v>
      </c>
    </row>
    <row r="27" spans="1:8">
      <c r="A27" t="s">
        <v>116</v>
      </c>
      <c r="B27" t="s">
        <v>316</v>
      </c>
      <c r="C27">
        <v>502</v>
      </c>
      <c r="D27" t="str">
        <f t="shared" si="0"/>
        <v>502 - CLI Approved</v>
      </c>
      <c r="H27" s="12" t="s">
        <v>180</v>
      </c>
    </row>
    <row r="28" spans="1:8">
      <c r="A28" t="s">
        <v>100</v>
      </c>
      <c r="B28" t="s">
        <v>316</v>
      </c>
      <c r="C28">
        <v>503</v>
      </c>
      <c r="D28" t="str">
        <f t="shared" si="0"/>
        <v>503 - CLI Rejected</v>
      </c>
      <c r="H28" s="13" t="s">
        <v>129</v>
      </c>
    </row>
    <row r="29" spans="1:8">
      <c r="A29" t="s">
        <v>323</v>
      </c>
      <c r="B29" t="s">
        <v>327</v>
      </c>
      <c r="C29">
        <v>600</v>
      </c>
      <c r="D29" t="str">
        <f t="shared" si="0"/>
        <v>600 - BRD Waiting Approval</v>
      </c>
      <c r="H29" s="14" t="s">
        <v>109</v>
      </c>
    </row>
    <row r="30" spans="1:8">
      <c r="A30" t="s">
        <v>116</v>
      </c>
      <c r="B30" t="s">
        <v>327</v>
      </c>
      <c r="C30">
        <v>601</v>
      </c>
      <c r="D30" t="str">
        <f t="shared" si="0"/>
        <v>601 - BRD Approved</v>
      </c>
      <c r="H30" s="15" t="s">
        <v>328</v>
      </c>
    </row>
    <row r="31" spans="1:8">
      <c r="A31" t="s">
        <v>100</v>
      </c>
      <c r="B31" t="s">
        <v>327</v>
      </c>
      <c r="C31">
        <v>602</v>
      </c>
      <c r="D31" t="str">
        <f t="shared" si="0"/>
        <v>602 - BRD Rejected</v>
      </c>
      <c r="H31" s="16" t="s">
        <v>100</v>
      </c>
    </row>
    <row r="32" spans="1:8">
      <c r="A32" t="s">
        <v>329</v>
      </c>
      <c r="B32" t="s">
        <v>310</v>
      </c>
      <c r="C32">
        <v>700</v>
      </c>
      <c r="D32" t="str">
        <f t="shared" si="0"/>
        <v>700 - OPS Ready to Schedule</v>
      </c>
      <c r="H32" s="17" t="s">
        <v>116</v>
      </c>
    </row>
    <row r="33" spans="1:8">
      <c r="A33" t="s">
        <v>330</v>
      </c>
      <c r="B33" t="s">
        <v>310</v>
      </c>
      <c r="C33">
        <v>701</v>
      </c>
      <c r="D33" t="str">
        <f t="shared" si="0"/>
        <v>701 - OPS Scheduled</v>
      </c>
      <c r="H33" s="18" t="s">
        <v>103</v>
      </c>
    </row>
    <row r="34" spans="1:8">
      <c r="A34" t="s">
        <v>331</v>
      </c>
      <c r="B34" t="s">
        <v>310</v>
      </c>
      <c r="C34">
        <v>702</v>
      </c>
      <c r="D34" t="str">
        <f t="shared" si="0"/>
        <v>702 - OPS In Development</v>
      </c>
      <c r="H34" s="19" t="s">
        <v>205</v>
      </c>
    </row>
    <row r="35" spans="1:8" ht="15.75">
      <c r="A35" t="s">
        <v>332</v>
      </c>
      <c r="B35" t="s">
        <v>310</v>
      </c>
      <c r="C35">
        <v>703</v>
      </c>
      <c r="D35" t="str">
        <f t="shared" si="0"/>
        <v>703 - OPS Dev Completed</v>
      </c>
      <c r="H35" s="27" t="s">
        <v>35</v>
      </c>
    </row>
    <row r="36" spans="1:8">
      <c r="A36" t="s">
        <v>333</v>
      </c>
      <c r="B36" t="s">
        <v>310</v>
      </c>
      <c r="C36">
        <v>704</v>
      </c>
      <c r="D36" t="str">
        <f t="shared" si="0"/>
        <v>704 - OPS In Testing</v>
      </c>
      <c r="H36" s="20" t="s">
        <v>29</v>
      </c>
    </row>
    <row r="37" spans="1:8">
      <c r="A37" t="s">
        <v>334</v>
      </c>
      <c r="B37" t="s">
        <v>310</v>
      </c>
      <c r="C37">
        <v>705</v>
      </c>
      <c r="D37" t="str">
        <f t="shared" si="0"/>
        <v>705 - OPS Testing Completed</v>
      </c>
      <c r="H37" t="s">
        <v>291</v>
      </c>
    </row>
    <row r="38" spans="1:8">
      <c r="A38" t="s">
        <v>335</v>
      </c>
      <c r="B38" t="s">
        <v>310</v>
      </c>
      <c r="C38">
        <v>706</v>
      </c>
      <c r="D38" t="str">
        <f t="shared" si="0"/>
        <v>706 - OPS In Documentation</v>
      </c>
      <c r="H38" t="s">
        <v>200</v>
      </c>
    </row>
    <row r="39" spans="1:8">
      <c r="A39" t="s">
        <v>336</v>
      </c>
      <c r="B39" t="s">
        <v>310</v>
      </c>
      <c r="C39">
        <v>707</v>
      </c>
      <c r="D39" t="str">
        <f t="shared" si="0"/>
        <v>707 - OPS Documentation Completed</v>
      </c>
      <c r="H39" t="s">
        <v>337</v>
      </c>
    </row>
    <row r="40" spans="1:8">
      <c r="A40" t="s">
        <v>338</v>
      </c>
      <c r="B40" t="s">
        <v>310</v>
      </c>
      <c r="C40">
        <v>800</v>
      </c>
      <c r="D40" t="str">
        <f t="shared" si="0"/>
        <v>800 - OPS Released</v>
      </c>
      <c r="H40" t="s">
        <v>339</v>
      </c>
    </row>
    <row r="41" spans="1:8">
      <c r="A41" t="s">
        <v>100</v>
      </c>
      <c r="B41" t="s">
        <v>307</v>
      </c>
      <c r="C41">
        <v>900</v>
      </c>
      <c r="D41" t="str">
        <f t="shared" si="0"/>
        <v>900 - UNK Rejected</v>
      </c>
      <c r="H41" t="s">
        <v>56</v>
      </c>
    </row>
    <row r="42" spans="1:8">
      <c r="A42" t="s">
        <v>340</v>
      </c>
      <c r="B42" t="s">
        <v>307</v>
      </c>
      <c r="C42">
        <v>901</v>
      </c>
      <c r="D42" t="str">
        <f t="shared" si="0"/>
        <v>901 - UNK Cancelled</v>
      </c>
      <c r="H42" t="s">
        <v>128</v>
      </c>
    </row>
    <row r="43" spans="1:8">
      <c r="A43" t="s">
        <v>128</v>
      </c>
      <c r="B43" t="s">
        <v>307</v>
      </c>
      <c r="C43">
        <v>999</v>
      </c>
      <c r="D43" t="str">
        <f t="shared" si="0"/>
        <v>999 - UNK On-Hold</v>
      </c>
    </row>
    <row r="44" spans="1:8">
      <c r="A44" t="s">
        <v>291</v>
      </c>
      <c r="B44" t="s">
        <v>292</v>
      </c>
      <c r="C44">
        <v>205</v>
      </c>
      <c r="D44" t="str">
        <f t="shared" si="0"/>
        <v>205 - PRD Partner</v>
      </c>
    </row>
  </sheetData>
  <autoFilter ref="A1:D43" xr:uid="{B4A98D2F-5E9D-B241-A3DC-ED717506D0E4}">
    <sortState xmlns:xlrd2="http://schemas.microsoft.com/office/spreadsheetml/2017/richdata2" ref="A2:D43">
      <sortCondition ref="C1:C43"/>
    </sortState>
  </autoFilter>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BI150"/>
  <sheetViews>
    <sheetView topLeftCell="AB1" workbookViewId="0">
      <selection activeCell="AQ6" sqref="AQ6"/>
    </sheetView>
  </sheetViews>
  <sheetFormatPr defaultColWidth="8.625" defaultRowHeight="15"/>
  <cols>
    <col min="1" max="1" width="16.625" bestFit="1" customWidth="1"/>
    <col min="2" max="2" width="7" bestFit="1" customWidth="1"/>
    <col min="3" max="3" width="10.625" customWidth="1"/>
    <col min="4" max="4" width="18.125" bestFit="1" customWidth="1"/>
    <col min="5" max="5" width="56.625" bestFit="1" customWidth="1"/>
    <col min="6" max="7" width="56.625" customWidth="1"/>
    <col min="8" max="8" width="24.375" style="7" bestFit="1" customWidth="1"/>
    <col min="9" max="9" width="12.5" style="7" customWidth="1"/>
    <col min="10" max="10" width="26.625" style="6" customWidth="1"/>
    <col min="11" max="11" width="11" style="6" bestFit="1" customWidth="1"/>
    <col min="12" max="12" width="13.5" style="6" bestFit="1" customWidth="1"/>
    <col min="13" max="13" width="9.125" style="6" bestFit="1" customWidth="1"/>
    <col min="14" max="14" width="8.5" style="6" bestFit="1" customWidth="1"/>
    <col min="15" max="15" width="10.375" style="6" bestFit="1" customWidth="1"/>
    <col min="16" max="16" width="9.625" style="6" bestFit="1" customWidth="1"/>
    <col min="17" max="17" width="11.125" style="6" bestFit="1" customWidth="1"/>
    <col min="18" max="18" width="8.5" style="6" bestFit="1" customWidth="1"/>
    <col min="19" max="19" width="9.375" style="6" bestFit="1" customWidth="1"/>
    <col min="20" max="20" width="10.5" style="6" bestFit="1" customWidth="1"/>
    <col min="21" max="21" width="8.5" style="6" bestFit="1" customWidth="1"/>
    <col min="22" max="22" width="9.375" style="6" bestFit="1" customWidth="1"/>
    <col min="23" max="24" width="8.5" style="6" bestFit="1" customWidth="1"/>
    <col min="25" max="25" width="9.375" style="6" bestFit="1" customWidth="1"/>
    <col min="26" max="31" width="10.625" style="8" customWidth="1"/>
    <col min="32" max="32" width="11.375" style="8" bestFit="1" customWidth="1"/>
    <col min="33" max="33" width="13" style="8" bestFit="1" customWidth="1"/>
    <col min="34" max="34" width="12.625" style="8" customWidth="1"/>
    <col min="35" max="35" width="8.375" style="1" bestFit="1" customWidth="1"/>
    <col min="36" max="36" width="12.125" style="3" bestFit="1" customWidth="1"/>
    <col min="37" max="37" width="9" style="3" customWidth="1"/>
    <col min="38" max="39" width="8.5" bestFit="1" customWidth="1"/>
    <col min="40" max="40" width="8.125" bestFit="1" customWidth="1"/>
    <col min="41" max="41" width="8" bestFit="1" customWidth="1"/>
    <col min="42" max="42" width="10.125" bestFit="1" customWidth="1"/>
    <col min="43" max="43" width="11.5" bestFit="1" customWidth="1"/>
    <col min="44" max="44" width="14.625" bestFit="1" customWidth="1"/>
    <col min="45" max="45" width="6.125" bestFit="1" customWidth="1"/>
    <col min="46" max="46" width="19.125" bestFit="1" customWidth="1"/>
    <col min="47" max="47" width="8.375" style="8" bestFit="1" customWidth="1"/>
    <col min="48" max="48" width="15.625" bestFit="1" customWidth="1"/>
    <col min="49" max="49" width="18.625" style="9" bestFit="1" customWidth="1"/>
    <col min="50" max="50" width="26.375" bestFit="1" customWidth="1"/>
    <col min="51" max="51" width="14.5" style="10" bestFit="1" customWidth="1"/>
    <col min="52" max="52" width="9.375" bestFit="1" customWidth="1"/>
    <col min="53" max="53" width="14.625" bestFit="1" customWidth="1"/>
    <col min="54" max="54" width="15" bestFit="1" customWidth="1"/>
    <col min="55" max="55" width="14.625" bestFit="1" customWidth="1"/>
    <col min="56" max="56" width="7" bestFit="1" customWidth="1"/>
    <col min="57" max="57" width="9" customWidth="1"/>
    <col min="58" max="58" width="12.375" bestFit="1" customWidth="1"/>
    <col min="59" max="59" width="16.625" style="3" bestFit="1" customWidth="1"/>
  </cols>
  <sheetData>
    <row r="1" spans="1:61">
      <c r="A1" t="str">
        <f>IF('TRACKER - 20220622'!A2&lt;&gt;"",UPPER('TRACKER - 20220622'!A2),"")</f>
        <v>CUSTOMER</v>
      </c>
      <c r="B1" t="str">
        <f>IF('TRACKER - 20220622'!B2&lt;&gt;"",UPPER('TRACKER - 20220622'!B2),"")</f>
        <v>CHARGEABLE</v>
      </c>
      <c r="C1" t="str">
        <f>IF('TRACKER - 20220622'!D2&lt;&gt;"",UPPER('TRACKER - 20220622'!D2),"")</f>
        <v>RSC/
REQ/BZ NO</v>
      </c>
      <c r="D1" t="str">
        <f>IF('TRACKER - 20220622'!F2&lt;&gt;"",UPPER('TRACKER - 20220622'!F2),"")</f>
        <v>AT A GLANCE ID</v>
      </c>
      <c r="E1" t="str">
        <f>IF('TRACKER - 20220622'!H2&lt;&gt;"",UPPER('TRACKER - 20220622'!H2),"")</f>
        <v>DESCRIPTION</v>
      </c>
      <c r="F1" t="s">
        <v>341</v>
      </c>
      <c r="G1" t="s">
        <v>342</v>
      </c>
      <c r="H1" t="str">
        <f>IF('TRACKER - 20220622'!J2&lt;&gt;"",UPPER('TRACKER - 20220622'!J2),"")</f>
        <v>VALUE / 
COST</v>
      </c>
      <c r="I1" t="str">
        <f>IF('TRACKER - 20220622'!K2&lt;&gt;"",UPPER('TRACKER - 20220622'!K2),"")</f>
        <v>LAST 
UPDATE</v>
      </c>
      <c r="J1" t="str">
        <f>IF('TRACKER - 20220622'!L2&lt;&gt;"",UPPER('TRACKER - 20220622'!L2),"")</f>
        <v>LOGGED/
RAISED</v>
      </c>
      <c r="K1" t="str">
        <f>IF('TRACKER - 20220622'!M2&lt;&gt;"",UPPER('TRACKER - 20220622'!M2),"")</f>
        <v>WRITTEN</v>
      </c>
      <c r="L1" t="str">
        <f>IF('TRACKER - 20220622'!N2&lt;&gt;"",UPPER('TRACKER - 20220622'!N2),"")</f>
        <v>APPROVED</v>
      </c>
      <c r="M1" t="str">
        <f>IF('TRACKER - 20220622'!O2&lt;&gt;"",UPPER('TRACKER - 20220622'!O2),"")</f>
        <v>APPROVED</v>
      </c>
      <c r="N1" t="str">
        <f>IF('TRACKER - 20220622'!P2&lt;&gt;"",UPPER('TRACKER - 20220622'!P2),"")</f>
        <v>SENT</v>
      </c>
      <c r="O1" t="str">
        <f>IF('TRACKER - 20220622'!Q2&lt;&gt;"",UPPER('TRACKER - 20220622'!Q2),"")</f>
        <v>PRODUCT</v>
      </c>
      <c r="P1" t="str">
        <f>IF('TRACKER - 20220622'!R2&lt;&gt;"",UPPER('TRACKER - 20220622'!R2),"")</f>
        <v>ORIGIN</v>
      </c>
      <c r="Q1" t="str">
        <f>IF('TRACKER - 20220622'!S2&lt;&gt;"",UPPER('TRACKER - 20220622'!S2),"")</f>
        <v>TYPE</v>
      </c>
      <c r="R1" t="str">
        <f>IF('TRACKER - 20220622'!T2&lt;&gt;"",UPPER('TRACKER - 20220622'!T2),"")</f>
        <v>IMPACT</v>
      </c>
      <c r="S1" t="str">
        <f>IF('TRACKER - 20220622'!U2&lt;&gt;"",UPPER('TRACKER - 20220622'!U2),"")</f>
        <v>EFFORT</v>
      </c>
      <c r="T1" t="str">
        <f>IF('TRACKER - 20220622'!V2&lt;&gt;"",UPPER('TRACKER - 20220622'!V2),"")</f>
        <v>ARCHIVE DATE</v>
      </c>
      <c r="U1" t="str">
        <f>IF('TRACKER - 20220622'!W2&lt;&gt;"",UPPER('TRACKER - 20220622'!W2),"")</f>
        <v>ARCHIVE REASON</v>
      </c>
      <c r="V1" t="str">
        <f>IF('TRACKER - 20220622'!X2&lt;&gt;"",UPPER('TRACKER - 20220622'!X2),"")</f>
        <v>NOTES</v>
      </c>
      <c r="W1" t="str">
        <f>IF('TRACKER - 20220622'!Y2&lt;&gt;"",UPPER('TRACKER - 20220622'!Y2),"")</f>
        <v>TOTAL
VALUE</v>
      </c>
      <c r="X1" t="str">
        <f>IF('TRACKER - 20220622'!Z2&lt;&gt;"",UPPER('TRACKER - 20220622'!Z2),"")</f>
        <v>REQ</v>
      </c>
      <c r="Y1" t="str">
        <f>IF('TRACKER - 20220622'!AA2&lt;&gt;"",UPPER('TRACKER - 20220622'!AA2),"")</f>
        <v>DEV</v>
      </c>
      <c r="Z1" t="str">
        <f>IF('TRACKER - 20220622'!AB2&lt;&gt;"",UPPER('TRACKER - 20220622'!AB2),"")</f>
        <v>UAT</v>
      </c>
      <c r="AA1" t="str">
        <f>IF('TRACKER - 20220622'!AC2&lt;&gt;"",UPPER('TRACKER - 20220622'!AC2),"")</f>
        <v>REL</v>
      </c>
      <c r="AB1" t="str">
        <f>IF('TRACKER - 20220622'!AE2&lt;&gt;"",UPPER('TRACKER - 20220622'!AE2),"")</f>
        <v>PM</v>
      </c>
      <c r="AC1" t="str">
        <f>IF('TRACKER - 20220622'!AF2&lt;&gt;"",UPPER('TRACKER - 20220622'!AF2),"")</f>
        <v>TOTAL</v>
      </c>
      <c r="AD1" t="str">
        <f>IF('TRACKER - 20220622'!AG2&lt;&gt;"",UPPER('TRACKER - 20220622'!AG2),"")</f>
        <v>ANNUAL SUPPORT</v>
      </c>
      <c r="AE1" t="str">
        <f>IF('TRACKER - 20220622'!AH2&lt;&gt;"",UPPER('TRACKER - 20220622'!AH2),"")</f>
        <v>RATE</v>
      </c>
      <c r="AF1" t="str">
        <f>IF('TRACKER - 20220622'!AI2&lt;&gt;"",UPPER('TRACKER - 20220622'!AI2),"")</f>
        <v>DISCOUNTED</v>
      </c>
      <c r="AG1" t="str">
        <f>IF('TRACKER - 20220622'!AJ2&lt;&gt;"",UPPER('TRACKER - 20220622'!AJ2),"")</f>
        <v>SUPPORT</v>
      </c>
      <c r="AH1" t="str">
        <f>IF('TRACKER - 20220622'!AK2&lt;&gt;"",UPPER('TRACKER - 20220622'!AK2),"")</f>
        <v>REQ</v>
      </c>
      <c r="AI1" t="str">
        <f>IF('TRACKER - 20220622'!AL2&lt;&gt;"",UPPER('TRACKER - 20220622'!AL2),"")</f>
        <v>DEV</v>
      </c>
      <c r="AJ1" t="str">
        <f>IF('TRACKER - 20220622'!AM2&lt;&gt;"",UPPER('TRACKER - 20220622'!AM2),"")</f>
        <v>UAT</v>
      </c>
      <c r="AK1" t="str">
        <f>IF('TRACKER - 20220622'!AN2&lt;&gt;"",UPPER('TRACKER - 20220622'!AN2),"")</f>
        <v>REL</v>
      </c>
      <c r="AL1" t="str">
        <f>IF('TRACKER - 20220622'!AO2&lt;&gt;"",UPPER('TRACKER - 20220622'!AO2),"")</f>
        <v>PM</v>
      </c>
      <c r="AM1" t="str">
        <f>IF('TRACKER - 20220622'!AP2&lt;&gt;"",UPPER('TRACKER - 20220622'!AP2),"")</f>
        <v xml:space="preserve">TOTAL </v>
      </c>
      <c r="AN1" t="str">
        <f>IF('TRACKER - 20220622'!AQ2&lt;&gt;"",UPPER('TRACKER - 20220622'!AQ2),"")</f>
        <v>ANNUAL SUPPORT</v>
      </c>
      <c r="AO1" t="str">
        <f>IF('TRACKER - 20220622'!AR2&lt;&gt;"",UPPER('TRACKER - 20220622'!AR2),"")</f>
        <v>WRK_CUSTOMER_CODE</v>
      </c>
      <c r="AP1" t="str">
        <f>IF('TRACKER - 20220622'!AS2&lt;&gt;"",UPPER('TRACKER - 20220622'!AS2),"")</f>
        <v>WRK_CHANGE_TYPE</v>
      </c>
      <c r="AQ1" t="str">
        <f>IF('TRACKER - 20220622'!AT2&lt;&gt;"",UPPER('TRACKER - 20220622'!AT2),"")</f>
        <v>WRK_CHKBILLABLE</v>
      </c>
      <c r="AR1" t="str">
        <f>IF('TRACKER - 20220622'!AU2&lt;&gt;"",UPPER('TRACKER - 20220622'!AU2),"")</f>
        <v>WRK_CHKCLIENTRATE</v>
      </c>
      <c r="AS1" t="str">
        <f>IF('TRACKER - 20220622'!AV2&lt;&gt;"",UPPER('TRACKER - 20220622'!AV2),"")</f>
        <v>WRK_CHKCLIENTRATEEXCEPTION</v>
      </c>
      <c r="AT1" t="str">
        <f>IF('TRACKER - 20220622'!AW2&lt;&gt;"",UPPER('TRACKER - 20220622'!AW2),"")</f>
        <v>BOARDDESCRIPTIONWHATISIT</v>
      </c>
      <c r="AU1" t="str">
        <f>IF('TRACKER - 20220622'!AX2&lt;&gt;"",UPPER('TRACKER - 20220622'!AX2),"")</f>
        <v>BOARDREASON</v>
      </c>
      <c r="AW1"/>
      <c r="AX1" t="str">
        <f>IF('TRACKER - 20220622'!BF2&lt;&gt;"",UPPER('TRACKER - 20220622'!BF2),"")</f>
        <v/>
      </c>
      <c r="AY1" t="str">
        <f>IF('TRACKER - 20220622'!BG2&lt;&gt;"",UPPER('TRACKER - 20220622'!BG2),"")</f>
        <v/>
      </c>
      <c r="AZ1" t="str">
        <f>IF('TRACKER - 20220622'!BH2&lt;&gt;"",UPPER('TRACKER - 20220622'!BH2),"")</f>
        <v/>
      </c>
      <c r="BA1" t="str">
        <f>IF('TRACKER - 20220622'!BI2&lt;&gt;"",UPPER('TRACKER - 20220622'!BI2),"")</f>
        <v/>
      </c>
      <c r="BB1" t="str">
        <f>IF('TRACKER - 20220622'!BJ2&lt;&gt;"",UPPER('TRACKER - 20220622'!BJ2),"")</f>
        <v/>
      </c>
      <c r="BC1" t="str">
        <f>IF('TRACKER - 20220622'!BK2&lt;&gt;"",UPPER('TRACKER - 20220622'!BK2),"")</f>
        <v/>
      </c>
      <c r="BD1" t="str">
        <f>IF('TRACKER - 20220622'!BL2&lt;&gt;"",UPPER('TRACKER - 20220622'!BL2),"")</f>
        <v/>
      </c>
      <c r="BE1" t="str">
        <f>IF('TRACKER - 20220622'!BM2&lt;&gt;"",UPPER('TRACKER - 20220622'!BM2),"")</f>
        <v/>
      </c>
      <c r="BF1" t="str">
        <f>IF('TRACKER - 20220622'!BN2&lt;&gt;"",UPPER('TRACKER - 20220622'!BN2),"")</f>
        <v/>
      </c>
      <c r="BG1" t="str">
        <f>IF('TRACKER - 20220622'!BO2&lt;&gt;"",UPPER('TRACKER - 20220622'!BO2),"")</f>
        <v/>
      </c>
    </row>
    <row r="2" spans="1:61">
      <c r="A2" t="str">
        <f>IF('TRACKER - 20220622'!A3&lt;&gt;"",UPPER('TRACKER - 20220622'!A3),"")</f>
        <v>BACB</v>
      </c>
      <c r="B2" t="str">
        <f>IF('TRACKER - 20220622'!B3&lt;&gt;"",UPPER('TRACKER - 20220622'!B3),"")</f>
        <v>Y</v>
      </c>
      <c r="C2" t="str">
        <f>IF('TRACKER - 20220622'!D3&lt;&gt;"",UPPER('TRACKER - 20220622'!D3),"")</f>
        <v>42</v>
      </c>
      <c r="D2" t="str">
        <f>IF('TRACKER - 20220622'!F3&lt;&gt;"",UPPER('TRACKER - 20220622'!F3),"")</f>
        <v>BAC-RSC-2020-00042</v>
      </c>
      <c r="E2" t="str">
        <f>IF('TRACKER - 20220622'!H3&lt;&gt;"",'TRACKER - 20220622'!H3,"")</f>
        <v>RSC042 - ReReport Trades</v>
      </c>
      <c r="F2" t="str">
        <f>D2&amp;" "&amp;E2</f>
        <v>BAC-RSC-2020-00042 RSC042 - ReReport Trades</v>
      </c>
      <c r="G2" t="str">
        <f>AK2&amp;TEXT(C2,"00000")&amp;" - "&amp;E2</f>
        <v>00042 - RSC042 - ReReport Trades</v>
      </c>
      <c r="H2">
        <f>IF('TRACKER - 20220622'!J3&lt;&gt;"",'TRACKER - 20220622'!J3,"")</f>
        <v>0</v>
      </c>
      <c r="I2" t="str">
        <f>IF('TRACKER - 20220622'!K3&lt;&gt;"",UPPER('TRACKER - 20220622'!K3),"")</f>
        <v>44068</v>
      </c>
      <c r="J2" t="str">
        <f>IF('TRACKER - 20220622'!L3&lt;&gt;"",UPPER('TRACKER - 20220622'!L3),"")</f>
        <v>44068</v>
      </c>
      <c r="K2" t="str">
        <f>IF('TRACKER - 20220622'!M3&lt;&gt;"",UPPER('TRACKER - 20220622'!M3),"")</f>
        <v/>
      </c>
      <c r="L2" t="str">
        <f>IF('TRACKER - 20220622'!N3&lt;&gt;"",UPPER('TRACKER - 20220622'!N3),"")</f>
        <v/>
      </c>
      <c r="M2" t="str">
        <f>IF('TRACKER - 20220622'!O3&lt;&gt;"",UPPER('TRACKER - 20220622'!O3),"")</f>
        <v/>
      </c>
      <c r="N2" t="str">
        <f>IF('TRACKER - 20220622'!P3&lt;&gt;"",UPPER('TRACKER - 20220622'!P3),"")</f>
        <v>43637</v>
      </c>
      <c r="O2" t="str">
        <f>IF('TRACKER - 20220622'!Q3&lt;&gt;"",UPPER('TRACKER - 20220622'!Q3),"")</f>
        <v>REGULATORY</v>
      </c>
      <c r="P2" t="str">
        <f>IF('TRACKER - 20220622'!R3&lt;&gt;"",UPPER('TRACKER - 20220622'!R3),"")</f>
        <v>CLIENT</v>
      </c>
      <c r="Q2" t="str">
        <f>IF('TRACKER - 20220622'!S3&lt;&gt;"",UPPER('TRACKER - 20220622'!S3),"")</f>
        <v/>
      </c>
      <c r="R2" t="str">
        <f>IF('TRACKER - 20220622'!T3&lt;&gt;"",UPPER('TRACKER - 20220622'!T3),"")</f>
        <v/>
      </c>
      <c r="S2" t="str">
        <f>IF('TRACKER - 20220622'!U3&lt;&gt;"",UPPER('TRACKER - 20220622'!U3),"")</f>
        <v/>
      </c>
      <c r="T2" t="str">
        <f>IF('TRACKER - 20220622'!V3&lt;&gt;"",UPPER('TRACKER - 20220622'!V3),"")</f>
        <v/>
      </c>
      <c r="U2" t="str">
        <f>IF('TRACKER - 20220622'!W3&lt;&gt;"",UPPER('TRACKER - 20220622'!W3),"")</f>
        <v/>
      </c>
      <c r="V2" t="str">
        <f>IF('TRACKER - 20220622'!X3&lt;&gt;"",UPPER('TRACKER - 20220622'!X3),"")</f>
        <v>25/08/20 - LOADED FROM PROJECT LOGS FILES</v>
      </c>
      <c r="W2" t="str">
        <f>IF('TRACKER - 20220622'!Y3&lt;&gt;"",UPPER('TRACKER - 20220622'!Y3),"")</f>
        <v>0</v>
      </c>
      <c r="X2" t="str">
        <f>IF('TRACKER - 20220622'!Z3&lt;&gt;"",UPPER('TRACKER - 20220622'!Z3),"")</f>
        <v>0</v>
      </c>
      <c r="Y2" t="str">
        <f>IF('TRACKER - 20220622'!AA3&lt;&gt;"",UPPER('TRACKER - 20220622'!AA3),"")</f>
        <v>0</v>
      </c>
      <c r="Z2" t="str">
        <f>IF('TRACKER - 20220622'!AB3&lt;&gt;"",UPPER('TRACKER - 20220622'!AB3),"")</f>
        <v>0</v>
      </c>
      <c r="AA2" t="str">
        <f>IF('TRACKER - 20220622'!AC3&lt;&gt;"",UPPER('TRACKER - 20220622'!AC3),"")</f>
        <v>0</v>
      </c>
      <c r="AB2" t="str">
        <f>IF('TRACKER - 20220622'!AE3&lt;&gt;"",UPPER('TRACKER - 20220622'!AE3),"")</f>
        <v>0</v>
      </c>
      <c r="AC2" t="str">
        <f>IF('TRACKER - 20220622'!AF3&lt;&gt;"",UPPER('TRACKER - 20220622'!AF3),"")</f>
        <v>0</v>
      </c>
      <c r="AD2" t="str">
        <f>IF('TRACKER - 20220622'!AG3&lt;&gt;"",UPPER('TRACKER - 20220622'!AG3),"")</f>
        <v>0</v>
      </c>
      <c r="AE2" t="str">
        <f>IF('TRACKER - 20220622'!AH3&lt;&gt;"",UPPER('TRACKER - 20220622'!AH3),"")</f>
        <v>211.66</v>
      </c>
      <c r="AF2" t="str">
        <f>IF('TRACKER - 20220622'!AI3&lt;&gt;"",UPPER('TRACKER - 20220622'!AI3),"")</f>
        <v/>
      </c>
      <c r="AG2" t="str">
        <f>IF('TRACKER - 20220622'!AJ3&lt;&gt;"",UPPER('TRACKER - 20220622'!AJ3),"")</f>
        <v>0.2</v>
      </c>
      <c r="AH2" t="str">
        <f>IF('TRACKER - 20220622'!AK3&lt;&gt;"",UPPER('TRACKER - 20220622'!AK3),"")</f>
        <v/>
      </c>
      <c r="AI2" t="str">
        <f>IF('TRACKER - 20220622'!AL3&lt;&gt;"",UPPER('TRACKER - 20220622'!AL3),"")</f>
        <v>0</v>
      </c>
      <c r="AJ2" t="str">
        <f>IF('TRACKER - 20220622'!AM3&lt;&gt;"",UPPER('TRACKER - 20220622'!AM3),"")</f>
        <v>0</v>
      </c>
      <c r="AK2" t="str">
        <f>IF('TRACKER - 20220622'!AN3&lt;&gt;"",UPPER('TRACKER - 20220622'!AN3),"")</f>
        <v/>
      </c>
      <c r="AL2" t="str">
        <f>IF('TRACKER - 20220622'!AO3&lt;&gt;"",UPPER('TRACKER - 20220622'!AO3),"")</f>
        <v>0</v>
      </c>
      <c r="AM2" t="str">
        <f>IF('TRACKER - 20220622'!AP3&lt;&gt;"",UPPER('TRACKER - 20220622'!AP3),"")</f>
        <v>0</v>
      </c>
      <c r="AN2" t="str">
        <f>IF('TRACKER - 20220622'!AQ3&lt;&gt;"",UPPER('TRACKER - 20220622'!AQ3),"")</f>
        <v>0</v>
      </c>
      <c r="AO2" t="str">
        <f>IF('TRACKER - 20220622'!AR3&lt;&gt;"",UPPER('TRACKER - 20220622'!AR3),"")</f>
        <v>BAC</v>
      </c>
      <c r="AP2" t="str">
        <f>IF('TRACKER - 20220622'!AS3&lt;&gt;"",UPPER('TRACKER - 20220622'!AS3),"")</f>
        <v>RSC</v>
      </c>
      <c r="AQ2" t="str">
        <f>IF('TRACKER - 20220622'!AT3&lt;&gt;"",UPPER('TRACKER - 20220622'!AT3),"")</f>
        <v>Y</v>
      </c>
      <c r="AR2" t="str">
        <f>IF('TRACKER - 20220622'!AU3&lt;&gt;"",UPPER('TRACKER - 20220622'!AU3),"")</f>
        <v>211.66</v>
      </c>
      <c r="AS2" t="str">
        <f>IF('TRACKER - 20220622'!AV3&lt;&gt;"",UPPER('TRACKER - 20220622'!AV3),"")</f>
        <v/>
      </c>
      <c r="AT2" t="str">
        <f>IF('TRACKER - 20220622'!AW3&lt;&gt;"",UPPER('TRACKER - 20220622'!AW3),"")</f>
        <v>DESCR3</v>
      </c>
      <c r="AU2" t="str">
        <f>IF('TRACKER - 20220622'!AX3&lt;&gt;"",UPPER('TRACKER - 20220622'!AX3),"")</f>
        <v>REASON3</v>
      </c>
      <c r="AV2" t="str">
        <f>IF('TRACKER - 20220622'!BD3&lt;&gt;"",'TRACKER - 20220622'!BD3,"")</f>
        <v/>
      </c>
      <c r="AW2" t="str">
        <f>IF('TRACKER - 20220622'!BE3&lt;&gt;"",'TRACKER - 20220622'!BE3,"")</f>
        <v/>
      </c>
      <c r="AX2" t="str">
        <f>IF('TRACKER - 20220622'!BF3&lt;&gt;"",'TRACKER - 20220622'!BF3,"")</f>
        <v/>
      </c>
      <c r="AY2" t="str">
        <f>IF('TRACKER - 20220622'!BG3&lt;&gt;"",'TRACKER - 20220622'!BG3,"")</f>
        <v/>
      </c>
      <c r="AZ2" t="str">
        <f>IF('TRACKER - 20220622'!BH3&lt;&gt;"",'TRACKER - 20220622'!BH3,"")</f>
        <v/>
      </c>
      <c r="BA2" t="str">
        <f>IF('TRACKER - 20220622'!BI3&lt;&gt;"",'TRACKER - 20220622'!BI3,"")</f>
        <v/>
      </c>
      <c r="BB2" t="str">
        <f>IF('TRACKER - 20220622'!BJ3&lt;&gt;"",'TRACKER - 20220622'!BJ3,"")</f>
        <v/>
      </c>
      <c r="BC2" t="str">
        <f>IF('TRACKER - 20220622'!BK3&lt;&gt;"",'TRACKER - 20220622'!BK3,"")</f>
        <v/>
      </c>
      <c r="BD2" t="str">
        <f>IF('TRACKER - 20220622'!BL3&lt;&gt;"",'TRACKER - 20220622'!BL3,"")</f>
        <v/>
      </c>
      <c r="BE2" t="str">
        <f>IF('TRACKER - 20220622'!BM3&lt;&gt;"",'TRACKER - 20220622'!BM3,"")</f>
        <v/>
      </c>
      <c r="BF2" t="str">
        <f>IF('TRACKER - 20220622'!BN3&lt;&gt;"",'TRACKER - 20220622'!BN3,"")</f>
        <v/>
      </c>
      <c r="BG2" t="str">
        <f>IF('TRACKER - 20220622'!BO3&lt;&gt;"",'TRACKER - 20220622'!BO3,"")</f>
        <v/>
      </c>
      <c r="BH2" t="str">
        <f>IF('TRACKER - 20220622'!AW3&lt;&gt;"",'TRACKER - 20220622'!AW3,"")</f>
        <v>descr3</v>
      </c>
      <c r="BI2" t="str">
        <f>IF('TRACKER - 20220622'!AX3&lt;&gt;"",'TRACKER - 20220622'!AX3,"")</f>
        <v>reason3</v>
      </c>
    </row>
    <row r="3" spans="1:61">
      <c r="A3" t="str">
        <f>IF('TRACKER - 20220622'!A4&lt;&gt;"",UPPER('TRACKER - 20220622'!A4),"")</f>
        <v>BACB</v>
      </c>
      <c r="B3" t="str">
        <f>IF('TRACKER - 20220622'!B4&lt;&gt;"",UPPER('TRACKER - 20220622'!B4),"")</f>
        <v>Y</v>
      </c>
      <c r="C3" t="str">
        <f>IF('TRACKER - 20220622'!D4&lt;&gt;"",UPPER('TRACKER - 20220622'!D4),"")</f>
        <v/>
      </c>
      <c r="D3" t="str">
        <f>IF('TRACKER - 20220622'!F4&lt;&gt;"",UPPER('TRACKER - 20220622'!F4),"")</f>
        <v>BAC-RSC-2020-00000</v>
      </c>
      <c r="E3" t="str">
        <f>IF('TRACKER - 20220622'!H4&lt;&gt;"",'TRACKER - 20220622'!H4,"")</f>
        <v>Misc UI &amp; Reporting Improvements</v>
      </c>
      <c r="F3" t="str">
        <f t="shared" ref="F3:F66" si="0">D3&amp;" "&amp;E3</f>
        <v>BAC-RSC-2020-00000 Misc UI &amp; Reporting Improvements</v>
      </c>
      <c r="G3" t="str">
        <f t="shared" ref="G3:G66" si="1">AK3&amp;TEXT(C3,"00000")&amp;" - "&amp;E3</f>
        <v xml:space="preserve"> - Misc UI &amp; Reporting Improvements</v>
      </c>
      <c r="H3">
        <f>IF('TRACKER - 20220622'!J4&lt;&gt;"",'TRACKER - 20220622'!J4,"")</f>
        <v>0</v>
      </c>
      <c r="I3" t="str">
        <f>IF('TRACKER - 20220622'!K4&lt;&gt;"",UPPER('TRACKER - 20220622'!K4),"")</f>
        <v>44083</v>
      </c>
      <c r="J3" t="str">
        <f>IF('TRACKER - 20220622'!L4&lt;&gt;"",UPPER('TRACKER - 20220622'!L4),"")</f>
        <v>44083</v>
      </c>
      <c r="K3" t="str">
        <f>IF('TRACKER - 20220622'!M4&lt;&gt;"",UPPER('TRACKER - 20220622'!M4),"")</f>
        <v/>
      </c>
      <c r="L3" t="str">
        <f>IF('TRACKER - 20220622'!N4&lt;&gt;"",UPPER('TRACKER - 20220622'!N4),"")</f>
        <v/>
      </c>
      <c r="M3" t="str">
        <f>IF('TRACKER - 20220622'!O4&lt;&gt;"",UPPER('TRACKER - 20220622'!O4),"")</f>
        <v/>
      </c>
      <c r="N3" t="str">
        <f>IF('TRACKER - 20220622'!P4&lt;&gt;"",UPPER('TRACKER - 20220622'!P4),"")</f>
        <v/>
      </c>
      <c r="O3" t="str">
        <f>IF('TRACKER - 20220622'!Q4&lt;&gt;"",UPPER('TRACKER - 20220622'!Q4),"")</f>
        <v>PLATFORM</v>
      </c>
      <c r="P3" t="str">
        <f>IF('TRACKER - 20220622'!R4&lt;&gt;"",UPPER('TRACKER - 20220622'!R4),"")</f>
        <v>CLIENT</v>
      </c>
      <c r="Q3" t="str">
        <f>IF('TRACKER - 20220622'!S4&lt;&gt;"",UPPER('TRACKER - 20220622'!S4),"")</f>
        <v/>
      </c>
      <c r="R3" t="str">
        <f>IF('TRACKER - 20220622'!T4&lt;&gt;"",UPPER('TRACKER - 20220622'!T4),"")</f>
        <v/>
      </c>
      <c r="S3" t="str">
        <f>IF('TRACKER - 20220622'!U4&lt;&gt;"",UPPER('TRACKER - 20220622'!U4),"")</f>
        <v/>
      </c>
      <c r="T3" t="str">
        <f>IF('TRACKER - 20220622'!V4&lt;&gt;"",UPPER('TRACKER - 20220622'!V4),"")</f>
        <v/>
      </c>
      <c r="U3" t="str">
        <f>IF('TRACKER - 20220622'!W4&lt;&gt;"",UPPER('TRACKER - 20220622'!W4),"")</f>
        <v/>
      </c>
      <c r="V3" t="str">
        <f>IF('TRACKER - 20220622'!X4&lt;&gt;"",UPPER('TRACKER - 20220622'!X4),"")</f>
        <v/>
      </c>
      <c r="W3" t="str">
        <f>IF('TRACKER - 20220622'!Y4&lt;&gt;"",UPPER('TRACKER - 20220622'!Y4),"")</f>
        <v>0</v>
      </c>
      <c r="X3" t="str">
        <f>IF('TRACKER - 20220622'!Z4&lt;&gt;"",UPPER('TRACKER - 20220622'!Z4),"")</f>
        <v>0</v>
      </c>
      <c r="Y3" t="str">
        <f>IF('TRACKER - 20220622'!AA4&lt;&gt;"",UPPER('TRACKER - 20220622'!AA4),"")</f>
        <v>0</v>
      </c>
      <c r="Z3" t="str">
        <f>IF('TRACKER - 20220622'!AB4&lt;&gt;"",UPPER('TRACKER - 20220622'!AB4),"")</f>
        <v>0</v>
      </c>
      <c r="AA3" t="str">
        <f>IF('TRACKER - 20220622'!AC4&lt;&gt;"",UPPER('TRACKER - 20220622'!AC4),"")</f>
        <v>0</v>
      </c>
      <c r="AB3" t="str">
        <f>IF('TRACKER - 20220622'!AE4&lt;&gt;"",UPPER('TRACKER - 20220622'!AE4),"")</f>
        <v>0</v>
      </c>
      <c r="AC3" t="str">
        <f>IF('TRACKER - 20220622'!AF4&lt;&gt;"",UPPER('TRACKER - 20220622'!AF4),"")</f>
        <v>0</v>
      </c>
      <c r="AD3" t="str">
        <f>IF('TRACKER - 20220622'!AG4&lt;&gt;"",UPPER('TRACKER - 20220622'!AG4),"")</f>
        <v>0</v>
      </c>
      <c r="AE3" t="str">
        <f>IF('TRACKER - 20220622'!AH4&lt;&gt;"",UPPER('TRACKER - 20220622'!AH4),"")</f>
        <v>211.66</v>
      </c>
      <c r="AF3" t="str">
        <f>IF('TRACKER - 20220622'!AI4&lt;&gt;"",UPPER('TRACKER - 20220622'!AI4),"")</f>
        <v/>
      </c>
      <c r="AG3" t="str">
        <f>IF('TRACKER - 20220622'!AJ4&lt;&gt;"",UPPER('TRACKER - 20220622'!AJ4),"")</f>
        <v>0.2</v>
      </c>
      <c r="AH3" t="str">
        <f>IF('TRACKER - 20220622'!AK4&lt;&gt;"",UPPER('TRACKER - 20220622'!AK4),"")</f>
        <v/>
      </c>
      <c r="AI3" t="str">
        <f>IF('TRACKER - 20220622'!AL4&lt;&gt;"",UPPER('TRACKER - 20220622'!AL4),"")</f>
        <v>0</v>
      </c>
      <c r="AJ3" t="str">
        <f>IF('TRACKER - 20220622'!AM4&lt;&gt;"",UPPER('TRACKER - 20220622'!AM4),"")</f>
        <v>0</v>
      </c>
      <c r="AK3" t="str">
        <f>IF('TRACKER - 20220622'!AN4&lt;&gt;"",UPPER('TRACKER - 20220622'!AN4),"")</f>
        <v/>
      </c>
      <c r="AL3" t="str">
        <f>IF('TRACKER - 20220622'!AO4&lt;&gt;"",UPPER('TRACKER - 20220622'!AO4),"")</f>
        <v>0</v>
      </c>
      <c r="AM3" t="str">
        <f>IF('TRACKER - 20220622'!AP4&lt;&gt;"",UPPER('TRACKER - 20220622'!AP4),"")</f>
        <v>0</v>
      </c>
      <c r="AN3" t="str">
        <f>IF('TRACKER - 20220622'!AQ4&lt;&gt;"",UPPER('TRACKER - 20220622'!AQ4),"")</f>
        <v>0</v>
      </c>
      <c r="AO3" t="str">
        <f>IF('TRACKER - 20220622'!AR4&lt;&gt;"",UPPER('TRACKER - 20220622'!AR4),"")</f>
        <v>BAC</v>
      </c>
      <c r="AP3" t="str">
        <f>IF('TRACKER - 20220622'!AS4&lt;&gt;"",UPPER('TRACKER - 20220622'!AS4),"")</f>
        <v>RSC</v>
      </c>
      <c r="AQ3" t="str">
        <f>IF('TRACKER - 20220622'!AT4&lt;&gt;"",UPPER('TRACKER - 20220622'!AT4),"")</f>
        <v>Y</v>
      </c>
      <c r="AR3" t="str">
        <f>IF('TRACKER - 20220622'!AU4&lt;&gt;"",UPPER('TRACKER - 20220622'!AU4),"")</f>
        <v>211.66</v>
      </c>
      <c r="AS3" t="str">
        <f>IF('TRACKER - 20220622'!AV4&lt;&gt;"",UPPER('TRACKER - 20220622'!AV4),"")</f>
        <v/>
      </c>
      <c r="AT3" t="str">
        <f>IF('TRACKER - 20220622'!AW4&lt;&gt;"",UPPER('TRACKER - 20220622'!AW4),"")</f>
        <v>DESCR4</v>
      </c>
      <c r="AU3" t="str">
        <f>IF('TRACKER - 20220622'!AX4&lt;&gt;"",UPPER('TRACKER - 20220622'!AX4),"")</f>
        <v>REASON4</v>
      </c>
      <c r="AV3" t="str">
        <f>IF('TRACKER - 20220622'!BD4&lt;&gt;"",'TRACKER - 20220622'!BD4,"")</f>
        <v/>
      </c>
      <c r="AW3" t="str">
        <f>IF('TRACKER - 20220622'!BE4&lt;&gt;"",'TRACKER - 20220622'!BE4,"")</f>
        <v/>
      </c>
      <c r="AX3" t="str">
        <f>IF('TRACKER - 20220622'!BF4&lt;&gt;"",'TRACKER - 20220622'!BF4,"")</f>
        <v/>
      </c>
      <c r="AY3" t="str">
        <f>IF('TRACKER - 20220622'!BG4&lt;&gt;"",'TRACKER - 20220622'!BG4,"")</f>
        <v/>
      </c>
      <c r="AZ3" t="str">
        <f>IF('TRACKER - 20220622'!BH4&lt;&gt;"",'TRACKER - 20220622'!BH4,"")</f>
        <v/>
      </c>
      <c r="BA3" t="str">
        <f>IF('TRACKER - 20220622'!BI4&lt;&gt;"",'TRACKER - 20220622'!BI4,"")</f>
        <v/>
      </c>
      <c r="BB3" t="str">
        <f>IF('TRACKER - 20220622'!BJ4&lt;&gt;"",'TRACKER - 20220622'!BJ4,"")</f>
        <v/>
      </c>
      <c r="BC3" t="str">
        <f>IF('TRACKER - 20220622'!BK4&lt;&gt;"",'TRACKER - 20220622'!BK4,"")</f>
        <v/>
      </c>
      <c r="BD3" t="str">
        <f>IF('TRACKER - 20220622'!BL4&lt;&gt;"",'TRACKER - 20220622'!BL4,"")</f>
        <v/>
      </c>
      <c r="BE3" t="str">
        <f>IF('TRACKER - 20220622'!BM4&lt;&gt;"",'TRACKER - 20220622'!BM4,"")</f>
        <v/>
      </c>
      <c r="BF3" t="str">
        <f>IF('TRACKER - 20220622'!BN4&lt;&gt;"",'TRACKER - 20220622'!BN4,"")</f>
        <v/>
      </c>
      <c r="BG3" t="str">
        <f>IF('TRACKER - 20220622'!BO4&lt;&gt;"",'TRACKER - 20220622'!BO4,"")</f>
        <v/>
      </c>
    </row>
    <row r="4" spans="1:61">
      <c r="A4" t="str">
        <f>IF('TRACKER - 20220622'!A5&lt;&gt;"",UPPER('TRACKER - 20220622'!A5),"")</f>
        <v>BACB</v>
      </c>
      <c r="B4" t="str">
        <f>IF('TRACKER - 20220622'!B5&lt;&gt;"",UPPER('TRACKER - 20220622'!B5),"")</f>
        <v>Y</v>
      </c>
      <c r="C4" t="str">
        <f>IF('TRACKER - 20220622'!D5&lt;&gt;"",UPPER('TRACKER - 20220622'!D5),"")</f>
        <v>0</v>
      </c>
      <c r="D4" t="str">
        <f>IF('TRACKER - 20220622'!F5&lt;&gt;"",UPPER('TRACKER - 20220622'!F5),"")</f>
        <v>BAC-RSC-2020-00000</v>
      </c>
      <c r="E4" t="str">
        <f>IF('TRACKER - 20220622'!H5&lt;&gt;"",'TRACKER - 20220622'!H5,"")</f>
        <v>SOFR - Upgrade?</v>
      </c>
      <c r="F4" t="str">
        <f t="shared" si="0"/>
        <v>BAC-RSC-2020-00000 SOFR - Upgrade?</v>
      </c>
      <c r="G4" t="str">
        <f t="shared" si="1"/>
        <v>000000 - SOFR - Upgrade?</v>
      </c>
      <c r="H4">
        <f>IF('TRACKER - 20220622'!J5&lt;&gt;"",'TRACKER - 20220622'!J5,"")</f>
        <v>0</v>
      </c>
      <c r="I4" t="str">
        <f>IF('TRACKER - 20220622'!K5&lt;&gt;"",UPPER('TRACKER - 20220622'!K5),"")</f>
        <v>43926</v>
      </c>
      <c r="J4" t="str">
        <f>IF('TRACKER - 20220622'!L5&lt;&gt;"",UPPER('TRACKER - 20220622'!L5),"")</f>
        <v>43926</v>
      </c>
      <c r="K4" t="str">
        <f>IF('TRACKER - 20220622'!M5&lt;&gt;"",UPPER('TRACKER - 20220622'!M5),"")</f>
        <v/>
      </c>
      <c r="L4" t="str">
        <f>IF('TRACKER - 20220622'!N5&lt;&gt;"",UPPER('TRACKER - 20220622'!N5),"")</f>
        <v/>
      </c>
      <c r="M4" t="str">
        <f>IF('TRACKER - 20220622'!O5&lt;&gt;"",UPPER('TRACKER - 20220622'!O5),"")</f>
        <v/>
      </c>
      <c r="N4" t="str">
        <f>IF('TRACKER - 20220622'!P5&lt;&gt;"",UPPER('TRACKER - 20220622'!P5),"")</f>
        <v/>
      </c>
      <c r="O4" t="str">
        <f>IF('TRACKER - 20220622'!Q5&lt;&gt;"",UPPER('TRACKER - 20220622'!Q5),"")</f>
        <v>TREASURY</v>
      </c>
      <c r="P4" t="str">
        <f>IF('TRACKER - 20220622'!R5&lt;&gt;"",UPPER('TRACKER - 20220622'!R5),"")</f>
        <v>CLIENT</v>
      </c>
      <c r="Q4" t="str">
        <f>IF('TRACKER - 20220622'!S5&lt;&gt;"",UPPER('TRACKER - 20220622'!S5),"")</f>
        <v/>
      </c>
      <c r="R4" t="str">
        <f>IF('TRACKER - 20220622'!T5&lt;&gt;"",UPPER('TRACKER - 20220622'!T5),"")</f>
        <v/>
      </c>
      <c r="S4" t="str">
        <f>IF('TRACKER - 20220622'!U5&lt;&gt;"",UPPER('TRACKER - 20220622'!U5),"")</f>
        <v/>
      </c>
      <c r="T4" t="str">
        <f>IF('TRACKER - 20220622'!V5&lt;&gt;"",UPPER('TRACKER - 20220622'!V5),"")</f>
        <v/>
      </c>
      <c r="U4" t="str">
        <f>IF('TRACKER - 20220622'!W5&lt;&gt;"",UPPER('TRACKER - 20220622'!W5),"")</f>
        <v/>
      </c>
      <c r="V4" t="str">
        <f>IF('TRACKER - 20220622'!X5&lt;&gt;"",UPPER('TRACKER - 20220622'!X5),"")</f>
        <v>01/05/20 - OE TO CONTACT BANK TO DISCUSS SCOPE.</v>
      </c>
      <c r="W4" t="str">
        <f>IF('TRACKER - 20220622'!Y5&lt;&gt;"",UPPER('TRACKER - 20220622'!Y5),"")</f>
        <v>0</v>
      </c>
      <c r="X4" t="str">
        <f>IF('TRACKER - 20220622'!Z5&lt;&gt;"",UPPER('TRACKER - 20220622'!Z5),"")</f>
        <v>0</v>
      </c>
      <c r="Y4" t="str">
        <f>IF('TRACKER - 20220622'!AA5&lt;&gt;"",UPPER('TRACKER - 20220622'!AA5),"")</f>
        <v>0</v>
      </c>
      <c r="Z4" t="str">
        <f>IF('TRACKER - 20220622'!AB5&lt;&gt;"",UPPER('TRACKER - 20220622'!AB5),"")</f>
        <v>0</v>
      </c>
      <c r="AA4" t="str">
        <f>IF('TRACKER - 20220622'!AC5&lt;&gt;"",UPPER('TRACKER - 20220622'!AC5),"")</f>
        <v>0</v>
      </c>
      <c r="AB4" t="str">
        <f>IF('TRACKER - 20220622'!AE5&lt;&gt;"",UPPER('TRACKER - 20220622'!AE5),"")</f>
        <v>0</v>
      </c>
      <c r="AC4" t="str">
        <f>IF('TRACKER - 20220622'!AF5&lt;&gt;"",UPPER('TRACKER - 20220622'!AF5),"")</f>
        <v>0</v>
      </c>
      <c r="AD4" t="str">
        <f>IF('TRACKER - 20220622'!AG5&lt;&gt;"",UPPER('TRACKER - 20220622'!AG5),"")</f>
        <v>0</v>
      </c>
      <c r="AE4" t="str">
        <f>IF('TRACKER - 20220622'!AH5&lt;&gt;"",UPPER('TRACKER - 20220622'!AH5),"")</f>
        <v>211.66</v>
      </c>
      <c r="AF4" t="str">
        <f>IF('TRACKER - 20220622'!AI5&lt;&gt;"",UPPER('TRACKER - 20220622'!AI5),"")</f>
        <v/>
      </c>
      <c r="AG4" t="str">
        <f>IF('TRACKER - 20220622'!AJ5&lt;&gt;"",UPPER('TRACKER - 20220622'!AJ5),"")</f>
        <v>0.2</v>
      </c>
      <c r="AH4" t="str">
        <f>IF('TRACKER - 20220622'!AK5&lt;&gt;"",UPPER('TRACKER - 20220622'!AK5),"")</f>
        <v>0</v>
      </c>
      <c r="AI4" t="str">
        <f>IF('TRACKER - 20220622'!AL5&lt;&gt;"",UPPER('TRACKER - 20220622'!AL5),"")</f>
        <v>0</v>
      </c>
      <c r="AJ4" t="str">
        <f>IF('TRACKER - 20220622'!AM5&lt;&gt;"",UPPER('TRACKER - 20220622'!AM5),"")</f>
        <v>0</v>
      </c>
      <c r="AK4" t="str">
        <f>IF('TRACKER - 20220622'!AN5&lt;&gt;"",UPPER('TRACKER - 20220622'!AN5),"")</f>
        <v>0</v>
      </c>
      <c r="AL4" t="str">
        <f>IF('TRACKER - 20220622'!AO5&lt;&gt;"",UPPER('TRACKER - 20220622'!AO5),"")</f>
        <v>0</v>
      </c>
      <c r="AM4" t="str">
        <f>IF('TRACKER - 20220622'!AP5&lt;&gt;"",UPPER('TRACKER - 20220622'!AP5),"")</f>
        <v>0</v>
      </c>
      <c r="AN4" t="str">
        <f>IF('TRACKER - 20220622'!AQ5&lt;&gt;"",UPPER('TRACKER - 20220622'!AQ5),"")</f>
        <v>0</v>
      </c>
      <c r="AO4" t="str">
        <f>IF('TRACKER - 20220622'!AR5&lt;&gt;"",UPPER('TRACKER - 20220622'!AR5),"")</f>
        <v>BAC</v>
      </c>
      <c r="AP4" t="str">
        <f>IF('TRACKER - 20220622'!AS5&lt;&gt;"",UPPER('TRACKER - 20220622'!AS5),"")</f>
        <v>RSC</v>
      </c>
      <c r="AQ4" t="str">
        <f>IF('TRACKER - 20220622'!AT5&lt;&gt;"",UPPER('TRACKER - 20220622'!AT5),"")</f>
        <v>Y</v>
      </c>
      <c r="AR4" t="str">
        <f>IF('TRACKER - 20220622'!AU5&lt;&gt;"",UPPER('TRACKER - 20220622'!AU5),"")</f>
        <v>211.66</v>
      </c>
      <c r="AS4" t="str">
        <f>IF('TRACKER - 20220622'!AV5&lt;&gt;"",UPPER('TRACKER - 20220622'!AV5),"")</f>
        <v/>
      </c>
      <c r="AT4" t="str">
        <f>IF('TRACKER - 20220622'!AW5&lt;&gt;"",UPPER('TRACKER - 20220622'!AW5),"")</f>
        <v>DESCR5</v>
      </c>
      <c r="AU4" t="str">
        <f>IF('TRACKER - 20220622'!AX5&lt;&gt;"",UPPER('TRACKER - 20220622'!AX5),"")</f>
        <v>REASON5</v>
      </c>
      <c r="AV4" t="str">
        <f>IF('TRACKER - 20220622'!BD5&lt;&gt;"",'TRACKER - 20220622'!BD5,"")</f>
        <v/>
      </c>
      <c r="AW4" t="str">
        <f>IF('TRACKER - 20220622'!BE5&lt;&gt;"",'TRACKER - 20220622'!BE5,"")</f>
        <v/>
      </c>
      <c r="AX4" t="str">
        <f>IF('TRACKER - 20220622'!BF5&lt;&gt;"",'TRACKER - 20220622'!BF5,"")</f>
        <v/>
      </c>
      <c r="AY4" t="str">
        <f>IF('TRACKER - 20220622'!BG5&lt;&gt;"",'TRACKER - 20220622'!BG5,"")</f>
        <v/>
      </c>
      <c r="AZ4" t="str">
        <f>IF('TRACKER - 20220622'!BH5&lt;&gt;"",'TRACKER - 20220622'!BH5,"")</f>
        <v/>
      </c>
      <c r="BA4" t="str">
        <f>IF('TRACKER - 20220622'!BI5&lt;&gt;"",'TRACKER - 20220622'!BI5,"")</f>
        <v/>
      </c>
      <c r="BB4" t="str">
        <f>IF('TRACKER - 20220622'!BJ5&lt;&gt;"",'TRACKER - 20220622'!BJ5,"")</f>
        <v/>
      </c>
      <c r="BC4" t="str">
        <f>IF('TRACKER - 20220622'!BK5&lt;&gt;"",'TRACKER - 20220622'!BK5,"")</f>
        <v/>
      </c>
      <c r="BD4" t="str">
        <f>IF('TRACKER - 20220622'!BL5&lt;&gt;"",'TRACKER - 20220622'!BL5,"")</f>
        <v/>
      </c>
      <c r="BE4" t="str">
        <f>IF('TRACKER - 20220622'!BM5&lt;&gt;"",'TRACKER - 20220622'!BM5,"")</f>
        <v/>
      </c>
      <c r="BF4" t="str">
        <f>IF('TRACKER - 20220622'!BN5&lt;&gt;"",'TRACKER - 20220622'!BN5,"")</f>
        <v/>
      </c>
      <c r="BG4" t="str">
        <f>IF('TRACKER - 20220622'!BO5&lt;&gt;"",'TRACKER - 20220622'!BO5,"")</f>
        <v/>
      </c>
    </row>
    <row r="5" spans="1:61">
      <c r="A5" t="str">
        <f>IF('TRACKER - 20220622'!A6&lt;&gt;"",UPPER('TRACKER - 20220622'!A6),"")</f>
        <v>BACB</v>
      </c>
      <c r="B5" t="str">
        <f>IF('TRACKER - 20220622'!B6&lt;&gt;"",UPPER('TRACKER - 20220622'!B6),"")</f>
        <v>Y</v>
      </c>
      <c r="C5" t="str">
        <f>IF('TRACKER - 20220622'!D6&lt;&gt;"",UPPER('TRACKER - 20220622'!D6),"")</f>
        <v/>
      </c>
      <c r="D5" t="str">
        <f>IF('TRACKER - 20220622'!F6&lt;&gt;"",UPPER('TRACKER - 20220622'!F6),"")</f>
        <v>BAC-RSC-2020-00000</v>
      </c>
      <c r="E5" t="str">
        <f>IF('TRACKER - 20220622'!H6&lt;&gt;"",'TRACKER - 20220622'!H6,"")</f>
        <v>SFTR Upgrade / Implementation</v>
      </c>
      <c r="F5" t="str">
        <f t="shared" si="0"/>
        <v>BAC-RSC-2020-00000 SFTR Upgrade / Implementation</v>
      </c>
      <c r="G5" t="str">
        <f t="shared" si="1"/>
        <v xml:space="preserve"> - SFTR Upgrade / Implementation</v>
      </c>
      <c r="H5">
        <f>IF('TRACKER - 20220622'!J6&lt;&gt;"",'TRACKER - 20220622'!J6,"")</f>
        <v>0</v>
      </c>
      <c r="I5" t="str">
        <f>IF('TRACKER - 20220622'!K6&lt;&gt;"",UPPER('TRACKER - 20220622'!K6),"")</f>
        <v>43972</v>
      </c>
      <c r="J5" t="str">
        <f>IF('TRACKER - 20220622'!L6&lt;&gt;"",UPPER('TRACKER - 20220622'!L6),"")</f>
        <v>43972</v>
      </c>
      <c r="K5" t="str">
        <f>IF('TRACKER - 20220622'!M6&lt;&gt;"",UPPER('TRACKER - 20220622'!M6),"")</f>
        <v/>
      </c>
      <c r="L5" t="str">
        <f>IF('TRACKER - 20220622'!N6&lt;&gt;"",UPPER('TRACKER - 20220622'!N6),"")</f>
        <v/>
      </c>
      <c r="M5" t="str">
        <f>IF('TRACKER - 20220622'!O6&lt;&gt;"",UPPER('TRACKER - 20220622'!O6),"")</f>
        <v/>
      </c>
      <c r="N5" t="str">
        <f>IF('TRACKER - 20220622'!P6&lt;&gt;"",UPPER('TRACKER - 20220622'!P6),"")</f>
        <v/>
      </c>
      <c r="O5" t="str">
        <f>IF('TRACKER - 20220622'!Q6&lt;&gt;"",UPPER('TRACKER - 20220622'!Q6),"")</f>
        <v>PLATFORM</v>
      </c>
      <c r="P5" t="str">
        <f>IF('TRACKER - 20220622'!R6&lt;&gt;"",UPPER('TRACKER - 20220622'!R6),"")</f>
        <v>CLIENT</v>
      </c>
      <c r="Q5" t="str">
        <f>IF('TRACKER - 20220622'!S6&lt;&gt;"",UPPER('TRACKER - 20220622'!S6),"")</f>
        <v/>
      </c>
      <c r="R5" t="str">
        <f>IF('TRACKER - 20220622'!T6&lt;&gt;"",UPPER('TRACKER - 20220622'!T6),"")</f>
        <v/>
      </c>
      <c r="S5" t="str">
        <f>IF('TRACKER - 20220622'!U6&lt;&gt;"",UPPER('TRACKER - 20220622'!U6),"")</f>
        <v/>
      </c>
      <c r="T5" t="str">
        <f>IF('TRACKER - 20220622'!V6&lt;&gt;"",UPPER('TRACKER - 20220622'!V6),"")</f>
        <v/>
      </c>
      <c r="U5" t="str">
        <f>IF('TRACKER - 20220622'!W6&lt;&gt;"",UPPER('TRACKER - 20220622'!W6),"")</f>
        <v/>
      </c>
      <c r="V5" t="str">
        <f>IF('TRACKER - 20220622'!X6&lt;&gt;"",UPPER('TRACKER - 20220622'!X6),"")</f>
        <v>21/05/20 - MT/OE DEMO'D EXISTING REG REP TO BACB 
OE TO CONFIRM REQUEST FOR PRICING INFORMATION.</v>
      </c>
      <c r="W5" t="str">
        <f>IF('TRACKER - 20220622'!Y6&lt;&gt;"",UPPER('TRACKER - 20220622'!Y6),"")</f>
        <v>0</v>
      </c>
      <c r="X5" t="str">
        <f>IF('TRACKER - 20220622'!Z6&lt;&gt;"",UPPER('TRACKER - 20220622'!Z6),"")</f>
        <v>0</v>
      </c>
      <c r="Y5" t="str">
        <f>IF('TRACKER - 20220622'!AA6&lt;&gt;"",UPPER('TRACKER - 20220622'!AA6),"")</f>
        <v>0</v>
      </c>
      <c r="Z5" t="str">
        <f>IF('TRACKER - 20220622'!AB6&lt;&gt;"",UPPER('TRACKER - 20220622'!AB6),"")</f>
        <v>0</v>
      </c>
      <c r="AA5" t="str">
        <f>IF('TRACKER - 20220622'!AC6&lt;&gt;"",UPPER('TRACKER - 20220622'!AC6),"")</f>
        <v>0</v>
      </c>
      <c r="AB5" t="str">
        <f>IF('TRACKER - 20220622'!AE6&lt;&gt;"",UPPER('TRACKER - 20220622'!AE6),"")</f>
        <v>0</v>
      </c>
      <c r="AC5" t="str">
        <f>IF('TRACKER - 20220622'!AF6&lt;&gt;"",UPPER('TRACKER - 20220622'!AF6),"")</f>
        <v>0</v>
      </c>
      <c r="AD5" t="str">
        <f>IF('TRACKER - 20220622'!AG6&lt;&gt;"",UPPER('TRACKER - 20220622'!AG6),"")</f>
        <v>0</v>
      </c>
      <c r="AE5" t="str">
        <f>IF('TRACKER - 20220622'!AH6&lt;&gt;"",UPPER('TRACKER - 20220622'!AH6),"")</f>
        <v>211.66</v>
      </c>
      <c r="AF5" t="str">
        <f>IF('TRACKER - 20220622'!AI6&lt;&gt;"",UPPER('TRACKER - 20220622'!AI6),"")</f>
        <v/>
      </c>
      <c r="AG5" t="str">
        <f>IF('TRACKER - 20220622'!AJ6&lt;&gt;"",UPPER('TRACKER - 20220622'!AJ6),"")</f>
        <v>0.2</v>
      </c>
      <c r="AH5" t="str">
        <f>IF('TRACKER - 20220622'!AK6&lt;&gt;"",UPPER('TRACKER - 20220622'!AK6),"")</f>
        <v/>
      </c>
      <c r="AI5" t="str">
        <f>IF('TRACKER - 20220622'!AL6&lt;&gt;"",UPPER('TRACKER - 20220622'!AL6),"")</f>
        <v>0</v>
      </c>
      <c r="AJ5" t="str">
        <f>IF('TRACKER - 20220622'!AM6&lt;&gt;"",UPPER('TRACKER - 20220622'!AM6),"")</f>
        <v>0</v>
      </c>
      <c r="AK5" t="str">
        <f>IF('TRACKER - 20220622'!AN6&lt;&gt;"",UPPER('TRACKER - 20220622'!AN6),"")</f>
        <v/>
      </c>
      <c r="AL5" t="str">
        <f>IF('TRACKER - 20220622'!AO6&lt;&gt;"",UPPER('TRACKER - 20220622'!AO6),"")</f>
        <v>0</v>
      </c>
      <c r="AM5" t="str">
        <f>IF('TRACKER - 20220622'!AP6&lt;&gt;"",UPPER('TRACKER - 20220622'!AP6),"")</f>
        <v>0</v>
      </c>
      <c r="AN5" t="str">
        <f>IF('TRACKER - 20220622'!AQ6&lt;&gt;"",UPPER('TRACKER - 20220622'!AQ6),"")</f>
        <v>0</v>
      </c>
      <c r="AO5" t="str">
        <f>IF('TRACKER - 20220622'!AR6&lt;&gt;"",UPPER('TRACKER - 20220622'!AR6),"")</f>
        <v>BAC</v>
      </c>
      <c r="AP5" t="str">
        <f>IF('TRACKER - 20220622'!AS6&lt;&gt;"",UPPER('TRACKER - 20220622'!AS6),"")</f>
        <v>RSC</v>
      </c>
      <c r="AQ5" t="str">
        <f>IF('TRACKER - 20220622'!AT6&lt;&gt;"",UPPER('TRACKER - 20220622'!AT6),"")</f>
        <v>Y</v>
      </c>
      <c r="AR5" t="str">
        <f>IF('TRACKER - 20220622'!AU6&lt;&gt;"",UPPER('TRACKER - 20220622'!AU6),"")</f>
        <v>211.66</v>
      </c>
      <c r="AS5" t="str">
        <f>IF('TRACKER - 20220622'!AV6&lt;&gt;"",UPPER('TRACKER - 20220622'!AV6),"")</f>
        <v/>
      </c>
      <c r="AT5" t="str">
        <f>IF('TRACKER - 20220622'!AW6&lt;&gt;"",UPPER('TRACKER - 20220622'!AW6),"")</f>
        <v>DESCR6</v>
      </c>
      <c r="AU5" t="str">
        <f>IF('TRACKER - 20220622'!AX6&lt;&gt;"",UPPER('TRACKER - 20220622'!AX6),"")</f>
        <v>REASON6</v>
      </c>
      <c r="AV5" t="str">
        <f>IF('TRACKER - 20220622'!BD6&lt;&gt;"",'TRACKER - 20220622'!BD6,"")</f>
        <v/>
      </c>
      <c r="AW5" t="str">
        <f>IF('TRACKER - 20220622'!BE6&lt;&gt;"",'TRACKER - 20220622'!BE6,"")</f>
        <v/>
      </c>
      <c r="AX5" t="str">
        <f>IF('TRACKER - 20220622'!BF6&lt;&gt;"",'TRACKER - 20220622'!BF6,"")</f>
        <v/>
      </c>
      <c r="AY5" t="str">
        <f>IF('TRACKER - 20220622'!BG6&lt;&gt;"",'TRACKER - 20220622'!BG6,"")</f>
        <v/>
      </c>
      <c r="AZ5" t="str">
        <f>IF('TRACKER - 20220622'!BH6&lt;&gt;"",'TRACKER - 20220622'!BH6,"")</f>
        <v/>
      </c>
      <c r="BA5" t="str">
        <f>IF('TRACKER - 20220622'!BI6&lt;&gt;"",'TRACKER - 20220622'!BI6,"")</f>
        <v/>
      </c>
      <c r="BB5" t="str">
        <f>IF('TRACKER - 20220622'!BJ6&lt;&gt;"",'TRACKER - 20220622'!BJ6,"")</f>
        <v/>
      </c>
      <c r="BC5" t="str">
        <f>IF('TRACKER - 20220622'!BK6&lt;&gt;"",'TRACKER - 20220622'!BK6,"")</f>
        <v/>
      </c>
      <c r="BD5" t="str">
        <f>IF('TRACKER - 20220622'!BL6&lt;&gt;"",'TRACKER - 20220622'!BL6,"")</f>
        <v/>
      </c>
      <c r="BE5" t="str">
        <f>IF('TRACKER - 20220622'!BM6&lt;&gt;"",'TRACKER - 20220622'!BM6,"")</f>
        <v/>
      </c>
      <c r="BF5" t="str">
        <f>IF('TRACKER - 20220622'!BN6&lt;&gt;"",'TRACKER - 20220622'!BN6,"")</f>
        <v/>
      </c>
      <c r="BG5" t="str">
        <f>IF('TRACKER - 20220622'!BO6&lt;&gt;"",'TRACKER - 20220622'!BO6,"")</f>
        <v/>
      </c>
    </row>
    <row r="6" spans="1:61">
      <c r="A6" t="str">
        <f>IF('TRACKER - 20220622'!A7&lt;&gt;"",UPPER('TRACKER - 20220622'!A7),"")</f>
        <v>BACB</v>
      </c>
      <c r="B6" t="str">
        <f>IF('TRACKER - 20220622'!B7&lt;&gt;"",UPPER('TRACKER - 20220622'!B7),"")</f>
        <v>Y</v>
      </c>
      <c r="C6" t="str">
        <f>IF('TRACKER - 20220622'!D7&lt;&gt;"",UPPER('TRACKER - 20220622'!D7),"")</f>
        <v>43</v>
      </c>
      <c r="D6" t="str">
        <f>IF('TRACKER - 20220622'!F7&lt;&gt;"",UPPER('TRACKER - 20220622'!F7),"")</f>
        <v>BAC-RSC-2020-00043</v>
      </c>
      <c r="E6" t="str">
        <f>IF('TRACKER - 20220622'!H7&lt;&gt;"",'TRACKER - 20220622'!H7,"")</f>
        <v>RSC043 - Accrued Income Report (by Contract)</v>
      </c>
      <c r="F6" t="str">
        <f t="shared" si="0"/>
        <v>BAC-RSC-2020-00043 RSC043 - Accrued Income Report (by Contract)</v>
      </c>
      <c r="G6" t="str">
        <f t="shared" si="1"/>
        <v>00043 - RSC043 - Accrued Income Report (by Contract)</v>
      </c>
      <c r="H6">
        <f>IF('TRACKER - 20220622'!J7&lt;&gt;"",'TRACKER - 20220622'!J7,"")</f>
        <v>18573.165000000001</v>
      </c>
      <c r="I6" t="str">
        <f>IF('TRACKER - 20220622'!K7&lt;&gt;"",UPPER('TRACKER - 20220622'!K7),"")</f>
        <v>44133</v>
      </c>
      <c r="J6" t="str">
        <f>IF('TRACKER - 20220622'!L7&lt;&gt;"",UPPER('TRACKER - 20220622'!L7),"")</f>
        <v>43975</v>
      </c>
      <c r="K6" t="str">
        <f>IF('TRACKER - 20220622'!M7&lt;&gt;"",UPPER('TRACKER - 20220622'!M7),"")</f>
        <v>44133</v>
      </c>
      <c r="L6" t="str">
        <f>IF('TRACKER - 20220622'!N7&lt;&gt;"",UPPER('TRACKER - 20220622'!N7),"")</f>
        <v>44133</v>
      </c>
      <c r="M6" t="str">
        <f>IF('TRACKER - 20220622'!O7&lt;&gt;"",UPPER('TRACKER - 20220622'!O7),"")</f>
        <v/>
      </c>
      <c r="N6" t="str">
        <f>IF('TRACKER - 20220622'!P7&lt;&gt;"",UPPER('TRACKER - 20220622'!P7),"")</f>
        <v/>
      </c>
      <c r="O6" t="str">
        <f>IF('TRACKER - 20220622'!Q7&lt;&gt;"",UPPER('TRACKER - 20220622'!Q7),"")</f>
        <v>TREASURY</v>
      </c>
      <c r="P6" t="str">
        <f>IF('TRACKER - 20220622'!R7&lt;&gt;"",UPPER('TRACKER - 20220622'!R7),"")</f>
        <v>CLIENT</v>
      </c>
      <c r="Q6" t="str">
        <f>IF('TRACKER - 20220622'!S7&lt;&gt;"",UPPER('TRACKER - 20220622'!S7),"")</f>
        <v/>
      </c>
      <c r="R6" t="str">
        <f>IF('TRACKER - 20220622'!T7&lt;&gt;"",UPPER('TRACKER - 20220622'!T7),"")</f>
        <v/>
      </c>
      <c r="S6" t="str">
        <f>IF('TRACKER - 20220622'!U7&lt;&gt;"",UPPER('TRACKER - 20220622'!U7),"")</f>
        <v/>
      </c>
      <c r="T6" t="str">
        <f>IF('TRACKER - 20220622'!V7&lt;&gt;"",UPPER('TRACKER - 20220622'!V7),"")</f>
        <v/>
      </c>
      <c r="U6" t="str">
        <f>IF('TRACKER - 20220622'!W7&lt;&gt;"",UPPER('TRACKER - 20220622'!W7),"")</f>
        <v/>
      </c>
      <c r="V6" t="str">
        <f>IF('TRACKER - 20220622'!X7&lt;&gt;"",UPPER('TRACKER - 20220622'!X7),"")</f>
        <v>20/10/20 - COLIN BAILEY CONTACTED - WE ARE NOW WAITING ON THE CLIENT FOR FEEDBACK.
17/11/10 - CONFIRMED AS WITH CLIENT.</v>
      </c>
      <c r="W6" t="str">
        <f>IF('TRACKER - 20220622'!Y7&lt;&gt;"",UPPER('TRACKER - 20220622'!Y7),"")</f>
        <v>18573.165</v>
      </c>
      <c r="X6" t="str">
        <f>IF('TRACKER - 20220622'!Z7&lt;&gt;"",UPPER('TRACKER - 20220622'!Z7),"")</f>
        <v>0</v>
      </c>
      <c r="Y6" t="str">
        <f>IF('TRACKER - 20220622'!AA7&lt;&gt;"",UPPER('TRACKER - 20220622'!AA7),"")</f>
        <v>12699.6</v>
      </c>
      <c r="Z6" t="str">
        <f>IF('TRACKER - 20220622'!AB7&lt;&gt;"",UPPER('TRACKER - 20220622'!AB7),"")</f>
        <v>793.725</v>
      </c>
      <c r="AA6" t="str">
        <f>IF('TRACKER - 20220622'!AC7&lt;&gt;"",UPPER('TRACKER - 20220622'!AC7),"")</f>
        <v>0</v>
      </c>
      <c r="AB6" t="str">
        <f>IF('TRACKER - 20220622'!AE7&lt;&gt;"",UPPER('TRACKER - 20220622'!AE7),"")</f>
        <v>1984.3125</v>
      </c>
      <c r="AC6" t="str">
        <f>IF('TRACKER - 20220622'!AF7&lt;&gt;"",UPPER('TRACKER - 20220622'!AF7),"")</f>
        <v>15477.6375</v>
      </c>
      <c r="AD6" t="str">
        <f>IF('TRACKER - 20220622'!AG7&lt;&gt;"",UPPER('TRACKER - 20220622'!AG7),"")</f>
        <v>3095.5275</v>
      </c>
      <c r="AE6" t="str">
        <f>IF('TRACKER - 20220622'!AH7&lt;&gt;"",UPPER('TRACKER - 20220622'!AH7),"")</f>
        <v>211.66</v>
      </c>
      <c r="AF6" t="str">
        <f>IF('TRACKER - 20220622'!AI7&lt;&gt;"",UPPER('TRACKER - 20220622'!AI7),"")</f>
        <v/>
      </c>
      <c r="AG6" t="str">
        <f>IF('TRACKER - 20220622'!AJ7&lt;&gt;"",UPPER('TRACKER - 20220622'!AJ7),"")</f>
        <v>0.2</v>
      </c>
      <c r="AH6" t="str">
        <f>IF('TRACKER - 20220622'!AK7&lt;&gt;"",UPPER('TRACKER - 20220622'!AK7),"")</f>
        <v/>
      </c>
      <c r="AI6" t="str">
        <f>IF('TRACKER - 20220622'!AL7&lt;&gt;"",UPPER('TRACKER - 20220622'!AL7),"")</f>
        <v>8</v>
      </c>
      <c r="AJ6" t="str">
        <f>IF('TRACKER - 20220622'!AM7&lt;&gt;"",UPPER('TRACKER - 20220622'!AM7),"")</f>
        <v>0.5</v>
      </c>
      <c r="AK6" t="str">
        <f>IF('TRACKER - 20220622'!AN7&lt;&gt;"",UPPER('TRACKER - 20220622'!AN7),"")</f>
        <v/>
      </c>
      <c r="AL6" t="str">
        <f>IF('TRACKER - 20220622'!AO7&lt;&gt;"",UPPER('TRACKER - 20220622'!AO7),"")</f>
        <v>1.25</v>
      </c>
      <c r="AM6" t="str">
        <f>IF('TRACKER - 20220622'!AP7&lt;&gt;"",UPPER('TRACKER - 20220622'!AP7),"")</f>
        <v>9.75</v>
      </c>
      <c r="AN6" t="str">
        <f>IF('TRACKER - 20220622'!AQ7&lt;&gt;"",UPPER('TRACKER - 20220622'!AQ7),"")</f>
        <v>1.95</v>
      </c>
      <c r="AO6" t="str">
        <f>IF('TRACKER - 20220622'!AR7&lt;&gt;"",UPPER('TRACKER - 20220622'!AR7),"")</f>
        <v>BAC</v>
      </c>
      <c r="AP6" t="str">
        <f>IF('TRACKER - 20220622'!AS7&lt;&gt;"",UPPER('TRACKER - 20220622'!AS7),"")</f>
        <v>RSC</v>
      </c>
      <c r="AQ6" t="str">
        <f>IF('TRACKER - 20220622'!AT7&lt;&gt;"",UPPER('TRACKER - 20220622'!AT7),"")</f>
        <v>Y</v>
      </c>
      <c r="AR6" t="str">
        <f>IF('TRACKER - 20220622'!AU7&lt;&gt;"",UPPER('TRACKER - 20220622'!AU7),"")</f>
        <v>211.66</v>
      </c>
      <c r="AS6" t="str">
        <f>IF('TRACKER - 20220622'!AV7&lt;&gt;"",UPPER('TRACKER - 20220622'!AV7),"")</f>
        <v/>
      </c>
      <c r="AT6" t="str">
        <f>IF('TRACKER - 20220622'!AW7&lt;&gt;"",UPPER('TRACKER - 20220622'!AW7),"")</f>
        <v>DESCR7</v>
      </c>
      <c r="AU6" t="str">
        <f>IF('TRACKER - 20220622'!AX7&lt;&gt;"",UPPER('TRACKER - 20220622'!AX7),"")</f>
        <v>REASON7</v>
      </c>
      <c r="AV6" t="str">
        <f>IF('TRACKER - 20220622'!BD7&lt;&gt;"",'TRACKER - 20220622'!BD7,"")</f>
        <v/>
      </c>
      <c r="AW6" t="str">
        <f>IF('TRACKER - 20220622'!BE7&lt;&gt;"",'TRACKER - 20220622'!BE7,"")</f>
        <v/>
      </c>
      <c r="AX6" t="str">
        <f>IF('TRACKER - 20220622'!BF7&lt;&gt;"",'TRACKER - 20220622'!BF7,"")</f>
        <v/>
      </c>
      <c r="AY6" t="str">
        <f>IF('TRACKER - 20220622'!BG7&lt;&gt;"",'TRACKER - 20220622'!BG7,"")</f>
        <v/>
      </c>
      <c r="AZ6" t="str">
        <f>IF('TRACKER - 20220622'!BH7&lt;&gt;"",'TRACKER - 20220622'!BH7,"")</f>
        <v/>
      </c>
      <c r="BA6" t="str">
        <f>IF('TRACKER - 20220622'!BI7&lt;&gt;"",'TRACKER - 20220622'!BI7,"")</f>
        <v/>
      </c>
      <c r="BB6" t="str">
        <f>IF('TRACKER - 20220622'!BJ7&lt;&gt;"",'TRACKER - 20220622'!BJ7,"")</f>
        <v/>
      </c>
      <c r="BC6" t="str">
        <f>IF('TRACKER - 20220622'!BK7&lt;&gt;"",'TRACKER - 20220622'!BK7,"")</f>
        <v/>
      </c>
      <c r="BD6" t="str">
        <f>IF('TRACKER - 20220622'!BL7&lt;&gt;"",'TRACKER - 20220622'!BL7,"")</f>
        <v/>
      </c>
      <c r="BE6" t="str">
        <f>IF('TRACKER - 20220622'!BM7&lt;&gt;"",'TRACKER - 20220622'!BM7,"")</f>
        <v/>
      </c>
      <c r="BF6" t="str">
        <f>IF('TRACKER - 20220622'!BN7&lt;&gt;"",'TRACKER - 20220622'!BN7,"")</f>
        <v/>
      </c>
      <c r="BG6" t="str">
        <f>IF('TRACKER - 20220622'!BO7&lt;&gt;"",'TRACKER - 20220622'!BO7,"")</f>
        <v/>
      </c>
    </row>
    <row r="7" spans="1:61">
      <c r="A7" t="str">
        <f>IF('TRACKER - 20220622'!A8&lt;&gt;"",UPPER('TRACKER - 20220622'!A8),"")</f>
        <v>BACB</v>
      </c>
      <c r="B7" t="str">
        <f>IF('TRACKER - 20220622'!B8&lt;&gt;"",UPPER('TRACKER - 20220622'!B8),"")</f>
        <v>Y</v>
      </c>
      <c r="C7" t="str">
        <f>IF('TRACKER - 20220622'!D8&lt;&gt;"",UPPER('TRACKER - 20220622'!D8),"")</f>
        <v/>
      </c>
      <c r="D7" t="str">
        <f>IF('TRACKER - 20220622'!F8&lt;&gt;"",UPPER('TRACKER - 20220622'!F8),"")</f>
        <v>BAC-RSC-2020-00000</v>
      </c>
      <c r="E7" t="str">
        <f>IF('TRACKER - 20220622'!H8&lt;&gt;"",'TRACKER - 20220622'!H8,"")</f>
        <v>FIFO/Average Bond Sale</v>
      </c>
      <c r="F7" t="str">
        <f t="shared" si="0"/>
        <v>BAC-RSC-2020-00000 FIFO/Average Bond Sale</v>
      </c>
      <c r="G7" t="str">
        <f t="shared" si="1"/>
        <v xml:space="preserve"> - FIFO/Average Bond Sale</v>
      </c>
      <c r="H7">
        <f>IF('TRACKER - 20220622'!J8&lt;&gt;"",'TRACKER - 20220622'!J8,"")</f>
        <v>0</v>
      </c>
      <c r="I7" t="str">
        <f>IF('TRACKER - 20220622'!K8&lt;&gt;"",UPPER('TRACKER - 20220622'!K8),"")</f>
        <v>44091</v>
      </c>
      <c r="J7" t="str">
        <f>IF('TRACKER - 20220622'!L8&lt;&gt;"",UPPER('TRACKER - 20220622'!L8),"")</f>
        <v>44091</v>
      </c>
      <c r="K7" t="str">
        <f>IF('TRACKER - 20220622'!M8&lt;&gt;"",UPPER('TRACKER - 20220622'!M8),"")</f>
        <v/>
      </c>
      <c r="L7" t="str">
        <f>IF('TRACKER - 20220622'!N8&lt;&gt;"",UPPER('TRACKER - 20220622'!N8),"")</f>
        <v/>
      </c>
      <c r="M7" t="str">
        <f>IF('TRACKER - 20220622'!O8&lt;&gt;"",UPPER('TRACKER - 20220622'!O8),"")</f>
        <v/>
      </c>
      <c r="N7" t="str">
        <f>IF('TRACKER - 20220622'!P8&lt;&gt;"",UPPER('TRACKER - 20220622'!P8),"")</f>
        <v/>
      </c>
      <c r="O7" t="str">
        <f>IF('TRACKER - 20220622'!Q8&lt;&gt;"",UPPER('TRACKER - 20220622'!Q8),"")</f>
        <v>TREASURY</v>
      </c>
      <c r="P7" t="str">
        <f>IF('TRACKER - 20220622'!R8&lt;&gt;"",UPPER('TRACKER - 20220622'!R8),"")</f>
        <v>CLIENT</v>
      </c>
      <c r="Q7" t="str">
        <f>IF('TRACKER - 20220622'!S8&lt;&gt;"",UPPER('TRACKER - 20220622'!S8),"")</f>
        <v/>
      </c>
      <c r="R7" t="str">
        <f>IF('TRACKER - 20220622'!T8&lt;&gt;"",UPPER('TRACKER - 20220622'!T8),"")</f>
        <v/>
      </c>
      <c r="S7" t="str">
        <f>IF('TRACKER - 20220622'!U8&lt;&gt;"",UPPER('TRACKER - 20220622'!U8),"")</f>
        <v/>
      </c>
      <c r="T7" t="str">
        <f>IF('TRACKER - 20220622'!V8&lt;&gt;"",UPPER('TRACKER - 20220622'!V8),"")</f>
        <v/>
      </c>
      <c r="U7" t="str">
        <f>IF('TRACKER - 20220622'!W8&lt;&gt;"",UPPER('TRACKER - 20220622'!W8),"")</f>
        <v/>
      </c>
      <c r="V7" t="str">
        <f>IF('TRACKER - 20220622'!X8&lt;&gt;"",UPPER('TRACKER - 20220622'!X8),"")</f>
        <v>17/09/20 - RAISED DURING ACCOUNT MANAGEMENT MEETING</v>
      </c>
      <c r="W7" t="str">
        <f>IF('TRACKER - 20220622'!Y8&lt;&gt;"",UPPER('TRACKER - 20220622'!Y8),"")</f>
        <v>0</v>
      </c>
      <c r="X7" t="str">
        <f>IF('TRACKER - 20220622'!Z8&lt;&gt;"",UPPER('TRACKER - 20220622'!Z8),"")</f>
        <v>0</v>
      </c>
      <c r="Y7" t="str">
        <f>IF('TRACKER - 20220622'!AA8&lt;&gt;"",UPPER('TRACKER - 20220622'!AA8),"")</f>
        <v>0</v>
      </c>
      <c r="Z7" t="str">
        <f>IF('TRACKER - 20220622'!AB8&lt;&gt;"",UPPER('TRACKER - 20220622'!AB8),"")</f>
        <v>0</v>
      </c>
      <c r="AA7" t="str">
        <f>IF('TRACKER - 20220622'!AC8&lt;&gt;"",UPPER('TRACKER - 20220622'!AC8),"")</f>
        <v>0</v>
      </c>
      <c r="AB7" t="str">
        <f>IF('TRACKER - 20220622'!AE8&lt;&gt;"",UPPER('TRACKER - 20220622'!AE8),"")</f>
        <v>0</v>
      </c>
      <c r="AC7" t="str">
        <f>IF('TRACKER - 20220622'!AF8&lt;&gt;"",UPPER('TRACKER - 20220622'!AF8),"")</f>
        <v>0</v>
      </c>
      <c r="AD7" t="str">
        <f>IF('TRACKER - 20220622'!AG8&lt;&gt;"",UPPER('TRACKER - 20220622'!AG8),"")</f>
        <v>0</v>
      </c>
      <c r="AE7" t="str">
        <f>IF('TRACKER - 20220622'!AH8&lt;&gt;"",UPPER('TRACKER - 20220622'!AH8),"")</f>
        <v>211.66</v>
      </c>
      <c r="AF7" t="str">
        <f>IF('TRACKER - 20220622'!AI8&lt;&gt;"",UPPER('TRACKER - 20220622'!AI8),"")</f>
        <v/>
      </c>
      <c r="AG7" t="str">
        <f>IF('TRACKER - 20220622'!AJ8&lt;&gt;"",UPPER('TRACKER - 20220622'!AJ8),"")</f>
        <v>0.2</v>
      </c>
      <c r="AH7" t="str">
        <f>IF('TRACKER - 20220622'!AK8&lt;&gt;"",UPPER('TRACKER - 20220622'!AK8),"")</f>
        <v/>
      </c>
      <c r="AI7" t="str">
        <f>IF('TRACKER - 20220622'!AL8&lt;&gt;"",UPPER('TRACKER - 20220622'!AL8),"")</f>
        <v>0</v>
      </c>
      <c r="AJ7" t="str">
        <f>IF('TRACKER - 20220622'!AM8&lt;&gt;"",UPPER('TRACKER - 20220622'!AM8),"")</f>
        <v>0</v>
      </c>
      <c r="AK7" t="str">
        <f>IF('TRACKER - 20220622'!AN8&lt;&gt;"",UPPER('TRACKER - 20220622'!AN8),"")</f>
        <v/>
      </c>
      <c r="AL7" t="str">
        <f>IF('TRACKER - 20220622'!AO8&lt;&gt;"",UPPER('TRACKER - 20220622'!AO8),"")</f>
        <v>0</v>
      </c>
      <c r="AM7" t="str">
        <f>IF('TRACKER - 20220622'!AP8&lt;&gt;"",UPPER('TRACKER - 20220622'!AP8),"")</f>
        <v>0</v>
      </c>
      <c r="AN7" t="str">
        <f>IF('TRACKER - 20220622'!AQ8&lt;&gt;"",UPPER('TRACKER - 20220622'!AQ8),"")</f>
        <v>0</v>
      </c>
      <c r="AO7" t="str">
        <f>IF('TRACKER - 20220622'!AR8&lt;&gt;"",UPPER('TRACKER - 20220622'!AR8),"")</f>
        <v>BAC</v>
      </c>
      <c r="AP7" t="str">
        <f>IF('TRACKER - 20220622'!AS8&lt;&gt;"",UPPER('TRACKER - 20220622'!AS8),"")</f>
        <v>RSC</v>
      </c>
      <c r="AQ7" t="str">
        <f>IF('TRACKER - 20220622'!AT8&lt;&gt;"",UPPER('TRACKER - 20220622'!AT8),"")</f>
        <v>Y</v>
      </c>
      <c r="AR7" t="str">
        <f>IF('TRACKER - 20220622'!AU8&lt;&gt;"",UPPER('TRACKER - 20220622'!AU8),"")</f>
        <v>211.66</v>
      </c>
      <c r="AS7" t="str">
        <f>IF('TRACKER - 20220622'!AV8&lt;&gt;"",UPPER('TRACKER - 20220622'!AV8),"")</f>
        <v/>
      </c>
      <c r="AT7" t="str">
        <f>IF('TRACKER - 20220622'!AW8&lt;&gt;"",UPPER('TRACKER - 20220622'!AW8),"")</f>
        <v>DESCR8</v>
      </c>
      <c r="AU7" t="str">
        <f>IF('TRACKER - 20220622'!AX8&lt;&gt;"",UPPER('TRACKER - 20220622'!AX8),"")</f>
        <v>REASON8</v>
      </c>
      <c r="AV7" t="str">
        <f>IF('TRACKER - 20220622'!BD8&lt;&gt;"",'TRACKER - 20220622'!BD8,"")</f>
        <v/>
      </c>
      <c r="AW7" t="str">
        <f>IF('TRACKER - 20220622'!BE8&lt;&gt;"",'TRACKER - 20220622'!BE8,"")</f>
        <v/>
      </c>
      <c r="AX7" t="str">
        <f>IF('TRACKER - 20220622'!BF8&lt;&gt;"",'TRACKER - 20220622'!BF8,"")</f>
        <v/>
      </c>
      <c r="AY7" t="str">
        <f>IF('TRACKER - 20220622'!BG8&lt;&gt;"",'TRACKER - 20220622'!BG8,"")</f>
        <v/>
      </c>
      <c r="AZ7" t="str">
        <f>IF('TRACKER - 20220622'!BH8&lt;&gt;"",'TRACKER - 20220622'!BH8,"")</f>
        <v/>
      </c>
      <c r="BA7" t="str">
        <f>IF('TRACKER - 20220622'!BI8&lt;&gt;"",'TRACKER - 20220622'!BI8,"")</f>
        <v/>
      </c>
      <c r="BB7" t="str">
        <f>IF('TRACKER - 20220622'!BJ8&lt;&gt;"",'TRACKER - 20220622'!BJ8,"")</f>
        <v/>
      </c>
      <c r="BC7" t="str">
        <f>IF('TRACKER - 20220622'!BK8&lt;&gt;"",'TRACKER - 20220622'!BK8,"")</f>
        <v/>
      </c>
      <c r="BD7" t="str">
        <f>IF('TRACKER - 20220622'!BL8&lt;&gt;"",'TRACKER - 20220622'!BL8,"")</f>
        <v/>
      </c>
      <c r="BE7" t="str">
        <f>IF('TRACKER - 20220622'!BM8&lt;&gt;"",'TRACKER - 20220622'!BM8,"")</f>
        <v/>
      </c>
      <c r="BF7" t="str">
        <f>IF('TRACKER - 20220622'!BN8&lt;&gt;"",'TRACKER - 20220622'!BN8,"")</f>
        <v/>
      </c>
      <c r="BG7" t="str">
        <f>IF('TRACKER - 20220622'!BO8&lt;&gt;"",'TRACKER - 20220622'!BO8,"")</f>
        <v/>
      </c>
    </row>
    <row r="8" spans="1:61">
      <c r="A8" t="str">
        <f>IF('TRACKER - 20220622'!A9&lt;&gt;"",UPPER('TRACKER - 20220622'!A9),"")</f>
        <v>BACB</v>
      </c>
      <c r="B8" t="str">
        <f>IF('TRACKER - 20220622'!B9&lt;&gt;"",UPPER('TRACKER - 20220622'!B9),"")</f>
        <v>Y</v>
      </c>
      <c r="C8" t="str">
        <f>IF('TRACKER - 20220622'!D9&lt;&gt;"",UPPER('TRACKER - 20220622'!D9),"")</f>
        <v/>
      </c>
      <c r="D8" t="str">
        <f>IF('TRACKER - 20220622'!F9&lt;&gt;"",UPPER('TRACKER - 20220622'!F9),"")</f>
        <v>BAC-RSC-2020-00000</v>
      </c>
      <c r="E8" t="str">
        <f>IF('TRACKER - 20220622'!H9&lt;&gt;"",'TRACKER - 20220622'!H9,"")</f>
        <v>Classic Reports - Export to Excel</v>
      </c>
      <c r="F8" t="str">
        <f t="shared" si="0"/>
        <v>BAC-RSC-2020-00000 Classic Reports - Export to Excel</v>
      </c>
      <c r="G8" t="str">
        <f t="shared" si="1"/>
        <v xml:space="preserve"> - Classic Reports - Export to Excel</v>
      </c>
      <c r="H8">
        <f>IF('TRACKER - 20220622'!J9&lt;&gt;"",'TRACKER - 20220622'!J9,"")</f>
        <v>0</v>
      </c>
      <c r="I8" t="str">
        <f>IF('TRACKER - 20220622'!K9&lt;&gt;"",UPPER('TRACKER - 20220622'!K9),"")</f>
        <v>44091</v>
      </c>
      <c r="J8" t="str">
        <f>IF('TRACKER - 20220622'!L9&lt;&gt;"",UPPER('TRACKER - 20220622'!L9),"")</f>
        <v>44091</v>
      </c>
      <c r="K8" t="str">
        <f>IF('TRACKER - 20220622'!M9&lt;&gt;"",UPPER('TRACKER - 20220622'!M9),"")</f>
        <v/>
      </c>
      <c r="L8" t="str">
        <f>IF('TRACKER - 20220622'!N9&lt;&gt;"",UPPER('TRACKER - 20220622'!N9),"")</f>
        <v/>
      </c>
      <c r="M8" t="str">
        <f>IF('TRACKER - 20220622'!O9&lt;&gt;"",UPPER('TRACKER - 20220622'!O9),"")</f>
        <v/>
      </c>
      <c r="N8" t="str">
        <f>IF('TRACKER - 20220622'!P9&lt;&gt;"",UPPER('TRACKER - 20220622'!P9),"")</f>
        <v/>
      </c>
      <c r="O8" t="str">
        <f>IF('TRACKER - 20220622'!Q9&lt;&gt;"",UPPER('TRACKER - 20220622'!Q9),"")</f>
        <v>PLATFORM</v>
      </c>
      <c r="P8" t="str">
        <f>IF('TRACKER - 20220622'!R9&lt;&gt;"",UPPER('TRACKER - 20220622'!R9),"")</f>
        <v>CLIENT</v>
      </c>
      <c r="Q8" t="str">
        <f>IF('TRACKER - 20220622'!S9&lt;&gt;"",UPPER('TRACKER - 20220622'!S9),"")</f>
        <v/>
      </c>
      <c r="R8" t="str">
        <f>IF('TRACKER - 20220622'!T9&lt;&gt;"",UPPER('TRACKER - 20220622'!T9),"")</f>
        <v/>
      </c>
      <c r="S8" t="str">
        <f>IF('TRACKER - 20220622'!U9&lt;&gt;"",UPPER('TRACKER - 20220622'!U9),"")</f>
        <v/>
      </c>
      <c r="T8" t="str">
        <f>IF('TRACKER - 20220622'!V9&lt;&gt;"",UPPER('TRACKER - 20220622'!V9),"")</f>
        <v/>
      </c>
      <c r="U8" t="str">
        <f>IF('TRACKER - 20220622'!W9&lt;&gt;"",UPPER('TRACKER - 20220622'!W9),"")</f>
        <v/>
      </c>
      <c r="V8" t="str">
        <f>IF('TRACKER - 20220622'!X9&lt;&gt;"",UPPER('TRACKER - 20220622'!X9),"")</f>
        <v/>
      </c>
      <c r="W8" t="str">
        <f>IF('TRACKER - 20220622'!Y9&lt;&gt;"",UPPER('TRACKER - 20220622'!Y9),"")</f>
        <v>0</v>
      </c>
      <c r="X8" t="str">
        <f>IF('TRACKER - 20220622'!Z9&lt;&gt;"",UPPER('TRACKER - 20220622'!Z9),"")</f>
        <v>0</v>
      </c>
      <c r="Y8" t="str">
        <f>IF('TRACKER - 20220622'!AA9&lt;&gt;"",UPPER('TRACKER - 20220622'!AA9),"")</f>
        <v>0</v>
      </c>
      <c r="Z8" t="str">
        <f>IF('TRACKER - 20220622'!AB9&lt;&gt;"",UPPER('TRACKER - 20220622'!AB9),"")</f>
        <v>0</v>
      </c>
      <c r="AA8" t="str">
        <f>IF('TRACKER - 20220622'!AC9&lt;&gt;"",UPPER('TRACKER - 20220622'!AC9),"")</f>
        <v>0</v>
      </c>
      <c r="AB8" t="str">
        <f>IF('TRACKER - 20220622'!AE9&lt;&gt;"",UPPER('TRACKER - 20220622'!AE9),"")</f>
        <v>0</v>
      </c>
      <c r="AC8" t="str">
        <f>IF('TRACKER - 20220622'!AF9&lt;&gt;"",UPPER('TRACKER - 20220622'!AF9),"")</f>
        <v>0</v>
      </c>
      <c r="AD8" t="str">
        <f>IF('TRACKER - 20220622'!AG9&lt;&gt;"",UPPER('TRACKER - 20220622'!AG9),"")</f>
        <v>0</v>
      </c>
      <c r="AE8" t="str">
        <f>IF('TRACKER - 20220622'!AH9&lt;&gt;"",UPPER('TRACKER - 20220622'!AH9),"")</f>
        <v>211.66</v>
      </c>
      <c r="AF8" t="str">
        <f>IF('TRACKER - 20220622'!AI9&lt;&gt;"",UPPER('TRACKER - 20220622'!AI9),"")</f>
        <v/>
      </c>
      <c r="AG8" t="str">
        <f>IF('TRACKER - 20220622'!AJ9&lt;&gt;"",UPPER('TRACKER - 20220622'!AJ9),"")</f>
        <v>0.2</v>
      </c>
      <c r="AH8" t="str">
        <f>IF('TRACKER - 20220622'!AK9&lt;&gt;"",UPPER('TRACKER - 20220622'!AK9),"")</f>
        <v/>
      </c>
      <c r="AI8" t="str">
        <f>IF('TRACKER - 20220622'!AL9&lt;&gt;"",UPPER('TRACKER - 20220622'!AL9),"")</f>
        <v/>
      </c>
      <c r="AJ8" t="str">
        <f>IF('TRACKER - 20220622'!AM9&lt;&gt;"",UPPER('TRACKER - 20220622'!AM9),"")</f>
        <v/>
      </c>
      <c r="AK8" t="str">
        <f>IF('TRACKER - 20220622'!AN9&lt;&gt;"",UPPER('TRACKER - 20220622'!AN9),"")</f>
        <v/>
      </c>
      <c r="AL8" t="str">
        <f>IF('TRACKER - 20220622'!AO9&lt;&gt;"",UPPER('TRACKER - 20220622'!AO9),"")</f>
        <v/>
      </c>
      <c r="AM8" t="str">
        <f>IF('TRACKER - 20220622'!AP9&lt;&gt;"",UPPER('TRACKER - 20220622'!AP9),"")</f>
        <v>0</v>
      </c>
      <c r="AN8" t="str">
        <f>IF('TRACKER - 20220622'!AQ9&lt;&gt;"",UPPER('TRACKER - 20220622'!AQ9),"")</f>
        <v>0</v>
      </c>
      <c r="AO8" t="str">
        <f>IF('TRACKER - 20220622'!AR9&lt;&gt;"",UPPER('TRACKER - 20220622'!AR9),"")</f>
        <v>BAC</v>
      </c>
      <c r="AP8" t="str">
        <f>IF('TRACKER - 20220622'!AS9&lt;&gt;"",UPPER('TRACKER - 20220622'!AS9),"")</f>
        <v>RSC</v>
      </c>
      <c r="AQ8" t="str">
        <f>IF('TRACKER - 20220622'!AT9&lt;&gt;"",UPPER('TRACKER - 20220622'!AT9),"")</f>
        <v>Y</v>
      </c>
      <c r="AR8" t="str">
        <f>IF('TRACKER - 20220622'!AU9&lt;&gt;"",UPPER('TRACKER - 20220622'!AU9),"")</f>
        <v>211.66</v>
      </c>
      <c r="AS8" t="str">
        <f>IF('TRACKER - 20220622'!AV9&lt;&gt;"",UPPER('TRACKER - 20220622'!AV9),"")</f>
        <v/>
      </c>
      <c r="AT8" t="str">
        <f>IF('TRACKER - 20220622'!AW9&lt;&gt;"",UPPER('TRACKER - 20220622'!AW9),"")</f>
        <v>DESCR9</v>
      </c>
      <c r="AU8" t="str">
        <f>IF('TRACKER - 20220622'!AX9&lt;&gt;"",UPPER('TRACKER - 20220622'!AX9),"")</f>
        <v>REASON9</v>
      </c>
      <c r="AV8" t="str">
        <f>IF('TRACKER - 20220622'!BD9&lt;&gt;"",'TRACKER - 20220622'!BD9,"")</f>
        <v/>
      </c>
      <c r="AW8" t="str">
        <f>IF('TRACKER - 20220622'!BE9&lt;&gt;"",'TRACKER - 20220622'!BE9,"")</f>
        <v/>
      </c>
      <c r="AX8" t="str">
        <f>IF('TRACKER - 20220622'!BF9&lt;&gt;"",'TRACKER - 20220622'!BF9,"")</f>
        <v/>
      </c>
      <c r="AY8" t="str">
        <f>IF('TRACKER - 20220622'!BG9&lt;&gt;"",'TRACKER - 20220622'!BG9,"")</f>
        <v/>
      </c>
      <c r="AZ8" t="str">
        <f>IF('TRACKER - 20220622'!BH9&lt;&gt;"",'TRACKER - 20220622'!BH9,"")</f>
        <v/>
      </c>
      <c r="BA8" t="str">
        <f>IF('TRACKER - 20220622'!BI9&lt;&gt;"",'TRACKER - 20220622'!BI9,"")</f>
        <v/>
      </c>
      <c r="BB8" t="str">
        <f>IF('TRACKER - 20220622'!BJ9&lt;&gt;"",'TRACKER - 20220622'!BJ9,"")</f>
        <v/>
      </c>
      <c r="BC8" t="str">
        <f>IF('TRACKER - 20220622'!BK9&lt;&gt;"",'TRACKER - 20220622'!BK9,"")</f>
        <v/>
      </c>
      <c r="BD8" t="str">
        <f>IF('TRACKER - 20220622'!BL9&lt;&gt;"",'TRACKER - 20220622'!BL9,"")</f>
        <v/>
      </c>
      <c r="BE8" t="str">
        <f>IF('TRACKER - 20220622'!BM9&lt;&gt;"",'TRACKER - 20220622'!BM9,"")</f>
        <v/>
      </c>
      <c r="BF8" t="str">
        <f>IF('TRACKER - 20220622'!BN9&lt;&gt;"",'TRACKER - 20220622'!BN9,"")</f>
        <v/>
      </c>
      <c r="BG8" t="str">
        <f>IF('TRACKER - 20220622'!BO9&lt;&gt;"",'TRACKER - 20220622'!BO9,"")</f>
        <v/>
      </c>
    </row>
    <row r="9" spans="1:61">
      <c r="A9" t="str">
        <f>IF('TRACKER - 20220622'!A10&lt;&gt;"",UPPER('TRACKER - 20220622'!A10),"")</f>
        <v>BACB</v>
      </c>
      <c r="B9" t="str">
        <f>IF('TRACKER - 20220622'!B10&lt;&gt;"",UPPER('TRACKER - 20220622'!B10),"")</f>
        <v>Y</v>
      </c>
      <c r="C9" t="str">
        <f>IF('TRACKER - 20220622'!D10&lt;&gt;"",UPPER('TRACKER - 20220622'!D10),"")</f>
        <v>9999</v>
      </c>
      <c r="D9" t="str">
        <f>IF('TRACKER - 20220622'!F10&lt;&gt;"",UPPER('TRACKER - 20220622'!F10),"")</f>
        <v>BAC-RSC-2020-09999</v>
      </c>
      <c r="E9" t="str">
        <f>IF('TRACKER - 20220622'!H10&lt;&gt;"",'TRACKER - 20220622'!H10,"")</f>
        <v>Upgrade</v>
      </c>
      <c r="F9" t="str">
        <f t="shared" si="0"/>
        <v>BAC-RSC-2020-09999 Upgrade</v>
      </c>
      <c r="G9" t="str">
        <f t="shared" si="1"/>
        <v>309999 - Upgrade</v>
      </c>
      <c r="H9">
        <f>IF('TRACKER - 20220622'!J10&lt;&gt;"",'TRACKER - 20220622'!J10,"")</f>
        <v>47623.5</v>
      </c>
      <c r="I9" t="str">
        <f>IF('TRACKER - 20220622'!K10&lt;&gt;"",UPPER('TRACKER - 20220622'!K10),"")</f>
        <v>44144</v>
      </c>
      <c r="J9" t="str">
        <f>IF('TRACKER - 20220622'!L10&lt;&gt;"",UPPER('TRACKER - 20220622'!L10),"")</f>
        <v>44129</v>
      </c>
      <c r="K9" t="str">
        <f>IF('TRACKER - 20220622'!M10&lt;&gt;"",UPPER('TRACKER - 20220622'!M10),"")</f>
        <v/>
      </c>
      <c r="L9" t="str">
        <f>IF('TRACKER - 20220622'!N10&lt;&gt;"",UPPER('TRACKER - 20220622'!N10),"")</f>
        <v/>
      </c>
      <c r="M9" t="str">
        <f>IF('TRACKER - 20220622'!O10&lt;&gt;"",UPPER('TRACKER - 20220622'!O10),"")</f>
        <v>44143</v>
      </c>
      <c r="N9" t="str">
        <f>IF('TRACKER - 20220622'!P10&lt;&gt;"",UPPER('TRACKER - 20220622'!P10),"")</f>
        <v>44144</v>
      </c>
      <c r="O9" t="str">
        <f>IF('TRACKER - 20220622'!Q10&lt;&gt;"",UPPER('TRACKER - 20220622'!Q10),"")</f>
        <v>N/A</v>
      </c>
      <c r="P9" t="str">
        <f>IF('TRACKER - 20220622'!R10&lt;&gt;"",UPPER('TRACKER - 20220622'!R10),"")</f>
        <v>CLIENT</v>
      </c>
      <c r="Q9" t="str">
        <f>IF('TRACKER - 20220622'!S10&lt;&gt;"",UPPER('TRACKER - 20220622'!S10),"")</f>
        <v/>
      </c>
      <c r="R9" t="str">
        <f>IF('TRACKER - 20220622'!T10&lt;&gt;"",UPPER('TRACKER - 20220622'!T10),"")</f>
        <v/>
      </c>
      <c r="S9" t="str">
        <f>IF('TRACKER - 20220622'!U10&lt;&gt;"",UPPER('TRACKER - 20220622'!U10),"")</f>
        <v/>
      </c>
      <c r="T9" t="str">
        <f>IF('TRACKER - 20220622'!V10&lt;&gt;"",UPPER('TRACKER - 20220622'!V10),"")</f>
        <v/>
      </c>
      <c r="U9" t="str">
        <f>IF('TRACKER - 20220622'!W10&lt;&gt;"",UPPER('TRACKER - 20220622'!W10),"")</f>
        <v/>
      </c>
      <c r="V9" t="str">
        <f>IF('TRACKER - 20220622'!X10&lt;&gt;"",UPPER('TRACKER - 20220622'!X10),"")</f>
        <v>09/11/20 - BACB QUOTED £37,500 @ VARIANCE WITH EXPECTED RATES.</v>
      </c>
      <c r="W9" t="str">
        <f>IF('TRACKER - 20220622'!Y10&lt;&gt;"",UPPER('TRACKER - 20220622'!Y10),"")</f>
        <v>47623.5</v>
      </c>
      <c r="X9" t="str">
        <f>IF('TRACKER - 20220622'!Z10&lt;&gt;"",UPPER('TRACKER - 20220622'!Z10),"")</f>
        <v>7937.25</v>
      </c>
      <c r="Y9" t="str">
        <f>IF('TRACKER - 20220622'!AA10&lt;&gt;"",UPPER('TRACKER - 20220622'!AA10),"")</f>
        <v>7937.25</v>
      </c>
      <c r="Z9" t="str">
        <f>IF('TRACKER - 20220622'!AB10&lt;&gt;"",UPPER('TRACKER - 20220622'!AB10),"")</f>
        <v>12699.6</v>
      </c>
      <c r="AA9" t="str">
        <f>IF('TRACKER - 20220622'!AC10&lt;&gt;"",UPPER('TRACKER - 20220622'!AC10),"")</f>
        <v>4762.35</v>
      </c>
      <c r="AB9" t="str">
        <f>IF('TRACKER - 20220622'!AE10&lt;&gt;"",UPPER('TRACKER - 20220622'!AE10),"")</f>
        <v>6349.8</v>
      </c>
      <c r="AC9" t="str">
        <f>IF('TRACKER - 20220622'!AF10&lt;&gt;"",UPPER('TRACKER - 20220622'!AF10),"")</f>
        <v>39686.25</v>
      </c>
      <c r="AD9" t="str">
        <f>IF('TRACKER - 20220622'!AG10&lt;&gt;"",UPPER('TRACKER - 20220622'!AG10),"")</f>
        <v>7937.25</v>
      </c>
      <c r="AE9" t="str">
        <f>IF('TRACKER - 20220622'!AH10&lt;&gt;"",UPPER('TRACKER - 20220622'!AH10),"")</f>
        <v>211.66</v>
      </c>
      <c r="AF9" t="str">
        <f>IF('TRACKER - 20220622'!AI10&lt;&gt;"",UPPER('TRACKER - 20220622'!AI10),"")</f>
        <v/>
      </c>
      <c r="AG9" t="str">
        <f>IF('TRACKER - 20220622'!AJ10&lt;&gt;"",UPPER('TRACKER - 20220622'!AJ10),"")</f>
        <v>0.2</v>
      </c>
      <c r="AH9" t="str">
        <f>IF('TRACKER - 20220622'!AK10&lt;&gt;"",UPPER('TRACKER - 20220622'!AK10),"")</f>
        <v>5</v>
      </c>
      <c r="AI9" t="str">
        <f>IF('TRACKER - 20220622'!AL10&lt;&gt;"",UPPER('TRACKER - 20220622'!AL10),"")</f>
        <v>5</v>
      </c>
      <c r="AJ9" t="str">
        <f>IF('TRACKER - 20220622'!AM10&lt;&gt;"",UPPER('TRACKER - 20220622'!AM10),"")</f>
        <v>8</v>
      </c>
      <c r="AK9" t="str">
        <f>IF('TRACKER - 20220622'!AN10&lt;&gt;"",UPPER('TRACKER - 20220622'!AN10),"")</f>
        <v>3</v>
      </c>
      <c r="AL9" t="str">
        <f>IF('TRACKER - 20220622'!AO10&lt;&gt;"",UPPER('TRACKER - 20220622'!AO10),"")</f>
        <v>4</v>
      </c>
      <c r="AM9" t="str">
        <f>IF('TRACKER - 20220622'!AP10&lt;&gt;"",UPPER('TRACKER - 20220622'!AP10),"")</f>
        <v>25</v>
      </c>
      <c r="AN9" t="str">
        <f>IF('TRACKER - 20220622'!AQ10&lt;&gt;"",UPPER('TRACKER - 20220622'!AQ10),"")</f>
        <v>5</v>
      </c>
      <c r="AO9" t="str">
        <f>IF('TRACKER - 20220622'!AR10&lt;&gt;"",UPPER('TRACKER - 20220622'!AR10),"")</f>
        <v>BAC</v>
      </c>
      <c r="AP9" t="str">
        <f>IF('TRACKER - 20220622'!AS10&lt;&gt;"",UPPER('TRACKER - 20220622'!AS10),"")</f>
        <v>RSC</v>
      </c>
      <c r="AQ9" t="str">
        <f>IF('TRACKER - 20220622'!AT10&lt;&gt;"",UPPER('TRACKER - 20220622'!AT10),"")</f>
        <v>Y</v>
      </c>
      <c r="AR9" t="str">
        <f>IF('TRACKER - 20220622'!AU10&lt;&gt;"",UPPER('TRACKER - 20220622'!AU10),"")</f>
        <v>211.66</v>
      </c>
      <c r="AS9" t="str">
        <f>IF('TRACKER - 20220622'!AV10&lt;&gt;"",UPPER('TRACKER - 20220622'!AV10),"")</f>
        <v/>
      </c>
      <c r="AT9" t="str">
        <f>IF('TRACKER - 20220622'!AW10&lt;&gt;"",UPPER('TRACKER - 20220622'!AW10),"")</f>
        <v>DESCR10</v>
      </c>
      <c r="AU9" t="str">
        <f>IF('TRACKER - 20220622'!AX10&lt;&gt;"",UPPER('TRACKER - 20220622'!AX10),"")</f>
        <v>REASON10</v>
      </c>
      <c r="AV9" t="str">
        <f>IF('TRACKER - 20220622'!BD10&lt;&gt;"",'TRACKER - 20220622'!BD10,"")</f>
        <v/>
      </c>
      <c r="AW9" t="str">
        <f>IF('TRACKER - 20220622'!BE10&lt;&gt;"",'TRACKER - 20220622'!BE10,"")</f>
        <v/>
      </c>
      <c r="AX9" t="str">
        <f>IF('TRACKER - 20220622'!BF10&lt;&gt;"",'TRACKER - 20220622'!BF10,"")</f>
        <v/>
      </c>
      <c r="AY9" t="str">
        <f>IF('TRACKER - 20220622'!BG10&lt;&gt;"",'TRACKER - 20220622'!BG10,"")</f>
        <v/>
      </c>
      <c r="AZ9" t="str">
        <f>IF('TRACKER - 20220622'!BH10&lt;&gt;"",'TRACKER - 20220622'!BH10,"")</f>
        <v/>
      </c>
      <c r="BA9" t="str">
        <f>IF('TRACKER - 20220622'!BI10&lt;&gt;"",'TRACKER - 20220622'!BI10,"")</f>
        <v/>
      </c>
      <c r="BB9" t="str">
        <f>IF('TRACKER - 20220622'!BJ10&lt;&gt;"",'TRACKER - 20220622'!BJ10,"")</f>
        <v/>
      </c>
      <c r="BC9" t="str">
        <f>IF('TRACKER - 20220622'!BK10&lt;&gt;"",'TRACKER - 20220622'!BK10,"")</f>
        <v/>
      </c>
      <c r="BD9" t="str">
        <f>IF('TRACKER - 20220622'!BL10&lt;&gt;"",'TRACKER - 20220622'!BL10,"")</f>
        <v/>
      </c>
      <c r="BE9" t="str">
        <f>IF('TRACKER - 20220622'!BM10&lt;&gt;"",'TRACKER - 20220622'!BM10,"")</f>
        <v/>
      </c>
      <c r="BF9" t="str">
        <f>IF('TRACKER - 20220622'!BN10&lt;&gt;"",'TRACKER - 20220622'!BN10,"")</f>
        <v/>
      </c>
      <c r="BG9" t="str">
        <f>IF('TRACKER - 20220622'!BO10&lt;&gt;"",'TRACKER - 20220622'!BO10,"")</f>
        <v/>
      </c>
    </row>
    <row r="10" spans="1:61">
      <c r="A10" t="str">
        <f>IF('TRACKER - 20220622'!A11&lt;&gt;"",UPPER('TRACKER - 20220622'!A11),"")</f>
        <v>BANK LEUMI</v>
      </c>
      <c r="B10" t="str">
        <f>IF('TRACKER - 20220622'!B11&lt;&gt;"",UPPER('TRACKER - 20220622'!B11),"")</f>
        <v>Y</v>
      </c>
      <c r="C10" t="str">
        <f>IF('TRACKER - 20220622'!D11&lt;&gt;"",UPPER('TRACKER - 20220622'!D11),"")</f>
        <v>5</v>
      </c>
      <c r="D10" t="str">
        <f>IF('TRACKER - 20220622'!F11&lt;&gt;"",UPPER('TRACKER - 20220622'!F11),"")</f>
        <v>LEU-RSC-2020-00005</v>
      </c>
      <c r="E10" t="str">
        <f>IF('TRACKER - 20220622'!H11&lt;&gt;"",'TRACKER - 20220622'!H11,"")</f>
        <v>RSC005 - Position Event</v>
      </c>
      <c r="F10" t="str">
        <f t="shared" si="0"/>
        <v>LEU-RSC-2020-00005 RSC005 - Position Event</v>
      </c>
      <c r="G10" t="str">
        <f t="shared" si="1"/>
        <v>100005 - RSC005 - Position Event</v>
      </c>
      <c r="H10">
        <f>IF('TRACKER - 20220622'!J11&lt;&gt;"",'TRACKER - 20220622'!J11,"")</f>
        <v>9492.119999999999</v>
      </c>
      <c r="I10" t="str">
        <f>IF('TRACKER - 20220622'!K11&lt;&gt;"",UPPER('TRACKER - 20220622'!K11),"")</f>
        <v>44110</v>
      </c>
      <c r="J10" t="str">
        <f>IF('TRACKER - 20220622'!L11&lt;&gt;"",UPPER('TRACKER - 20220622'!L11),"")</f>
        <v>44110</v>
      </c>
      <c r="K10" t="str">
        <f>IF('TRACKER - 20220622'!M11&lt;&gt;"",UPPER('TRACKER - 20220622'!M11),"")</f>
        <v>44110</v>
      </c>
      <c r="L10" t="str">
        <f>IF('TRACKER - 20220622'!N11&lt;&gt;"",UPPER('TRACKER - 20220622'!N11),"")</f>
        <v>44110</v>
      </c>
      <c r="M10" t="str">
        <f>IF('TRACKER - 20220622'!O11&lt;&gt;"",UPPER('TRACKER - 20220622'!O11),"")</f>
        <v/>
      </c>
      <c r="N10" t="str">
        <f>IF('TRACKER - 20220622'!P11&lt;&gt;"",UPPER('TRACKER - 20220622'!P11),"")</f>
        <v>44110</v>
      </c>
      <c r="O10" t="str">
        <f>IF('TRACKER - 20220622'!Q11&lt;&gt;"",UPPER('TRACKER - 20220622'!Q11),"")</f>
        <v>TREASURY</v>
      </c>
      <c r="P10" t="str">
        <f>IF('TRACKER - 20220622'!R11&lt;&gt;"",UPPER('TRACKER - 20220622'!R11),"")</f>
        <v>CLIENT</v>
      </c>
      <c r="Q10" t="str">
        <f>IF('TRACKER - 20220622'!S11&lt;&gt;"",UPPER('TRACKER - 20220622'!S11),"")</f>
        <v/>
      </c>
      <c r="R10" t="str">
        <f>IF('TRACKER - 20220622'!T11&lt;&gt;"",UPPER('TRACKER - 20220622'!T11),"")</f>
        <v/>
      </c>
      <c r="S10" t="str">
        <f>IF('TRACKER - 20220622'!U11&lt;&gt;"",UPPER('TRACKER - 20220622'!U11),"")</f>
        <v/>
      </c>
      <c r="T10" t="str">
        <f>IF('TRACKER - 20220622'!V11&lt;&gt;"",UPPER('TRACKER - 20220622'!V11),"")</f>
        <v/>
      </c>
      <c r="U10" t="str">
        <f>IF('TRACKER - 20220622'!W11&lt;&gt;"",UPPER('TRACKER - 20220622'!W11),"")</f>
        <v/>
      </c>
      <c r="V10" t="str">
        <f>IF('TRACKER - 20220622'!X11&lt;&gt;"",UPPER('TRACKER - 20220622'!X11),"")</f>
        <v>17/11/20 - JL TO CONFIRM IF THIS CAN BE OFFSET AGAINST CREDIT NOTE.</v>
      </c>
      <c r="W10" t="str">
        <f>IF('TRACKER - 20220622'!Y11&lt;&gt;"",UPPER('TRACKER - 20220622'!Y11),"")</f>
        <v>9492.12</v>
      </c>
      <c r="X10" t="str">
        <f>IF('TRACKER - 20220622'!Z11&lt;&gt;"",UPPER('TRACKER - 20220622'!Z11),"")</f>
        <v>0</v>
      </c>
      <c r="Y10" t="str">
        <f>IF('TRACKER - 20220622'!AA11&lt;&gt;"",UPPER('TRACKER - 20220622'!AA11),"")</f>
        <v>4314.6</v>
      </c>
      <c r="Z10" t="str">
        <f>IF('TRACKER - 20220622'!AB11&lt;&gt;"",UPPER('TRACKER - 20220622'!AB11),"")</f>
        <v>719.1</v>
      </c>
      <c r="AA10" t="str">
        <f>IF('TRACKER - 20220622'!AC11&lt;&gt;"",UPPER('TRACKER - 20220622'!AC11),"")</f>
        <v>1438.2</v>
      </c>
      <c r="AB10" t="str">
        <f>IF('TRACKER - 20220622'!AE11&lt;&gt;"",UPPER('TRACKER - 20220622'!AE11),"")</f>
        <v>1438.2</v>
      </c>
      <c r="AC10" t="str">
        <f>IF('TRACKER - 20220622'!AF11&lt;&gt;"",UPPER('TRACKER - 20220622'!AF11),"")</f>
        <v>7910.1</v>
      </c>
      <c r="AD10" t="str">
        <f>IF('TRACKER - 20220622'!AG11&lt;&gt;"",UPPER('TRACKER - 20220622'!AG11),"")</f>
        <v>1582.02</v>
      </c>
      <c r="AE10" t="str">
        <f>IF('TRACKER - 20220622'!AH11&lt;&gt;"",UPPER('TRACKER - 20220622'!AH11),"")</f>
        <v>191.76</v>
      </c>
      <c r="AF10" t="str">
        <f>IF('TRACKER - 20220622'!AI11&lt;&gt;"",UPPER('TRACKER - 20220622'!AI11),"")</f>
        <v/>
      </c>
      <c r="AG10" t="str">
        <f>IF('TRACKER - 20220622'!AJ11&lt;&gt;"",UPPER('TRACKER - 20220622'!AJ11),"")</f>
        <v>0.2</v>
      </c>
      <c r="AH10" t="str">
        <f>IF('TRACKER - 20220622'!AK11&lt;&gt;"",UPPER('TRACKER - 20220622'!AK11),"")</f>
        <v/>
      </c>
      <c r="AI10" t="str">
        <f>IF('TRACKER - 20220622'!AL11&lt;&gt;"",UPPER('TRACKER - 20220622'!AL11),"")</f>
        <v>3</v>
      </c>
      <c r="AJ10" t="str">
        <f>IF('TRACKER - 20220622'!AM11&lt;&gt;"",UPPER('TRACKER - 20220622'!AM11),"")</f>
        <v>0.5</v>
      </c>
      <c r="AK10" t="str">
        <f>IF('TRACKER - 20220622'!AN11&lt;&gt;"",UPPER('TRACKER - 20220622'!AN11),"")</f>
        <v>1</v>
      </c>
      <c r="AL10" t="str">
        <f>IF('TRACKER - 20220622'!AO11&lt;&gt;"",UPPER('TRACKER - 20220622'!AO11),"")</f>
        <v>1</v>
      </c>
      <c r="AM10" t="str">
        <f>IF('TRACKER - 20220622'!AP11&lt;&gt;"",UPPER('TRACKER - 20220622'!AP11),"")</f>
        <v>5.5</v>
      </c>
      <c r="AN10" t="str">
        <f>IF('TRACKER - 20220622'!AQ11&lt;&gt;"",UPPER('TRACKER - 20220622'!AQ11),"")</f>
        <v>1.1</v>
      </c>
      <c r="AO10" t="str">
        <f>IF('TRACKER - 20220622'!AR11&lt;&gt;"",UPPER('TRACKER - 20220622'!AR11),"")</f>
        <v>LEU</v>
      </c>
      <c r="AP10" t="str">
        <f>IF('TRACKER - 20220622'!AS11&lt;&gt;"",UPPER('TRACKER - 20220622'!AS11),"")</f>
        <v>RSC</v>
      </c>
      <c r="AQ10" t="str">
        <f>IF('TRACKER - 20220622'!AT11&lt;&gt;"",UPPER('TRACKER - 20220622'!AT11),"")</f>
        <v>Y</v>
      </c>
      <c r="AR10" t="str">
        <f>IF('TRACKER - 20220622'!AU11&lt;&gt;"",UPPER('TRACKER - 20220622'!AU11),"")</f>
        <v>191.76</v>
      </c>
      <c r="AS10" t="str">
        <f>IF('TRACKER - 20220622'!AV11&lt;&gt;"",UPPER('TRACKER - 20220622'!AV11),"")</f>
        <v/>
      </c>
      <c r="AT10" t="str">
        <f>IF('TRACKER - 20220622'!AW11&lt;&gt;"",UPPER('TRACKER - 20220622'!AW11),"")</f>
        <v>DESCR11</v>
      </c>
      <c r="AU10" t="str">
        <f>IF('TRACKER - 20220622'!AX11&lt;&gt;"",UPPER('TRACKER - 20220622'!AX11),"")</f>
        <v>REASON11</v>
      </c>
      <c r="AV10" t="str">
        <f>IF('TRACKER - 20220622'!BD11&lt;&gt;"",'TRACKER - 20220622'!BD11,"")</f>
        <v/>
      </c>
      <c r="AW10" t="str">
        <f>IF('TRACKER - 20220622'!BE11&lt;&gt;"",'TRACKER - 20220622'!BE11,"")</f>
        <v/>
      </c>
      <c r="AX10" t="str">
        <f>IF('TRACKER - 20220622'!BF11&lt;&gt;"",'TRACKER - 20220622'!BF11,"")</f>
        <v/>
      </c>
      <c r="AY10" t="str">
        <f>IF('TRACKER - 20220622'!BG11&lt;&gt;"",'TRACKER - 20220622'!BG11,"")</f>
        <v/>
      </c>
      <c r="AZ10" t="str">
        <f>IF('TRACKER - 20220622'!BH11&lt;&gt;"",'TRACKER - 20220622'!BH11,"")</f>
        <v/>
      </c>
      <c r="BA10" t="str">
        <f>IF('TRACKER - 20220622'!BI11&lt;&gt;"",'TRACKER - 20220622'!BI11,"")</f>
        <v/>
      </c>
      <c r="BB10" t="str">
        <f>IF('TRACKER - 20220622'!BJ11&lt;&gt;"",'TRACKER - 20220622'!BJ11,"")</f>
        <v/>
      </c>
      <c r="BC10" t="str">
        <f>IF('TRACKER - 20220622'!BK11&lt;&gt;"",'TRACKER - 20220622'!BK11,"")</f>
        <v/>
      </c>
      <c r="BD10" t="str">
        <f>IF('TRACKER - 20220622'!BL11&lt;&gt;"",'TRACKER - 20220622'!BL11,"")</f>
        <v/>
      </c>
      <c r="BE10" t="str">
        <f>IF('TRACKER - 20220622'!BM11&lt;&gt;"",'TRACKER - 20220622'!BM11,"")</f>
        <v/>
      </c>
      <c r="BF10" t="str">
        <f>IF('TRACKER - 20220622'!BN11&lt;&gt;"",'TRACKER - 20220622'!BN11,"")</f>
        <v/>
      </c>
      <c r="BG10" t="str">
        <f>IF('TRACKER - 20220622'!BO11&lt;&gt;"",'TRACKER - 20220622'!BO11,"")</f>
        <v/>
      </c>
    </row>
    <row r="11" spans="1:61">
      <c r="A11" t="str">
        <f>IF('TRACKER - 20220622'!A12&lt;&gt;"",UPPER('TRACKER - 20220622'!A12),"")</f>
        <v>BANK LEUMI</v>
      </c>
      <c r="B11" t="str">
        <f>IF('TRACKER - 20220622'!B12&lt;&gt;"",UPPER('TRACKER - 20220622'!B12),"")</f>
        <v>Y</v>
      </c>
      <c r="C11" t="str">
        <f>IF('TRACKER - 20220622'!D12&lt;&gt;"",UPPER('TRACKER - 20220622'!D12),"")</f>
        <v>6</v>
      </c>
      <c r="D11" t="str">
        <f>IF('TRACKER - 20220622'!F12&lt;&gt;"",UPPER('TRACKER - 20220622'!F12),"")</f>
        <v>LEU-RSC-2020-00006</v>
      </c>
      <c r="E11" t="str">
        <f>IF('TRACKER - 20220622'!H12&lt;&gt;"",'TRACKER - 20220622'!H12,"")</f>
        <v>RSC006 - ChangeRateDeal Source to Refinitiv</v>
      </c>
      <c r="F11" t="str">
        <f t="shared" si="0"/>
        <v>LEU-RSC-2020-00006 RSC006 - ChangeRateDeal Source to Refinitiv</v>
      </c>
      <c r="G11" t="str">
        <f t="shared" si="1"/>
        <v>100006 - RSC006 - ChangeRateDeal Source to Refinitiv</v>
      </c>
      <c r="H11">
        <f>IF('TRACKER - 20220622'!J12&lt;&gt;"",'TRACKER - 20220622'!J12,"")</f>
        <v>7766.28</v>
      </c>
      <c r="I11" t="str">
        <f>IF('TRACKER - 20220622'!K12&lt;&gt;"",UPPER('TRACKER - 20220622'!K12),"")</f>
        <v>44111</v>
      </c>
      <c r="J11" t="str">
        <f>IF('TRACKER - 20220622'!L12&lt;&gt;"",UPPER('TRACKER - 20220622'!L12),"")</f>
        <v>44111</v>
      </c>
      <c r="K11" t="str">
        <f>IF('TRACKER - 20220622'!M12&lt;&gt;"",UPPER('TRACKER - 20220622'!M12),"")</f>
        <v>44111</v>
      </c>
      <c r="L11" t="str">
        <f>IF('TRACKER - 20220622'!N12&lt;&gt;"",UPPER('TRACKER - 20220622'!N12),"")</f>
        <v>44111</v>
      </c>
      <c r="M11" t="str">
        <f>IF('TRACKER - 20220622'!O12&lt;&gt;"",UPPER('TRACKER - 20220622'!O12),"")</f>
        <v/>
      </c>
      <c r="N11" t="str">
        <f>IF('TRACKER - 20220622'!P12&lt;&gt;"",UPPER('TRACKER - 20220622'!P12),"")</f>
        <v/>
      </c>
      <c r="O11" t="str">
        <f>IF('TRACKER - 20220622'!Q12&lt;&gt;"",UPPER('TRACKER - 20220622'!Q12),"")</f>
        <v>N/A</v>
      </c>
      <c r="P11" t="str">
        <f>IF('TRACKER - 20220622'!R12&lt;&gt;"",UPPER('TRACKER - 20220622'!R12),"")</f>
        <v>CLIENT</v>
      </c>
      <c r="Q11" t="str">
        <f>IF('TRACKER - 20220622'!S12&lt;&gt;"",UPPER('TRACKER - 20220622'!S12),"")</f>
        <v/>
      </c>
      <c r="R11" t="str">
        <f>IF('TRACKER - 20220622'!T12&lt;&gt;"",UPPER('TRACKER - 20220622'!T12),"")</f>
        <v/>
      </c>
      <c r="S11" t="str">
        <f>IF('TRACKER - 20220622'!U12&lt;&gt;"",UPPER('TRACKER - 20220622'!U12),"")</f>
        <v/>
      </c>
      <c r="T11" t="str">
        <f>IF('TRACKER - 20220622'!V12&lt;&gt;"",UPPER('TRACKER - 20220622'!V12),"")</f>
        <v/>
      </c>
      <c r="U11" t="str">
        <f>IF('TRACKER - 20220622'!W12&lt;&gt;"",UPPER('TRACKER - 20220622'!W12),"")</f>
        <v/>
      </c>
      <c r="V11" t="str">
        <f>IF('TRACKER - 20220622'!X12&lt;&gt;"",UPPER('TRACKER - 20220622'!X12),"")</f>
        <v>17/11/20 - JL TO CONFIRM IF THIS CAN BE OFFSET AGAINST CREDIT NOTE.</v>
      </c>
      <c r="W11" t="str">
        <f>IF('TRACKER - 20220622'!Y12&lt;&gt;"",UPPER('TRACKER - 20220622'!Y12),"")</f>
        <v>7766.28</v>
      </c>
      <c r="X11" t="str">
        <f>IF('TRACKER - 20220622'!Z12&lt;&gt;"",UPPER('TRACKER - 20220622'!Z12),"")</f>
        <v>0</v>
      </c>
      <c r="Y11" t="str">
        <f>IF('TRACKER - 20220622'!AA12&lt;&gt;"",UPPER('TRACKER - 20220622'!AA12),"")</f>
        <v>2516.85</v>
      </c>
      <c r="Z11" t="str">
        <f>IF('TRACKER - 20220622'!AB12&lt;&gt;"",UPPER('TRACKER - 20220622'!AB12),"")</f>
        <v>1438.2</v>
      </c>
      <c r="AA11" t="str">
        <f>IF('TRACKER - 20220622'!AC12&lt;&gt;"",UPPER('TRACKER - 20220622'!AC12),"")</f>
        <v>1438.2</v>
      </c>
      <c r="AB11" t="str">
        <f>IF('TRACKER - 20220622'!AE12&lt;&gt;"",UPPER('TRACKER - 20220622'!AE12),"")</f>
        <v>1078.65</v>
      </c>
      <c r="AC11" t="str">
        <f>IF('TRACKER - 20220622'!AF12&lt;&gt;"",UPPER('TRACKER - 20220622'!AF12),"")</f>
        <v>6471.9</v>
      </c>
      <c r="AD11" t="str">
        <f>IF('TRACKER - 20220622'!AG12&lt;&gt;"",UPPER('TRACKER - 20220622'!AG12),"")</f>
        <v>1294.38</v>
      </c>
      <c r="AE11" t="str">
        <f>IF('TRACKER - 20220622'!AH12&lt;&gt;"",UPPER('TRACKER - 20220622'!AH12),"")</f>
        <v>191.76</v>
      </c>
      <c r="AF11" t="str">
        <f>IF('TRACKER - 20220622'!AI12&lt;&gt;"",UPPER('TRACKER - 20220622'!AI12),"")</f>
        <v/>
      </c>
      <c r="AG11" t="str">
        <f>IF('TRACKER - 20220622'!AJ12&lt;&gt;"",UPPER('TRACKER - 20220622'!AJ12),"")</f>
        <v>0.2</v>
      </c>
      <c r="AH11" t="str">
        <f>IF('TRACKER - 20220622'!AK12&lt;&gt;"",UPPER('TRACKER - 20220622'!AK12),"")</f>
        <v/>
      </c>
      <c r="AI11" t="str">
        <f>IF('TRACKER - 20220622'!AL12&lt;&gt;"",UPPER('TRACKER - 20220622'!AL12),"")</f>
        <v>1.75</v>
      </c>
      <c r="AJ11" t="str">
        <f>IF('TRACKER - 20220622'!AM12&lt;&gt;"",UPPER('TRACKER - 20220622'!AM12),"")</f>
        <v>1</v>
      </c>
      <c r="AK11" t="str">
        <f>IF('TRACKER - 20220622'!AN12&lt;&gt;"",UPPER('TRACKER - 20220622'!AN12),"")</f>
        <v>1</v>
      </c>
      <c r="AL11" t="str">
        <f>IF('TRACKER - 20220622'!AO12&lt;&gt;"",UPPER('TRACKER - 20220622'!AO12),"")</f>
        <v>0.75</v>
      </c>
      <c r="AM11" t="str">
        <f>IF('TRACKER - 20220622'!AP12&lt;&gt;"",UPPER('TRACKER - 20220622'!AP12),"")</f>
        <v>4.5</v>
      </c>
      <c r="AN11" t="str">
        <f>IF('TRACKER - 20220622'!AQ12&lt;&gt;"",UPPER('TRACKER - 20220622'!AQ12),"")</f>
        <v>0.9</v>
      </c>
      <c r="AO11" t="str">
        <f>IF('TRACKER - 20220622'!AR12&lt;&gt;"",UPPER('TRACKER - 20220622'!AR12),"")</f>
        <v>LEU</v>
      </c>
      <c r="AP11" t="str">
        <f>IF('TRACKER - 20220622'!AS12&lt;&gt;"",UPPER('TRACKER - 20220622'!AS12),"")</f>
        <v>RSC</v>
      </c>
      <c r="AQ11" t="str">
        <f>IF('TRACKER - 20220622'!AT12&lt;&gt;"",UPPER('TRACKER - 20220622'!AT12),"")</f>
        <v>Y</v>
      </c>
      <c r="AR11" t="str">
        <f>IF('TRACKER - 20220622'!AU12&lt;&gt;"",UPPER('TRACKER - 20220622'!AU12),"")</f>
        <v>191.76</v>
      </c>
      <c r="AS11" t="str">
        <f>IF('TRACKER - 20220622'!AV12&lt;&gt;"",UPPER('TRACKER - 20220622'!AV12),"")</f>
        <v/>
      </c>
      <c r="AT11" t="str">
        <f>IF('TRACKER - 20220622'!AW12&lt;&gt;"",UPPER('TRACKER - 20220622'!AW12),"")</f>
        <v>DESCR12</v>
      </c>
      <c r="AU11" t="str">
        <f>IF('TRACKER - 20220622'!AX12&lt;&gt;"",UPPER('TRACKER - 20220622'!AX12),"")</f>
        <v>REASON12</v>
      </c>
      <c r="AV11" t="str">
        <f>IF('TRACKER - 20220622'!BD12&lt;&gt;"",'TRACKER - 20220622'!BD12,"")</f>
        <v/>
      </c>
      <c r="AW11" t="str">
        <f>IF('TRACKER - 20220622'!BE12&lt;&gt;"",'TRACKER - 20220622'!BE12,"")</f>
        <v/>
      </c>
      <c r="AX11" t="str">
        <f>IF('TRACKER - 20220622'!BF12&lt;&gt;"",'TRACKER - 20220622'!BF12,"")</f>
        <v/>
      </c>
      <c r="AY11" t="str">
        <f>IF('TRACKER - 20220622'!BG12&lt;&gt;"",'TRACKER - 20220622'!BG12,"")</f>
        <v/>
      </c>
      <c r="AZ11" t="str">
        <f>IF('TRACKER - 20220622'!BH12&lt;&gt;"",'TRACKER - 20220622'!BH12,"")</f>
        <v/>
      </c>
      <c r="BA11" t="str">
        <f>IF('TRACKER - 20220622'!BI12&lt;&gt;"",'TRACKER - 20220622'!BI12,"")</f>
        <v/>
      </c>
      <c r="BB11" t="str">
        <f>IF('TRACKER - 20220622'!BJ12&lt;&gt;"",'TRACKER - 20220622'!BJ12,"")</f>
        <v/>
      </c>
      <c r="BC11" t="str">
        <f>IF('TRACKER - 20220622'!BK12&lt;&gt;"",'TRACKER - 20220622'!BK12,"")</f>
        <v/>
      </c>
      <c r="BD11" t="str">
        <f>IF('TRACKER - 20220622'!BL12&lt;&gt;"",'TRACKER - 20220622'!BL12,"")</f>
        <v/>
      </c>
      <c r="BE11" t="str">
        <f>IF('TRACKER - 20220622'!BM12&lt;&gt;"",'TRACKER - 20220622'!BM12,"")</f>
        <v/>
      </c>
      <c r="BF11" t="str">
        <f>IF('TRACKER - 20220622'!BN12&lt;&gt;"",'TRACKER - 20220622'!BN12,"")</f>
        <v/>
      </c>
      <c r="BG11" t="str">
        <f>IF('TRACKER - 20220622'!BO12&lt;&gt;"",'TRACKER - 20220622'!BO12,"")</f>
        <v/>
      </c>
    </row>
    <row r="12" spans="1:61">
      <c r="A12" t="str">
        <f>IF('TRACKER - 20220622'!A13&lt;&gt;"",UPPER('TRACKER - 20220622'!A13),"")</f>
        <v>BANK OF IRELAND</v>
      </c>
      <c r="B12" t="str">
        <f>IF('TRACKER - 20220622'!B13&lt;&gt;"",UPPER('TRACKER - 20220622'!B13),"")</f>
        <v>Y</v>
      </c>
      <c r="C12" t="str">
        <f>IF('TRACKER - 20220622'!D13&lt;&gt;"",UPPER('TRACKER - 20220622'!D13),"")</f>
        <v>639</v>
      </c>
      <c r="D12" t="str">
        <f>IF('TRACKER - 20220622'!F13&lt;&gt;"",UPPER('TRACKER - 20220622'!F13),"")</f>
        <v>BOI-RSC-2020-00639</v>
      </c>
      <c r="E12" t="str">
        <f>IF('TRACKER - 20220622'!H13&lt;&gt;"",'TRACKER - 20220622'!H13,"")</f>
        <v>RSC639 - Payment File as CSV</v>
      </c>
      <c r="F12" t="str">
        <f t="shared" si="0"/>
        <v>BOI-RSC-2020-00639 RSC639 - Payment File as CSV</v>
      </c>
      <c r="G12" t="str">
        <f t="shared" si="1"/>
        <v>00639 - RSC639 - Payment File as CSV</v>
      </c>
      <c r="H12">
        <f>IF('TRACKER - 20220622'!J13&lt;&gt;"",'TRACKER - 20220622'!J13,"")</f>
        <v>0</v>
      </c>
      <c r="I12" t="str">
        <f>IF('TRACKER - 20220622'!K13&lt;&gt;"",UPPER('TRACKER - 20220622'!K13),"")</f>
        <v>43972</v>
      </c>
      <c r="J12" t="str">
        <f>IF('TRACKER - 20220622'!L13&lt;&gt;"",UPPER('TRACKER - 20220622'!L13),"")</f>
        <v>43972</v>
      </c>
      <c r="K12" t="str">
        <f>IF('TRACKER - 20220622'!M13&lt;&gt;"",UPPER('TRACKER - 20220622'!M13),"")</f>
        <v/>
      </c>
      <c r="L12" t="str">
        <f>IF('TRACKER - 20220622'!N13&lt;&gt;"",UPPER('TRACKER - 20220622'!N13),"")</f>
        <v/>
      </c>
      <c r="M12" t="str">
        <f>IF('TRACKER - 20220622'!O13&lt;&gt;"",UPPER('TRACKER - 20220622'!O13),"")</f>
        <v/>
      </c>
      <c r="N12" t="str">
        <f>IF('TRACKER - 20220622'!P13&lt;&gt;"",UPPER('TRACKER - 20220622'!P13),"")</f>
        <v>43950</v>
      </c>
      <c r="O12" t="str">
        <f>IF('TRACKER - 20220622'!Q13&lt;&gt;"",UPPER('TRACKER - 20220622'!Q13),"")</f>
        <v>EPAYMENTS</v>
      </c>
      <c r="P12" t="str">
        <f>IF('TRACKER - 20220622'!R13&lt;&gt;"",UPPER('TRACKER - 20220622'!R13),"")</f>
        <v>CLIENT</v>
      </c>
      <c r="Q12" t="str">
        <f>IF('TRACKER - 20220622'!S13&lt;&gt;"",UPPER('TRACKER - 20220622'!S13),"")</f>
        <v/>
      </c>
      <c r="R12" t="str">
        <f>IF('TRACKER - 20220622'!T13&lt;&gt;"",UPPER('TRACKER - 20220622'!T13),"")</f>
        <v/>
      </c>
      <c r="S12" t="str">
        <f>IF('TRACKER - 20220622'!U13&lt;&gt;"",UPPER('TRACKER - 20220622'!U13),"")</f>
        <v/>
      </c>
      <c r="T12" t="str">
        <f>IF('TRACKER - 20220622'!V13&lt;&gt;"",UPPER('TRACKER - 20220622'!V13),"")</f>
        <v/>
      </c>
      <c r="U12" t="str">
        <f>IF('TRACKER - 20220622'!W13&lt;&gt;"",UPPER('TRACKER - 20220622'!W13),"")</f>
        <v/>
      </c>
      <c r="V12" t="str">
        <f>IF('TRACKER - 20220622'!X13&lt;&gt;"",UPPER('TRACKER - 20220622'!X13),"")</f>
        <v>21/05/20 - REJECTED BY CLIENT, GOING WITH A IN-HOUSE SOLUTION. 
MT REQUESTED MORE INFORMATION ON REASON FROM BS.</v>
      </c>
      <c r="W12" t="str">
        <f>IF('TRACKER - 20220622'!Y13&lt;&gt;"",UPPER('TRACKER - 20220622'!Y13),"")</f>
        <v>0</v>
      </c>
      <c r="X12" t="str">
        <f>IF('TRACKER - 20220622'!Z13&lt;&gt;"",UPPER('TRACKER - 20220622'!Z13),"")</f>
        <v>0</v>
      </c>
      <c r="Y12" t="str">
        <f>IF('TRACKER - 20220622'!AA13&lt;&gt;"",UPPER('TRACKER - 20220622'!AA13),"")</f>
        <v>0</v>
      </c>
      <c r="Z12" t="str">
        <f>IF('TRACKER - 20220622'!AB13&lt;&gt;"",UPPER('TRACKER - 20220622'!AB13),"")</f>
        <v>0</v>
      </c>
      <c r="AA12" t="str">
        <f>IF('TRACKER - 20220622'!AC13&lt;&gt;"",UPPER('TRACKER - 20220622'!AC13),"")</f>
        <v>0</v>
      </c>
      <c r="AB12" t="str">
        <f>IF('TRACKER - 20220622'!AE13&lt;&gt;"",UPPER('TRACKER - 20220622'!AE13),"")</f>
        <v>0</v>
      </c>
      <c r="AC12" t="str">
        <f>IF('TRACKER - 20220622'!AF13&lt;&gt;"",UPPER('TRACKER - 20220622'!AF13),"")</f>
        <v>0</v>
      </c>
      <c r="AD12" t="str">
        <f>IF('TRACKER - 20220622'!AG13&lt;&gt;"",UPPER('TRACKER - 20220622'!AG13),"")</f>
        <v>0</v>
      </c>
      <c r="AE12" t="str">
        <f>IF('TRACKER - 20220622'!AH13&lt;&gt;"",UPPER('TRACKER - 20220622'!AH13),"")</f>
        <v>197.7</v>
      </c>
      <c r="AF12" t="str">
        <f>IF('TRACKER - 20220622'!AI13&lt;&gt;"",UPPER('TRACKER - 20220622'!AI13),"")</f>
        <v/>
      </c>
      <c r="AG12" t="str">
        <f>IF('TRACKER - 20220622'!AJ13&lt;&gt;"",UPPER('TRACKER - 20220622'!AJ13),"")</f>
        <v>0.2</v>
      </c>
      <c r="AH12" t="str">
        <f>IF('TRACKER - 20220622'!AK13&lt;&gt;"",UPPER('TRACKER - 20220622'!AK13),"")</f>
        <v/>
      </c>
      <c r="AI12" t="str">
        <f>IF('TRACKER - 20220622'!AL13&lt;&gt;"",UPPER('TRACKER - 20220622'!AL13),"")</f>
        <v>0</v>
      </c>
      <c r="AJ12" t="str">
        <f>IF('TRACKER - 20220622'!AM13&lt;&gt;"",UPPER('TRACKER - 20220622'!AM13),"")</f>
        <v>0</v>
      </c>
      <c r="AK12" t="str">
        <f>IF('TRACKER - 20220622'!AN13&lt;&gt;"",UPPER('TRACKER - 20220622'!AN13),"")</f>
        <v/>
      </c>
      <c r="AL12" t="str">
        <f>IF('TRACKER - 20220622'!AO13&lt;&gt;"",UPPER('TRACKER - 20220622'!AO13),"")</f>
        <v>0</v>
      </c>
      <c r="AM12" t="str">
        <f>IF('TRACKER - 20220622'!AP13&lt;&gt;"",UPPER('TRACKER - 20220622'!AP13),"")</f>
        <v>0</v>
      </c>
      <c r="AN12" t="str">
        <f>IF('TRACKER - 20220622'!AQ13&lt;&gt;"",UPPER('TRACKER - 20220622'!AQ13),"")</f>
        <v>0</v>
      </c>
      <c r="AO12" t="str">
        <f>IF('TRACKER - 20220622'!AR13&lt;&gt;"",UPPER('TRACKER - 20220622'!AR13),"")</f>
        <v>BOI</v>
      </c>
      <c r="AP12" t="str">
        <f>IF('TRACKER - 20220622'!AS13&lt;&gt;"",UPPER('TRACKER - 20220622'!AS13),"")</f>
        <v>RSC</v>
      </c>
      <c r="AQ12" t="str">
        <f>IF('TRACKER - 20220622'!AT13&lt;&gt;"",UPPER('TRACKER - 20220622'!AT13),"")</f>
        <v>Y</v>
      </c>
      <c r="AR12" t="str">
        <f>IF('TRACKER - 20220622'!AU13&lt;&gt;"",UPPER('TRACKER - 20220622'!AU13),"")</f>
        <v>197.7</v>
      </c>
      <c r="AS12" t="str">
        <f>IF('TRACKER - 20220622'!AV13&lt;&gt;"",UPPER('TRACKER - 20220622'!AV13),"")</f>
        <v/>
      </c>
      <c r="AT12" t="str">
        <f>IF('TRACKER - 20220622'!AW13&lt;&gt;"",UPPER('TRACKER - 20220622'!AW13),"")</f>
        <v>DESCR13</v>
      </c>
      <c r="AU12" t="str">
        <f>IF('TRACKER - 20220622'!AX13&lt;&gt;"",UPPER('TRACKER - 20220622'!AX13),"")</f>
        <v>REASON13</v>
      </c>
      <c r="AV12" t="str">
        <f>IF('TRACKER - 20220622'!BD13&lt;&gt;"",'TRACKER - 20220622'!BD13,"")</f>
        <v/>
      </c>
      <c r="AW12" t="str">
        <f>IF('TRACKER - 20220622'!BE13&lt;&gt;"",'TRACKER - 20220622'!BE13,"")</f>
        <v/>
      </c>
      <c r="AX12" t="str">
        <f>IF('TRACKER - 20220622'!BF13&lt;&gt;"",'TRACKER - 20220622'!BF13,"")</f>
        <v/>
      </c>
      <c r="AY12" t="str">
        <f>IF('TRACKER - 20220622'!BG13&lt;&gt;"",'TRACKER - 20220622'!BG13,"")</f>
        <v/>
      </c>
      <c r="AZ12" t="str">
        <f>IF('TRACKER - 20220622'!BH13&lt;&gt;"",'TRACKER - 20220622'!BH13,"")</f>
        <v/>
      </c>
      <c r="BA12" t="str">
        <f>IF('TRACKER - 20220622'!BI13&lt;&gt;"",'TRACKER - 20220622'!BI13,"")</f>
        <v/>
      </c>
      <c r="BB12" t="str">
        <f>IF('TRACKER - 20220622'!BJ13&lt;&gt;"",'TRACKER - 20220622'!BJ13,"")</f>
        <v/>
      </c>
      <c r="BC12" t="str">
        <f>IF('TRACKER - 20220622'!BK13&lt;&gt;"",'TRACKER - 20220622'!BK13,"")</f>
        <v/>
      </c>
      <c r="BD12" t="str">
        <f>IF('TRACKER - 20220622'!BL13&lt;&gt;"",'TRACKER - 20220622'!BL13,"")</f>
        <v/>
      </c>
      <c r="BE12" t="str">
        <f>IF('TRACKER - 20220622'!BM13&lt;&gt;"",'TRACKER - 20220622'!BM13,"")</f>
        <v/>
      </c>
      <c r="BF12" t="str">
        <f>IF('TRACKER - 20220622'!BN13&lt;&gt;"",'TRACKER - 20220622'!BN13,"")</f>
        <v/>
      </c>
      <c r="BG12" t="str">
        <f>IF('TRACKER - 20220622'!BO13&lt;&gt;"",'TRACKER - 20220622'!BO13,"")</f>
        <v/>
      </c>
    </row>
    <row r="13" spans="1:61">
      <c r="A13" t="str">
        <f>IF('TRACKER - 20220622'!A14&lt;&gt;"",UPPER('TRACKER - 20220622'!A14),"")</f>
        <v>BANK OF IRELAND</v>
      </c>
      <c r="B13" t="str">
        <f>IF('TRACKER - 20220622'!B14&lt;&gt;"",UPPER('TRACKER - 20220622'!B14),"")</f>
        <v>Y</v>
      </c>
      <c r="C13" t="str">
        <f>IF('TRACKER - 20220622'!D14&lt;&gt;"",UPPER('TRACKER - 20220622'!D14),"")</f>
        <v>636</v>
      </c>
      <c r="D13" t="str">
        <f>IF('TRACKER - 20220622'!F14&lt;&gt;"",UPPER('TRACKER - 20220622'!F14),"")</f>
        <v>BOI-RSC-2020-00636</v>
      </c>
      <c r="E13" t="str">
        <f>IF('TRACKER - 20220622'!H14&lt;&gt;"",'TRACKER - 20220622'!H14,"")</f>
        <v>RSC636 - FXPay Upgrade</v>
      </c>
      <c r="F13" t="str">
        <f t="shared" si="0"/>
        <v>BOI-RSC-2020-00636 RSC636 - FXPay Upgrade</v>
      </c>
      <c r="G13" t="str">
        <f t="shared" si="1"/>
        <v>00636 - RSC636 - FXPay Upgrade</v>
      </c>
      <c r="H13">
        <f>IF('TRACKER - 20220622'!J14&lt;&gt;"",'TRACKER - 20220622'!J14,"")</f>
        <v>0</v>
      </c>
      <c r="I13" t="str">
        <f>IF('TRACKER - 20220622'!K14&lt;&gt;"",UPPER('TRACKER - 20220622'!K14),"")</f>
        <v>43966</v>
      </c>
      <c r="J13" t="str">
        <f>IF('TRACKER - 20220622'!L14&lt;&gt;"",UPPER('TRACKER - 20220622'!L14),"")</f>
        <v>43966</v>
      </c>
      <c r="K13" t="str">
        <f>IF('TRACKER - 20220622'!M14&lt;&gt;"",UPPER('TRACKER - 20220622'!M14),"")</f>
        <v/>
      </c>
      <c r="L13" t="str">
        <f>IF('TRACKER - 20220622'!N14&lt;&gt;"",UPPER('TRACKER - 20220622'!N14),"")</f>
        <v/>
      </c>
      <c r="M13" t="str">
        <f>IF('TRACKER - 20220622'!O14&lt;&gt;"",UPPER('TRACKER - 20220622'!O14),"")</f>
        <v/>
      </c>
      <c r="N13" t="str">
        <f>IF('TRACKER - 20220622'!P14&lt;&gt;"",UPPER('TRACKER - 20220622'!P14),"")</f>
        <v/>
      </c>
      <c r="O13" t="str">
        <f>IF('TRACKER - 20220622'!Q14&lt;&gt;"",UPPER('TRACKER - 20220622'!Q14),"")</f>
        <v>EPAYMENTS</v>
      </c>
      <c r="P13" t="str">
        <f>IF('TRACKER - 20220622'!R14&lt;&gt;"",UPPER('TRACKER - 20220622'!R14),"")</f>
        <v>CLIENT</v>
      </c>
      <c r="Q13" t="str">
        <f>IF('TRACKER - 20220622'!S14&lt;&gt;"",UPPER('TRACKER - 20220622'!S14),"")</f>
        <v/>
      </c>
      <c r="R13" t="str">
        <f>IF('TRACKER - 20220622'!T14&lt;&gt;"",UPPER('TRACKER - 20220622'!T14),"")</f>
        <v/>
      </c>
      <c r="S13" t="str">
        <f>IF('TRACKER - 20220622'!U14&lt;&gt;"",UPPER('TRACKER - 20220622'!U14),"")</f>
        <v/>
      </c>
      <c r="T13" t="str">
        <f>IF('TRACKER - 20220622'!V14&lt;&gt;"",UPPER('TRACKER - 20220622'!V14),"")</f>
        <v/>
      </c>
      <c r="U13" t="str">
        <f>IF('TRACKER - 20220622'!W14&lt;&gt;"",UPPER('TRACKER - 20220622'!W14),"")</f>
        <v/>
      </c>
      <c r="V13" t="str">
        <f>IF('TRACKER - 20220622'!X14&lt;&gt;"",UPPER('TRACKER - 20220622'!X14),"")</f>
        <v>12/05/20 - REQUESTED CONTACT/BACKGROUND INFO FROM BS</v>
      </c>
      <c r="W13" t="str">
        <f>IF('TRACKER - 20220622'!Y14&lt;&gt;"",UPPER('TRACKER - 20220622'!Y14),"")</f>
        <v>0</v>
      </c>
      <c r="X13" t="str">
        <f>IF('TRACKER - 20220622'!Z14&lt;&gt;"",UPPER('TRACKER - 20220622'!Z14),"")</f>
        <v>0</v>
      </c>
      <c r="Y13" t="str">
        <f>IF('TRACKER - 20220622'!AA14&lt;&gt;"",UPPER('TRACKER - 20220622'!AA14),"")</f>
        <v>0</v>
      </c>
      <c r="Z13" t="str">
        <f>IF('TRACKER - 20220622'!AB14&lt;&gt;"",UPPER('TRACKER - 20220622'!AB14),"")</f>
        <v>0</v>
      </c>
      <c r="AA13" t="str">
        <f>IF('TRACKER - 20220622'!AC14&lt;&gt;"",UPPER('TRACKER - 20220622'!AC14),"")</f>
        <v>0</v>
      </c>
      <c r="AB13" t="str">
        <f>IF('TRACKER - 20220622'!AE14&lt;&gt;"",UPPER('TRACKER - 20220622'!AE14),"")</f>
        <v>0</v>
      </c>
      <c r="AC13" t="str">
        <f>IF('TRACKER - 20220622'!AF14&lt;&gt;"",UPPER('TRACKER - 20220622'!AF14),"")</f>
        <v>0</v>
      </c>
      <c r="AD13" t="str">
        <f>IF('TRACKER - 20220622'!AG14&lt;&gt;"",UPPER('TRACKER - 20220622'!AG14),"")</f>
        <v>0</v>
      </c>
      <c r="AE13" t="str">
        <f>IF('TRACKER - 20220622'!AH14&lt;&gt;"",UPPER('TRACKER - 20220622'!AH14),"")</f>
        <v>197.7</v>
      </c>
      <c r="AF13" t="str">
        <f>IF('TRACKER - 20220622'!AI14&lt;&gt;"",UPPER('TRACKER - 20220622'!AI14),"")</f>
        <v/>
      </c>
      <c r="AG13" t="str">
        <f>IF('TRACKER - 20220622'!AJ14&lt;&gt;"",UPPER('TRACKER - 20220622'!AJ14),"")</f>
        <v>0.2</v>
      </c>
      <c r="AH13" t="str">
        <f>IF('TRACKER - 20220622'!AK14&lt;&gt;"",UPPER('TRACKER - 20220622'!AK14),"")</f>
        <v/>
      </c>
      <c r="AI13" t="str">
        <f>IF('TRACKER - 20220622'!AL14&lt;&gt;"",UPPER('TRACKER - 20220622'!AL14),"")</f>
        <v>0</v>
      </c>
      <c r="AJ13" t="str">
        <f>IF('TRACKER - 20220622'!AM14&lt;&gt;"",UPPER('TRACKER - 20220622'!AM14),"")</f>
        <v>0</v>
      </c>
      <c r="AK13" t="str">
        <f>IF('TRACKER - 20220622'!AN14&lt;&gt;"",UPPER('TRACKER - 20220622'!AN14),"")</f>
        <v/>
      </c>
      <c r="AL13" t="str">
        <f>IF('TRACKER - 20220622'!AO14&lt;&gt;"",UPPER('TRACKER - 20220622'!AO14),"")</f>
        <v>0</v>
      </c>
      <c r="AM13" t="str">
        <f>IF('TRACKER - 20220622'!AP14&lt;&gt;"",UPPER('TRACKER - 20220622'!AP14),"")</f>
        <v>0</v>
      </c>
      <c r="AN13" t="str">
        <f>IF('TRACKER - 20220622'!AQ14&lt;&gt;"",UPPER('TRACKER - 20220622'!AQ14),"")</f>
        <v>0</v>
      </c>
      <c r="AO13" t="str">
        <f>IF('TRACKER - 20220622'!AR14&lt;&gt;"",UPPER('TRACKER - 20220622'!AR14),"")</f>
        <v>BOI</v>
      </c>
      <c r="AP13" t="str">
        <f>IF('TRACKER - 20220622'!AS14&lt;&gt;"",UPPER('TRACKER - 20220622'!AS14),"")</f>
        <v>RSC</v>
      </c>
      <c r="AQ13" t="str">
        <f>IF('TRACKER - 20220622'!AT14&lt;&gt;"",UPPER('TRACKER - 20220622'!AT14),"")</f>
        <v>Y</v>
      </c>
      <c r="AR13" t="str">
        <f>IF('TRACKER - 20220622'!AU14&lt;&gt;"",UPPER('TRACKER - 20220622'!AU14),"")</f>
        <v>197.7</v>
      </c>
      <c r="AS13" t="str">
        <f>IF('TRACKER - 20220622'!AV14&lt;&gt;"",UPPER('TRACKER - 20220622'!AV14),"")</f>
        <v/>
      </c>
      <c r="AT13" t="str">
        <f>IF('TRACKER - 20220622'!AW14&lt;&gt;"",UPPER('TRACKER - 20220622'!AW14),"")</f>
        <v>DESCR14</v>
      </c>
      <c r="AU13" t="str">
        <f>IF('TRACKER - 20220622'!AX14&lt;&gt;"",UPPER('TRACKER - 20220622'!AX14),"")</f>
        <v>REASON14</v>
      </c>
      <c r="AV13" t="str">
        <f>IF('TRACKER - 20220622'!BD14&lt;&gt;"",'TRACKER - 20220622'!BD14,"")</f>
        <v/>
      </c>
      <c r="AW13" t="str">
        <f>IF('TRACKER - 20220622'!BE14&lt;&gt;"",'TRACKER - 20220622'!BE14,"")</f>
        <v/>
      </c>
      <c r="AX13" t="str">
        <f>IF('TRACKER - 20220622'!BF14&lt;&gt;"",'TRACKER - 20220622'!BF14,"")</f>
        <v/>
      </c>
      <c r="AY13" t="str">
        <f>IF('TRACKER - 20220622'!BG14&lt;&gt;"",'TRACKER - 20220622'!BG14,"")</f>
        <v/>
      </c>
      <c r="AZ13" t="str">
        <f>IF('TRACKER - 20220622'!BH14&lt;&gt;"",'TRACKER - 20220622'!BH14,"")</f>
        <v/>
      </c>
      <c r="BA13" t="str">
        <f>IF('TRACKER - 20220622'!BI14&lt;&gt;"",'TRACKER - 20220622'!BI14,"")</f>
        <v/>
      </c>
      <c r="BB13" t="str">
        <f>IF('TRACKER - 20220622'!BJ14&lt;&gt;"",'TRACKER - 20220622'!BJ14,"")</f>
        <v/>
      </c>
      <c r="BC13" t="str">
        <f>IF('TRACKER - 20220622'!BK14&lt;&gt;"",'TRACKER - 20220622'!BK14,"")</f>
        <v/>
      </c>
      <c r="BD13" t="str">
        <f>IF('TRACKER - 20220622'!BL14&lt;&gt;"",'TRACKER - 20220622'!BL14,"")</f>
        <v/>
      </c>
      <c r="BE13" t="str">
        <f>IF('TRACKER - 20220622'!BM14&lt;&gt;"",'TRACKER - 20220622'!BM14,"")</f>
        <v/>
      </c>
      <c r="BF13" t="str">
        <f>IF('TRACKER - 20220622'!BN14&lt;&gt;"",'TRACKER - 20220622'!BN14,"")</f>
        <v/>
      </c>
      <c r="BG13" t="str">
        <f>IF('TRACKER - 20220622'!BO14&lt;&gt;"",'TRACKER - 20220622'!BO14,"")</f>
        <v/>
      </c>
    </row>
    <row r="14" spans="1:61">
      <c r="A14" t="str">
        <f>IF('TRACKER - 20220622'!A15&lt;&gt;"",UPPER('TRACKER - 20220622'!A15),"")</f>
        <v>BANK OF IRELAND</v>
      </c>
      <c r="B14" t="str">
        <f>IF('TRACKER - 20220622'!B15&lt;&gt;"",UPPER('TRACKER - 20220622'!B15),"")</f>
        <v>Y</v>
      </c>
      <c r="C14" t="str">
        <f>IF('TRACKER - 20220622'!D15&lt;&gt;"",UPPER('TRACKER - 20220622'!D15),"")</f>
        <v/>
      </c>
      <c r="D14" t="str">
        <f>IF('TRACKER - 20220622'!F15&lt;&gt;"",UPPER('TRACKER - 20220622'!F15),"")</f>
        <v>BOI-RSC-2020-00000</v>
      </c>
      <c r="E14" t="str">
        <f>IF('TRACKER - 20220622'!H15&lt;&gt;"",'TRACKER - 20220622'!H15,"")</f>
        <v>RelGateway to DataWarehouse feed</v>
      </c>
      <c r="F14" t="str">
        <f t="shared" si="0"/>
        <v>BOI-RSC-2020-00000 RelGateway to DataWarehouse feed</v>
      </c>
      <c r="G14" t="str">
        <f t="shared" si="1"/>
        <v xml:space="preserve"> - RelGateway to DataWarehouse feed</v>
      </c>
      <c r="H14">
        <f>IF('TRACKER - 20220622'!J15&lt;&gt;"",'TRACKER - 20220622'!J15,"")</f>
        <v>0</v>
      </c>
      <c r="I14" t="str">
        <f>IF('TRACKER - 20220622'!K15&lt;&gt;"",UPPER('TRACKER - 20220622'!K15),"")</f>
        <v>43966</v>
      </c>
      <c r="J14" t="str">
        <f>IF('TRACKER - 20220622'!L15&lt;&gt;"",UPPER('TRACKER - 20220622'!L15),"")</f>
        <v>43966</v>
      </c>
      <c r="K14" t="str">
        <f>IF('TRACKER - 20220622'!M15&lt;&gt;"",UPPER('TRACKER - 20220622'!M15),"")</f>
        <v/>
      </c>
      <c r="L14" t="str">
        <f>IF('TRACKER - 20220622'!N15&lt;&gt;"",UPPER('TRACKER - 20220622'!N15),"")</f>
        <v/>
      </c>
      <c r="M14" t="str">
        <f>IF('TRACKER - 20220622'!O15&lt;&gt;"",UPPER('TRACKER - 20220622'!O15),"")</f>
        <v/>
      </c>
      <c r="N14" t="str">
        <f>IF('TRACKER - 20220622'!P15&lt;&gt;"",UPPER('TRACKER - 20220622'!P15),"")</f>
        <v/>
      </c>
      <c r="O14" t="str">
        <f>IF('TRACKER - 20220622'!Q15&lt;&gt;"",UPPER('TRACKER - 20220622'!Q15),"")</f>
        <v>PLATFORM</v>
      </c>
      <c r="P14" t="str">
        <f>IF('TRACKER - 20220622'!R15&lt;&gt;"",UPPER('TRACKER - 20220622'!R15),"")</f>
        <v>CLIENT</v>
      </c>
      <c r="Q14" t="str">
        <f>IF('TRACKER - 20220622'!S15&lt;&gt;"",UPPER('TRACKER - 20220622'!S15),"")</f>
        <v/>
      </c>
      <c r="R14" t="str">
        <f>IF('TRACKER - 20220622'!T15&lt;&gt;"",UPPER('TRACKER - 20220622'!T15),"")</f>
        <v/>
      </c>
      <c r="S14" t="str">
        <f>IF('TRACKER - 20220622'!U15&lt;&gt;"",UPPER('TRACKER - 20220622'!U15),"")</f>
        <v/>
      </c>
      <c r="T14" t="str">
        <f>IF('TRACKER - 20220622'!V15&lt;&gt;"",UPPER('TRACKER - 20220622'!V15),"")</f>
        <v/>
      </c>
      <c r="U14" t="str">
        <f>IF('TRACKER - 20220622'!W15&lt;&gt;"",UPPER('TRACKER - 20220622'!W15),"")</f>
        <v/>
      </c>
      <c r="V14" t="str">
        <f>IF('TRACKER - 20220622'!X15&lt;&gt;"",UPPER('TRACKER - 20220622'!X15),"")</f>
        <v>15/05/20 - POTENTIAL WORK IDENTIFIES DURING DISCUSSION WITH PAT MCD.</v>
      </c>
      <c r="W14" t="str">
        <f>IF('TRACKER - 20220622'!Y15&lt;&gt;"",UPPER('TRACKER - 20220622'!Y15),"")</f>
        <v>0</v>
      </c>
      <c r="X14" t="str">
        <f>IF('TRACKER - 20220622'!Z15&lt;&gt;"",UPPER('TRACKER - 20220622'!Z15),"")</f>
        <v>0</v>
      </c>
      <c r="Y14" t="str">
        <f>IF('TRACKER - 20220622'!AA15&lt;&gt;"",UPPER('TRACKER - 20220622'!AA15),"")</f>
        <v>0</v>
      </c>
      <c r="Z14" t="str">
        <f>IF('TRACKER - 20220622'!AB15&lt;&gt;"",UPPER('TRACKER - 20220622'!AB15),"")</f>
        <v>0</v>
      </c>
      <c r="AA14" t="str">
        <f>IF('TRACKER - 20220622'!AC15&lt;&gt;"",UPPER('TRACKER - 20220622'!AC15),"")</f>
        <v>0</v>
      </c>
      <c r="AB14" t="str">
        <f>IF('TRACKER - 20220622'!AE15&lt;&gt;"",UPPER('TRACKER - 20220622'!AE15),"")</f>
        <v>0</v>
      </c>
      <c r="AC14" t="str">
        <f>IF('TRACKER - 20220622'!AF15&lt;&gt;"",UPPER('TRACKER - 20220622'!AF15),"")</f>
        <v>0</v>
      </c>
      <c r="AD14" t="str">
        <f>IF('TRACKER - 20220622'!AG15&lt;&gt;"",UPPER('TRACKER - 20220622'!AG15),"")</f>
        <v>0</v>
      </c>
      <c r="AE14" t="str">
        <f>IF('TRACKER - 20220622'!AH15&lt;&gt;"",UPPER('TRACKER - 20220622'!AH15),"")</f>
        <v>197.7</v>
      </c>
      <c r="AF14" t="str">
        <f>IF('TRACKER - 20220622'!AI15&lt;&gt;"",UPPER('TRACKER - 20220622'!AI15),"")</f>
        <v/>
      </c>
      <c r="AG14" t="str">
        <f>IF('TRACKER - 20220622'!AJ15&lt;&gt;"",UPPER('TRACKER - 20220622'!AJ15),"")</f>
        <v>0.2</v>
      </c>
      <c r="AH14" t="str">
        <f>IF('TRACKER - 20220622'!AK15&lt;&gt;"",UPPER('TRACKER - 20220622'!AK15),"")</f>
        <v/>
      </c>
      <c r="AI14" t="str">
        <f>IF('TRACKER - 20220622'!AL15&lt;&gt;"",UPPER('TRACKER - 20220622'!AL15),"")</f>
        <v>0</v>
      </c>
      <c r="AJ14" t="str">
        <f>IF('TRACKER - 20220622'!AM15&lt;&gt;"",UPPER('TRACKER - 20220622'!AM15),"")</f>
        <v>0</v>
      </c>
      <c r="AK14" t="str">
        <f>IF('TRACKER - 20220622'!AN15&lt;&gt;"",UPPER('TRACKER - 20220622'!AN15),"")</f>
        <v/>
      </c>
      <c r="AL14" t="str">
        <f>IF('TRACKER - 20220622'!AO15&lt;&gt;"",UPPER('TRACKER - 20220622'!AO15),"")</f>
        <v>0</v>
      </c>
      <c r="AM14" t="str">
        <f>IF('TRACKER - 20220622'!AP15&lt;&gt;"",UPPER('TRACKER - 20220622'!AP15),"")</f>
        <v>0</v>
      </c>
      <c r="AN14" t="str">
        <f>IF('TRACKER - 20220622'!AQ15&lt;&gt;"",UPPER('TRACKER - 20220622'!AQ15),"")</f>
        <v>0</v>
      </c>
      <c r="AO14" t="str">
        <f>IF('TRACKER - 20220622'!AR15&lt;&gt;"",UPPER('TRACKER - 20220622'!AR15),"")</f>
        <v>BOI</v>
      </c>
      <c r="AP14" t="str">
        <f>IF('TRACKER - 20220622'!AS15&lt;&gt;"",UPPER('TRACKER - 20220622'!AS15),"")</f>
        <v>RSC</v>
      </c>
      <c r="AQ14" t="str">
        <f>IF('TRACKER - 20220622'!AT15&lt;&gt;"",UPPER('TRACKER - 20220622'!AT15),"")</f>
        <v>Y</v>
      </c>
      <c r="AR14" t="str">
        <f>IF('TRACKER - 20220622'!AU15&lt;&gt;"",UPPER('TRACKER - 20220622'!AU15),"")</f>
        <v>197.7</v>
      </c>
      <c r="AS14" t="str">
        <f>IF('TRACKER - 20220622'!AV15&lt;&gt;"",UPPER('TRACKER - 20220622'!AV15),"")</f>
        <v/>
      </c>
      <c r="AT14" t="str">
        <f>IF('TRACKER - 20220622'!AW15&lt;&gt;"",UPPER('TRACKER - 20220622'!AW15),"")</f>
        <v>DESCR15</v>
      </c>
      <c r="AU14" t="str">
        <f>IF('TRACKER - 20220622'!AX15&lt;&gt;"",UPPER('TRACKER - 20220622'!AX15),"")</f>
        <v>REASON15</v>
      </c>
      <c r="AV14" t="str">
        <f>IF('TRACKER - 20220622'!BD15&lt;&gt;"",'TRACKER - 20220622'!BD15,"")</f>
        <v/>
      </c>
      <c r="AW14" t="str">
        <f>IF('TRACKER - 20220622'!BE15&lt;&gt;"",'TRACKER - 20220622'!BE15,"")</f>
        <v/>
      </c>
      <c r="AX14" t="str">
        <f>IF('TRACKER - 20220622'!BF15&lt;&gt;"",'TRACKER - 20220622'!BF15,"")</f>
        <v/>
      </c>
      <c r="AY14" t="str">
        <f>IF('TRACKER - 20220622'!BG15&lt;&gt;"",'TRACKER - 20220622'!BG15,"")</f>
        <v/>
      </c>
      <c r="AZ14" t="str">
        <f>IF('TRACKER - 20220622'!BH15&lt;&gt;"",'TRACKER - 20220622'!BH15,"")</f>
        <v/>
      </c>
      <c r="BA14" t="str">
        <f>IF('TRACKER - 20220622'!BI15&lt;&gt;"",'TRACKER - 20220622'!BI15,"")</f>
        <v/>
      </c>
      <c r="BB14" t="str">
        <f>IF('TRACKER - 20220622'!BJ15&lt;&gt;"",'TRACKER - 20220622'!BJ15,"")</f>
        <v/>
      </c>
      <c r="BC14" t="str">
        <f>IF('TRACKER - 20220622'!BK15&lt;&gt;"",'TRACKER - 20220622'!BK15,"")</f>
        <v/>
      </c>
      <c r="BD14" t="str">
        <f>IF('TRACKER - 20220622'!BL15&lt;&gt;"",'TRACKER - 20220622'!BL15,"")</f>
        <v/>
      </c>
      <c r="BE14" t="str">
        <f>IF('TRACKER - 20220622'!BM15&lt;&gt;"",'TRACKER - 20220622'!BM15,"")</f>
        <v/>
      </c>
      <c r="BF14" t="str">
        <f>IF('TRACKER - 20220622'!BN15&lt;&gt;"",'TRACKER - 20220622'!BN15,"")</f>
        <v/>
      </c>
      <c r="BG14" t="str">
        <f>IF('TRACKER - 20220622'!BO15&lt;&gt;"",'TRACKER - 20220622'!BO15,"")</f>
        <v/>
      </c>
    </row>
    <row r="15" spans="1:61">
      <c r="A15" t="str">
        <f>IF('TRACKER - 20220622'!A16&lt;&gt;"",UPPER('TRACKER - 20220622'!A16),"")</f>
        <v>BANK OF IRELAND</v>
      </c>
      <c r="B15" t="str">
        <f>IF('TRACKER - 20220622'!B16&lt;&gt;"",UPPER('TRACKER - 20220622'!B16),"")</f>
        <v>Y</v>
      </c>
      <c r="C15" t="str">
        <f>IF('TRACKER - 20220622'!D16&lt;&gt;"",UPPER('TRACKER - 20220622'!D16),"")</f>
        <v>646</v>
      </c>
      <c r="D15" t="str">
        <f>IF('TRACKER - 20220622'!F16&lt;&gt;"",UPPER('TRACKER - 20220622'!F16),"")</f>
        <v>BOI-RSC-2020-00646</v>
      </c>
      <c r="E15" t="str">
        <f>IF('TRACKER - 20220622'!H16&lt;&gt;"",'TRACKER - 20220622'!H16,"")</f>
        <v xml:space="preserve">RSC646 - Extending No. Currencies </v>
      </c>
      <c r="F15" t="str">
        <f t="shared" si="0"/>
        <v xml:space="preserve">BOI-RSC-2020-00646 RSC646 - Extending No. Currencies </v>
      </c>
      <c r="G15" t="str">
        <f t="shared" si="1"/>
        <v xml:space="preserve">00646 - RSC646 - Extending No. Currencies </v>
      </c>
      <c r="H15">
        <f>IF('TRACKER - 20220622'!J16&lt;&gt;"",'TRACKER - 20220622'!J16,"")</f>
        <v>0</v>
      </c>
      <c r="I15" t="str">
        <f>IF('TRACKER - 20220622'!K16&lt;&gt;"",UPPER('TRACKER - 20220622'!K16),"")</f>
        <v>43966</v>
      </c>
      <c r="J15" t="str">
        <f>IF('TRACKER - 20220622'!L16&lt;&gt;"",UPPER('TRACKER - 20220622'!L16),"")</f>
        <v>43966</v>
      </c>
      <c r="K15" t="str">
        <f>IF('TRACKER - 20220622'!M16&lt;&gt;"",UPPER('TRACKER - 20220622'!M16),"")</f>
        <v/>
      </c>
      <c r="L15" t="str">
        <f>IF('TRACKER - 20220622'!N16&lt;&gt;"",UPPER('TRACKER - 20220622'!N16),"")</f>
        <v/>
      </c>
      <c r="M15" t="str">
        <f>IF('TRACKER - 20220622'!O16&lt;&gt;"",UPPER('TRACKER - 20220622'!O16),"")</f>
        <v/>
      </c>
      <c r="N15" t="str">
        <f>IF('TRACKER - 20220622'!P16&lt;&gt;"",UPPER('TRACKER - 20220622'!P16),"")</f>
        <v/>
      </c>
      <c r="O15" t="str">
        <f>IF('TRACKER - 20220622'!Q16&lt;&gt;"",UPPER('TRACKER - 20220622'!Q16),"")</f>
        <v>N/A</v>
      </c>
      <c r="P15" t="str">
        <f>IF('TRACKER - 20220622'!R16&lt;&gt;"",UPPER('TRACKER - 20220622'!R16),"")</f>
        <v>CLIENT</v>
      </c>
      <c r="Q15" t="str">
        <f>IF('TRACKER - 20220622'!S16&lt;&gt;"",UPPER('TRACKER - 20220622'!S16),"")</f>
        <v/>
      </c>
      <c r="R15" t="str">
        <f>IF('TRACKER - 20220622'!T16&lt;&gt;"",UPPER('TRACKER - 20220622'!T16),"")</f>
        <v/>
      </c>
      <c r="S15" t="str">
        <f>IF('TRACKER - 20220622'!U16&lt;&gt;"",UPPER('TRACKER - 20220622'!U16),"")</f>
        <v/>
      </c>
      <c r="T15" t="str">
        <f>IF('TRACKER - 20220622'!V16&lt;&gt;"",UPPER('TRACKER - 20220622'!V16),"")</f>
        <v/>
      </c>
      <c r="U15" t="str">
        <f>IF('TRACKER - 20220622'!W16&lt;&gt;"",UPPER('TRACKER - 20220622'!W16),"")</f>
        <v/>
      </c>
      <c r="V15" t="str">
        <f>IF('TRACKER - 20220622'!X16&lt;&gt;"",UPPER('TRACKER - 20220622'!X16),"")</f>
        <v>15/05/20 - POTENTIAL WORK IDENTIFIES DURING DISCUSSION WITH PAT MCD.</v>
      </c>
      <c r="W15" t="str">
        <f>IF('TRACKER - 20220622'!Y16&lt;&gt;"",UPPER('TRACKER - 20220622'!Y16),"")</f>
        <v>0</v>
      </c>
      <c r="X15" t="str">
        <f>IF('TRACKER - 20220622'!Z16&lt;&gt;"",UPPER('TRACKER - 20220622'!Z16),"")</f>
        <v>0</v>
      </c>
      <c r="Y15" t="str">
        <f>IF('TRACKER - 20220622'!AA16&lt;&gt;"",UPPER('TRACKER - 20220622'!AA16),"")</f>
        <v>0</v>
      </c>
      <c r="Z15" t="str">
        <f>IF('TRACKER - 20220622'!AB16&lt;&gt;"",UPPER('TRACKER - 20220622'!AB16),"")</f>
        <v>0</v>
      </c>
      <c r="AA15" t="str">
        <f>IF('TRACKER - 20220622'!AC16&lt;&gt;"",UPPER('TRACKER - 20220622'!AC16),"")</f>
        <v>0</v>
      </c>
      <c r="AB15" t="str">
        <f>IF('TRACKER - 20220622'!AE16&lt;&gt;"",UPPER('TRACKER - 20220622'!AE16),"")</f>
        <v>0</v>
      </c>
      <c r="AC15" t="str">
        <f>IF('TRACKER - 20220622'!AF16&lt;&gt;"",UPPER('TRACKER - 20220622'!AF16),"")</f>
        <v>0</v>
      </c>
      <c r="AD15" t="str">
        <f>IF('TRACKER - 20220622'!AG16&lt;&gt;"",UPPER('TRACKER - 20220622'!AG16),"")</f>
        <v>0</v>
      </c>
      <c r="AE15" t="str">
        <f>IF('TRACKER - 20220622'!AH16&lt;&gt;"",UPPER('TRACKER - 20220622'!AH16),"")</f>
        <v>197.7</v>
      </c>
      <c r="AF15" t="str">
        <f>IF('TRACKER - 20220622'!AI16&lt;&gt;"",UPPER('TRACKER - 20220622'!AI16),"")</f>
        <v/>
      </c>
      <c r="AG15" t="str">
        <f>IF('TRACKER - 20220622'!AJ16&lt;&gt;"",UPPER('TRACKER - 20220622'!AJ16),"")</f>
        <v>0.2</v>
      </c>
      <c r="AH15" t="str">
        <f>IF('TRACKER - 20220622'!AK16&lt;&gt;"",UPPER('TRACKER - 20220622'!AK16),"")</f>
        <v/>
      </c>
      <c r="AI15" t="str">
        <f>IF('TRACKER - 20220622'!AL16&lt;&gt;"",UPPER('TRACKER - 20220622'!AL16),"")</f>
        <v>0</v>
      </c>
      <c r="AJ15" t="str">
        <f>IF('TRACKER - 20220622'!AM16&lt;&gt;"",UPPER('TRACKER - 20220622'!AM16),"")</f>
        <v>0</v>
      </c>
      <c r="AK15" t="str">
        <f>IF('TRACKER - 20220622'!AN16&lt;&gt;"",UPPER('TRACKER - 20220622'!AN16),"")</f>
        <v/>
      </c>
      <c r="AL15" t="str">
        <f>IF('TRACKER - 20220622'!AO16&lt;&gt;"",UPPER('TRACKER - 20220622'!AO16),"")</f>
        <v>0</v>
      </c>
      <c r="AM15" t="str">
        <f>IF('TRACKER - 20220622'!AP16&lt;&gt;"",UPPER('TRACKER - 20220622'!AP16),"")</f>
        <v>0</v>
      </c>
      <c r="AN15" t="str">
        <f>IF('TRACKER - 20220622'!AQ16&lt;&gt;"",UPPER('TRACKER - 20220622'!AQ16),"")</f>
        <v>0</v>
      </c>
      <c r="AO15" t="str">
        <f>IF('TRACKER - 20220622'!AR16&lt;&gt;"",UPPER('TRACKER - 20220622'!AR16),"")</f>
        <v>BOI</v>
      </c>
      <c r="AP15" t="str">
        <f>IF('TRACKER - 20220622'!AS16&lt;&gt;"",UPPER('TRACKER - 20220622'!AS16),"")</f>
        <v>RSC</v>
      </c>
      <c r="AQ15" t="str">
        <f>IF('TRACKER - 20220622'!AT16&lt;&gt;"",UPPER('TRACKER - 20220622'!AT16),"")</f>
        <v>Y</v>
      </c>
      <c r="AR15" t="str">
        <f>IF('TRACKER - 20220622'!AU16&lt;&gt;"",UPPER('TRACKER - 20220622'!AU16),"")</f>
        <v>197.7</v>
      </c>
      <c r="AS15" t="str">
        <f>IF('TRACKER - 20220622'!AV16&lt;&gt;"",UPPER('TRACKER - 20220622'!AV16),"")</f>
        <v/>
      </c>
      <c r="AT15" t="str">
        <f>IF('TRACKER - 20220622'!AW16&lt;&gt;"",UPPER('TRACKER - 20220622'!AW16),"")</f>
        <v>DESCR16</v>
      </c>
      <c r="AU15" t="str">
        <f>IF('TRACKER - 20220622'!AX16&lt;&gt;"",UPPER('TRACKER - 20220622'!AX16),"")</f>
        <v>REASON16</v>
      </c>
      <c r="AV15" t="str">
        <f>IF('TRACKER - 20220622'!BD16&lt;&gt;"",'TRACKER - 20220622'!BD16,"")</f>
        <v/>
      </c>
      <c r="AW15" t="str">
        <f>IF('TRACKER - 20220622'!BE16&lt;&gt;"",'TRACKER - 20220622'!BE16,"")</f>
        <v/>
      </c>
      <c r="AX15" t="str">
        <f>IF('TRACKER - 20220622'!BF16&lt;&gt;"",'TRACKER - 20220622'!BF16,"")</f>
        <v/>
      </c>
      <c r="AY15" t="str">
        <f>IF('TRACKER - 20220622'!BG16&lt;&gt;"",'TRACKER - 20220622'!BG16,"")</f>
        <v/>
      </c>
      <c r="AZ15" t="str">
        <f>IF('TRACKER - 20220622'!BH16&lt;&gt;"",'TRACKER - 20220622'!BH16,"")</f>
        <v/>
      </c>
      <c r="BA15" t="str">
        <f>IF('TRACKER - 20220622'!BI16&lt;&gt;"",'TRACKER - 20220622'!BI16,"")</f>
        <v/>
      </c>
      <c r="BB15" t="str">
        <f>IF('TRACKER - 20220622'!BJ16&lt;&gt;"",'TRACKER - 20220622'!BJ16,"")</f>
        <v/>
      </c>
      <c r="BC15" t="str">
        <f>IF('TRACKER - 20220622'!BK16&lt;&gt;"",'TRACKER - 20220622'!BK16,"")</f>
        <v/>
      </c>
      <c r="BD15" t="str">
        <f>IF('TRACKER - 20220622'!BL16&lt;&gt;"",'TRACKER - 20220622'!BL16,"")</f>
        <v/>
      </c>
      <c r="BE15" t="str">
        <f>IF('TRACKER - 20220622'!BM16&lt;&gt;"",'TRACKER - 20220622'!BM16,"")</f>
        <v/>
      </c>
      <c r="BF15" t="str">
        <f>IF('TRACKER - 20220622'!BN16&lt;&gt;"",'TRACKER - 20220622'!BN16,"")</f>
        <v/>
      </c>
      <c r="BG15" t="str">
        <f>IF('TRACKER - 20220622'!BO16&lt;&gt;"",'TRACKER - 20220622'!BO16,"")</f>
        <v/>
      </c>
    </row>
    <row r="16" spans="1:61">
      <c r="A16" t="str">
        <f>IF('TRACKER - 20220622'!A17&lt;&gt;"",UPPER('TRACKER - 20220622'!A17),"")</f>
        <v>BANK OF IRELAND</v>
      </c>
      <c r="B16" t="str">
        <f>IF('TRACKER - 20220622'!B17&lt;&gt;"",UPPER('TRACKER - 20220622'!B17),"")</f>
        <v>Y</v>
      </c>
      <c r="C16" t="str">
        <f>IF('TRACKER - 20220622'!D17&lt;&gt;"",UPPER('TRACKER - 20220622'!D17),"")</f>
        <v/>
      </c>
      <c r="D16" t="str">
        <f>IF('TRACKER - 20220622'!F17&lt;&gt;"",UPPER('TRACKER - 20220622'!F17),"")</f>
        <v>BOI-RSC-2020-00000</v>
      </c>
      <c r="E16" t="str">
        <f>IF('TRACKER - 20220622'!H17&lt;&gt;"",'TRACKER - 20220622'!H17,"")</f>
        <v>Additional MI reporting in Siena</v>
      </c>
      <c r="F16" t="str">
        <f t="shared" si="0"/>
        <v>BOI-RSC-2020-00000 Additional MI reporting in Siena</v>
      </c>
      <c r="G16" t="str">
        <f t="shared" si="1"/>
        <v xml:space="preserve"> - Additional MI reporting in Siena</v>
      </c>
      <c r="H16">
        <f>IF('TRACKER - 20220622'!J17&lt;&gt;"",'TRACKER - 20220622'!J17,"")</f>
        <v>0</v>
      </c>
      <c r="I16" t="str">
        <f>IF('TRACKER - 20220622'!K17&lt;&gt;"",UPPER('TRACKER - 20220622'!K17),"")</f>
        <v>43966</v>
      </c>
      <c r="J16" t="str">
        <f>IF('TRACKER - 20220622'!L17&lt;&gt;"",UPPER('TRACKER - 20220622'!L17),"")</f>
        <v>43966</v>
      </c>
      <c r="K16" t="str">
        <f>IF('TRACKER - 20220622'!M17&lt;&gt;"",UPPER('TRACKER - 20220622'!M17),"")</f>
        <v/>
      </c>
      <c r="L16" t="str">
        <f>IF('TRACKER - 20220622'!N17&lt;&gt;"",UPPER('TRACKER - 20220622'!N17),"")</f>
        <v/>
      </c>
      <c r="M16" t="str">
        <f>IF('TRACKER - 20220622'!O17&lt;&gt;"",UPPER('TRACKER - 20220622'!O17),"")</f>
        <v/>
      </c>
      <c r="N16" t="str">
        <f>IF('TRACKER - 20220622'!P17&lt;&gt;"",UPPER('TRACKER - 20220622'!P17),"")</f>
        <v/>
      </c>
      <c r="O16" t="str">
        <f>IF('TRACKER - 20220622'!Q17&lt;&gt;"",UPPER('TRACKER - 20220622'!Q17),"")</f>
        <v>PLATFORM</v>
      </c>
      <c r="P16" t="str">
        <f>IF('TRACKER - 20220622'!R17&lt;&gt;"",UPPER('TRACKER - 20220622'!R17),"")</f>
        <v>CLIENT</v>
      </c>
      <c r="Q16" t="str">
        <f>IF('TRACKER - 20220622'!S17&lt;&gt;"",UPPER('TRACKER - 20220622'!S17),"")</f>
        <v/>
      </c>
      <c r="R16" t="str">
        <f>IF('TRACKER - 20220622'!T17&lt;&gt;"",UPPER('TRACKER - 20220622'!T17),"")</f>
        <v/>
      </c>
      <c r="S16" t="str">
        <f>IF('TRACKER - 20220622'!U17&lt;&gt;"",UPPER('TRACKER - 20220622'!U17),"")</f>
        <v/>
      </c>
      <c r="T16" t="str">
        <f>IF('TRACKER - 20220622'!V17&lt;&gt;"",UPPER('TRACKER - 20220622'!V17),"")</f>
        <v/>
      </c>
      <c r="U16" t="str">
        <f>IF('TRACKER - 20220622'!W17&lt;&gt;"",UPPER('TRACKER - 20220622'!W17),"")</f>
        <v/>
      </c>
      <c r="V16" t="str">
        <f>IF('TRACKER - 20220622'!X17&lt;&gt;"",UPPER('TRACKER - 20220622'!X17),"")</f>
        <v>15/05/20 - POTENTIAL WORK IDENTIFIES DURING DISCUSSION WITH PAT MCD.</v>
      </c>
      <c r="W16" t="str">
        <f>IF('TRACKER - 20220622'!Y17&lt;&gt;"",UPPER('TRACKER - 20220622'!Y17),"")</f>
        <v>0</v>
      </c>
      <c r="X16" t="str">
        <f>IF('TRACKER - 20220622'!Z17&lt;&gt;"",UPPER('TRACKER - 20220622'!Z17),"")</f>
        <v>0</v>
      </c>
      <c r="Y16" t="str">
        <f>IF('TRACKER - 20220622'!AA17&lt;&gt;"",UPPER('TRACKER - 20220622'!AA17),"")</f>
        <v>0</v>
      </c>
      <c r="Z16" t="str">
        <f>IF('TRACKER - 20220622'!AB17&lt;&gt;"",UPPER('TRACKER - 20220622'!AB17),"")</f>
        <v>0</v>
      </c>
      <c r="AA16" t="str">
        <f>IF('TRACKER - 20220622'!AC17&lt;&gt;"",UPPER('TRACKER - 20220622'!AC17),"")</f>
        <v>0</v>
      </c>
      <c r="AB16" t="str">
        <f>IF('TRACKER - 20220622'!AE17&lt;&gt;"",UPPER('TRACKER - 20220622'!AE17),"")</f>
        <v>0</v>
      </c>
      <c r="AC16" t="str">
        <f>IF('TRACKER - 20220622'!AF17&lt;&gt;"",UPPER('TRACKER - 20220622'!AF17),"")</f>
        <v>0</v>
      </c>
      <c r="AD16" t="str">
        <f>IF('TRACKER - 20220622'!AG17&lt;&gt;"",UPPER('TRACKER - 20220622'!AG17),"")</f>
        <v>0</v>
      </c>
      <c r="AE16" t="str">
        <f>IF('TRACKER - 20220622'!AH17&lt;&gt;"",UPPER('TRACKER - 20220622'!AH17),"")</f>
        <v>197.7</v>
      </c>
      <c r="AF16" t="str">
        <f>IF('TRACKER - 20220622'!AI17&lt;&gt;"",UPPER('TRACKER - 20220622'!AI17),"")</f>
        <v/>
      </c>
      <c r="AG16" t="str">
        <f>IF('TRACKER - 20220622'!AJ17&lt;&gt;"",UPPER('TRACKER - 20220622'!AJ17),"")</f>
        <v>0.2</v>
      </c>
      <c r="AH16" t="str">
        <f>IF('TRACKER - 20220622'!AK17&lt;&gt;"",UPPER('TRACKER - 20220622'!AK17),"")</f>
        <v/>
      </c>
      <c r="AI16" t="str">
        <f>IF('TRACKER - 20220622'!AL17&lt;&gt;"",UPPER('TRACKER - 20220622'!AL17),"")</f>
        <v>0</v>
      </c>
      <c r="AJ16" t="str">
        <f>IF('TRACKER - 20220622'!AM17&lt;&gt;"",UPPER('TRACKER - 20220622'!AM17),"")</f>
        <v>0</v>
      </c>
      <c r="AK16" t="str">
        <f>IF('TRACKER - 20220622'!AN17&lt;&gt;"",UPPER('TRACKER - 20220622'!AN17),"")</f>
        <v/>
      </c>
      <c r="AL16" t="str">
        <f>IF('TRACKER - 20220622'!AO17&lt;&gt;"",UPPER('TRACKER - 20220622'!AO17),"")</f>
        <v>0</v>
      </c>
      <c r="AM16" t="str">
        <f>IF('TRACKER - 20220622'!AP17&lt;&gt;"",UPPER('TRACKER - 20220622'!AP17),"")</f>
        <v>0</v>
      </c>
      <c r="AN16" t="str">
        <f>IF('TRACKER - 20220622'!AQ17&lt;&gt;"",UPPER('TRACKER - 20220622'!AQ17),"")</f>
        <v>0</v>
      </c>
      <c r="AO16" t="str">
        <f>IF('TRACKER - 20220622'!AR17&lt;&gt;"",UPPER('TRACKER - 20220622'!AR17),"")</f>
        <v>BOI</v>
      </c>
      <c r="AP16" t="str">
        <f>IF('TRACKER - 20220622'!AS17&lt;&gt;"",UPPER('TRACKER - 20220622'!AS17),"")</f>
        <v>RSC</v>
      </c>
      <c r="AQ16" t="str">
        <f>IF('TRACKER - 20220622'!AT17&lt;&gt;"",UPPER('TRACKER - 20220622'!AT17),"")</f>
        <v>Y</v>
      </c>
      <c r="AR16" t="str">
        <f>IF('TRACKER - 20220622'!AU17&lt;&gt;"",UPPER('TRACKER - 20220622'!AU17),"")</f>
        <v>197.7</v>
      </c>
      <c r="AS16" t="str">
        <f>IF('TRACKER - 20220622'!AV17&lt;&gt;"",UPPER('TRACKER - 20220622'!AV17),"")</f>
        <v/>
      </c>
      <c r="AT16" t="str">
        <f>IF('TRACKER - 20220622'!AW17&lt;&gt;"",UPPER('TRACKER - 20220622'!AW17),"")</f>
        <v>DESCR17</v>
      </c>
      <c r="AU16" t="str">
        <f>IF('TRACKER - 20220622'!AX17&lt;&gt;"",UPPER('TRACKER - 20220622'!AX17),"")</f>
        <v>REASON17</v>
      </c>
      <c r="AV16" t="str">
        <f>IF('TRACKER - 20220622'!BD17&lt;&gt;"",'TRACKER - 20220622'!BD17,"")</f>
        <v/>
      </c>
      <c r="AW16" t="str">
        <f>IF('TRACKER - 20220622'!BE17&lt;&gt;"",'TRACKER - 20220622'!BE17,"")</f>
        <v/>
      </c>
      <c r="AX16" t="str">
        <f>IF('TRACKER - 20220622'!BF17&lt;&gt;"",'TRACKER - 20220622'!BF17,"")</f>
        <v/>
      </c>
      <c r="AY16" t="str">
        <f>IF('TRACKER - 20220622'!BG17&lt;&gt;"",'TRACKER - 20220622'!BG17,"")</f>
        <v/>
      </c>
      <c r="AZ16" t="str">
        <f>IF('TRACKER - 20220622'!BH17&lt;&gt;"",'TRACKER - 20220622'!BH17,"")</f>
        <v/>
      </c>
      <c r="BA16" t="str">
        <f>IF('TRACKER - 20220622'!BI17&lt;&gt;"",'TRACKER - 20220622'!BI17,"")</f>
        <v/>
      </c>
      <c r="BB16" t="str">
        <f>IF('TRACKER - 20220622'!BJ17&lt;&gt;"",'TRACKER - 20220622'!BJ17,"")</f>
        <v/>
      </c>
      <c r="BC16" t="str">
        <f>IF('TRACKER - 20220622'!BK17&lt;&gt;"",'TRACKER - 20220622'!BK17,"")</f>
        <v/>
      </c>
      <c r="BD16" t="str">
        <f>IF('TRACKER - 20220622'!BL17&lt;&gt;"",'TRACKER - 20220622'!BL17,"")</f>
        <v/>
      </c>
      <c r="BE16" t="str">
        <f>IF('TRACKER - 20220622'!BM17&lt;&gt;"",'TRACKER - 20220622'!BM17,"")</f>
        <v/>
      </c>
      <c r="BF16" t="str">
        <f>IF('TRACKER - 20220622'!BN17&lt;&gt;"",'TRACKER - 20220622'!BN17,"")</f>
        <v/>
      </c>
      <c r="BG16" t="str">
        <f>IF('TRACKER - 20220622'!BO17&lt;&gt;"",'TRACKER - 20220622'!BO17,"")</f>
        <v/>
      </c>
    </row>
    <row r="17" spans="1:59">
      <c r="A17" t="str">
        <f>IF('TRACKER - 20220622'!A18&lt;&gt;"",UPPER('TRACKER - 20220622'!A18),"")</f>
        <v>BANK OF IRELAND</v>
      </c>
      <c r="B17" t="str">
        <f>IF('TRACKER - 20220622'!B18&lt;&gt;"",UPPER('TRACKER - 20220622'!B18),"")</f>
        <v>Y</v>
      </c>
      <c r="C17" t="str">
        <f>IF('TRACKER - 20220622'!D18&lt;&gt;"",UPPER('TRACKER - 20220622'!D18),"")</f>
        <v>641</v>
      </c>
      <c r="D17" t="str">
        <f>IF('TRACKER - 20220622'!F18&lt;&gt;"",UPPER('TRACKER - 20220622'!F18),"")</f>
        <v>BOI-RSC-2020-00641</v>
      </c>
      <c r="E17" t="str">
        <f>IF('TRACKER - 20220622'!H18&lt;&gt;"",'TRACKER - 20220622'!H18,"")</f>
        <v xml:space="preserve">RSC641 – Fraud Transaction Monitoring Report </v>
      </c>
      <c r="F17" t="str">
        <f t="shared" si="0"/>
        <v xml:space="preserve">BOI-RSC-2020-00641 RSC641 – Fraud Transaction Monitoring Report </v>
      </c>
      <c r="G17" t="str">
        <f t="shared" si="1"/>
        <v xml:space="preserve">00641 - RSC641 – Fraud Transaction Monitoring Report </v>
      </c>
      <c r="H17">
        <f>IF('TRACKER - 20220622'!J18&lt;&gt;"",'TRACKER - 20220622'!J18,"")</f>
        <v>4447</v>
      </c>
      <c r="I17" t="str">
        <f>IF('TRACKER - 20220622'!K18&lt;&gt;"",UPPER('TRACKER - 20220622'!K18),"")</f>
        <v>44115</v>
      </c>
      <c r="J17" t="str">
        <f>IF('TRACKER - 20220622'!L18&lt;&gt;"",UPPER('TRACKER - 20220622'!L18),"")</f>
        <v>44113</v>
      </c>
      <c r="K17" t="str">
        <f>IF('TRACKER - 20220622'!M18&lt;&gt;"",UPPER('TRACKER - 20220622'!M18),"")</f>
        <v>44113</v>
      </c>
      <c r="L17" t="str">
        <f>IF('TRACKER - 20220622'!N18&lt;&gt;"",UPPER('TRACKER - 20220622'!N18),"")</f>
        <v>44115</v>
      </c>
      <c r="M17" t="str">
        <f>IF('TRACKER - 20220622'!O18&lt;&gt;"",UPPER('TRACKER - 20220622'!O18),"")</f>
        <v/>
      </c>
      <c r="N17" t="str">
        <f>IF('TRACKER - 20220622'!P18&lt;&gt;"",UPPER('TRACKER - 20220622'!P18),"")</f>
        <v/>
      </c>
      <c r="O17" t="str">
        <f>IF('TRACKER - 20220622'!Q18&lt;&gt;"",UPPER('TRACKER - 20220622'!Q18),"")</f>
        <v>PLATFORM</v>
      </c>
      <c r="P17" t="str">
        <f>IF('TRACKER - 20220622'!R18&lt;&gt;"",UPPER('TRACKER - 20220622'!R18),"")</f>
        <v>CLIENT</v>
      </c>
      <c r="Q17" t="str">
        <f>IF('TRACKER - 20220622'!S18&lt;&gt;"",UPPER('TRACKER - 20220622'!S18),"")</f>
        <v/>
      </c>
      <c r="R17" t="str">
        <f>IF('TRACKER - 20220622'!T18&lt;&gt;"",UPPER('TRACKER - 20220622'!T18),"")</f>
        <v/>
      </c>
      <c r="S17" t="str">
        <f>IF('TRACKER - 20220622'!U18&lt;&gt;"",UPPER('TRACKER - 20220622'!U18),"")</f>
        <v/>
      </c>
      <c r="T17" t="str">
        <f>IF('TRACKER - 20220622'!V18&lt;&gt;"",UPPER('TRACKER - 20220622'!V18),"")</f>
        <v/>
      </c>
      <c r="U17" t="str">
        <f>IF('TRACKER - 20220622'!W18&lt;&gt;"",UPPER('TRACKER - 20220622'!W18),"")</f>
        <v/>
      </c>
      <c r="V17" t="str">
        <f>IF('TRACKER - 20220622'!X18&lt;&gt;"",UPPER('TRACKER - 20220622'!X18),"")</f>
        <v>27/10/20 - BS TO UPDATE WITH DATE SENT. APPROVED BY CLIENT</v>
      </c>
      <c r="W17" t="str">
        <f>IF('TRACKER - 20220622'!Y18&lt;&gt;"",UPPER('TRACKER - 20220622'!Y18),"")</f>
        <v>4447</v>
      </c>
      <c r="X17" t="str">
        <f>IF('TRACKER - 20220622'!Z18&lt;&gt;"",UPPER('TRACKER - 20220622'!Z18),"")</f>
        <v>0</v>
      </c>
      <c r="Y17" t="str">
        <f>IF('TRACKER - 20220622'!AA18&lt;&gt;"",UPPER('TRACKER - 20220622'!AA18),"")</f>
        <v>2224</v>
      </c>
      <c r="Z17" t="str">
        <f>IF('TRACKER - 20220622'!AB18&lt;&gt;"",UPPER('TRACKER - 20220622'!AB18),"")</f>
        <v>741</v>
      </c>
      <c r="AA17" t="str">
        <f>IF('TRACKER - 20220622'!AC18&lt;&gt;"",UPPER('TRACKER - 20220622'!AC18),"")</f>
        <v>0</v>
      </c>
      <c r="AB17" t="str">
        <f>IF('TRACKER - 20220622'!AE18&lt;&gt;"",UPPER('TRACKER - 20220622'!AE18),"")</f>
        <v>741</v>
      </c>
      <c r="AC17" t="str">
        <f>IF('TRACKER - 20220622'!AF18&lt;&gt;"",UPPER('TRACKER - 20220622'!AF18),"")</f>
        <v>3706</v>
      </c>
      <c r="AD17" t="str">
        <f>IF('TRACKER - 20220622'!AG18&lt;&gt;"",UPPER('TRACKER - 20220622'!AG18),"")</f>
        <v>741</v>
      </c>
      <c r="AE17" t="str">
        <f>IF('TRACKER - 20220622'!AH18&lt;&gt;"",UPPER('TRACKER - 20220622'!AH18),"")</f>
        <v>197.7</v>
      </c>
      <c r="AF17" t="str">
        <f>IF('TRACKER - 20220622'!AI18&lt;&gt;"",UPPER('TRACKER - 20220622'!AI18),"")</f>
        <v/>
      </c>
      <c r="AG17" t="str">
        <f>IF('TRACKER - 20220622'!AJ18&lt;&gt;"",UPPER('TRACKER - 20220622'!AJ18),"")</f>
        <v>0.2</v>
      </c>
      <c r="AH17" t="str">
        <f>IF('TRACKER - 20220622'!AK18&lt;&gt;"",UPPER('TRACKER - 20220622'!AK18),"")</f>
        <v/>
      </c>
      <c r="AI17" t="str">
        <f>IF('TRACKER - 20220622'!AL18&lt;&gt;"",UPPER('TRACKER - 20220622'!AL18),"")</f>
        <v>1.5</v>
      </c>
      <c r="AJ17" t="str">
        <f>IF('TRACKER - 20220622'!AM18&lt;&gt;"",UPPER('TRACKER - 20220622'!AM18),"")</f>
        <v>0.5</v>
      </c>
      <c r="AK17" t="str">
        <f>IF('TRACKER - 20220622'!AN18&lt;&gt;"",UPPER('TRACKER - 20220622'!AN18),"")</f>
        <v/>
      </c>
      <c r="AL17" t="str">
        <f>IF('TRACKER - 20220622'!AO18&lt;&gt;"",UPPER('TRACKER - 20220622'!AO18),"")</f>
        <v>0.5</v>
      </c>
      <c r="AM17" t="str">
        <f>IF('TRACKER - 20220622'!AP18&lt;&gt;"",UPPER('TRACKER - 20220622'!AP18),"")</f>
        <v>2.5</v>
      </c>
      <c r="AN17" t="str">
        <f>IF('TRACKER - 20220622'!AQ18&lt;&gt;"",UPPER('TRACKER - 20220622'!AQ18),"")</f>
        <v>0.5</v>
      </c>
      <c r="AO17" t="str">
        <f>IF('TRACKER - 20220622'!AR18&lt;&gt;"",UPPER('TRACKER - 20220622'!AR18),"")</f>
        <v>BOI</v>
      </c>
      <c r="AP17" t="str">
        <f>IF('TRACKER - 20220622'!AS18&lt;&gt;"",UPPER('TRACKER - 20220622'!AS18),"")</f>
        <v>RSC</v>
      </c>
      <c r="AQ17" t="str">
        <f>IF('TRACKER - 20220622'!AT18&lt;&gt;"",UPPER('TRACKER - 20220622'!AT18),"")</f>
        <v>Y</v>
      </c>
      <c r="AR17" t="str">
        <f>IF('TRACKER - 20220622'!AU18&lt;&gt;"",UPPER('TRACKER - 20220622'!AU18),"")</f>
        <v>197.7</v>
      </c>
      <c r="AS17" t="str">
        <f>IF('TRACKER - 20220622'!AV18&lt;&gt;"",UPPER('TRACKER - 20220622'!AV18),"")</f>
        <v/>
      </c>
      <c r="AT17" t="str">
        <f>IF('TRACKER - 20220622'!AW18&lt;&gt;"",UPPER('TRACKER - 20220622'!AW18),"")</f>
        <v>DESCR18</v>
      </c>
      <c r="AU17" t="str">
        <f>IF('TRACKER - 20220622'!AX18&lt;&gt;"",UPPER('TRACKER - 20220622'!AX18),"")</f>
        <v>REASON18</v>
      </c>
      <c r="AV17" t="str">
        <f>IF('TRACKER - 20220622'!BD18&lt;&gt;"",'TRACKER - 20220622'!BD18,"")</f>
        <v/>
      </c>
      <c r="AW17" t="str">
        <f>IF('TRACKER - 20220622'!BE18&lt;&gt;"",'TRACKER - 20220622'!BE18,"")</f>
        <v/>
      </c>
      <c r="AX17" t="str">
        <f>IF('TRACKER - 20220622'!BF18&lt;&gt;"",'TRACKER - 20220622'!BF18,"")</f>
        <v/>
      </c>
      <c r="AY17" t="str">
        <f>IF('TRACKER - 20220622'!BG18&lt;&gt;"",'TRACKER - 20220622'!BG18,"")</f>
        <v/>
      </c>
      <c r="AZ17" t="str">
        <f>IF('TRACKER - 20220622'!BH18&lt;&gt;"",'TRACKER - 20220622'!BH18,"")</f>
        <v/>
      </c>
      <c r="BA17" t="str">
        <f>IF('TRACKER - 20220622'!BI18&lt;&gt;"",'TRACKER - 20220622'!BI18,"")</f>
        <v/>
      </c>
      <c r="BB17" t="str">
        <f>IF('TRACKER - 20220622'!BJ18&lt;&gt;"",'TRACKER - 20220622'!BJ18,"")</f>
        <v/>
      </c>
      <c r="BC17" t="str">
        <f>IF('TRACKER - 20220622'!BK18&lt;&gt;"",'TRACKER - 20220622'!BK18,"")</f>
        <v/>
      </c>
      <c r="BD17" t="str">
        <f>IF('TRACKER - 20220622'!BL18&lt;&gt;"",'TRACKER - 20220622'!BL18,"")</f>
        <v/>
      </c>
      <c r="BE17" t="str">
        <f>IF('TRACKER - 20220622'!BM18&lt;&gt;"",'TRACKER - 20220622'!BM18,"")</f>
        <v/>
      </c>
      <c r="BF17" t="str">
        <f>IF('TRACKER - 20220622'!BN18&lt;&gt;"",'TRACKER - 20220622'!BN18,"")</f>
        <v/>
      </c>
      <c r="BG17" t="str">
        <f>IF('TRACKER - 20220622'!BO18&lt;&gt;"",'TRACKER - 20220622'!BO18,"")</f>
        <v/>
      </c>
    </row>
    <row r="18" spans="1:59">
      <c r="A18" t="str">
        <f>IF('TRACKER - 20220622'!A19&lt;&gt;"",UPPER('TRACKER - 20220622'!A19),"")</f>
        <v>BANK OF IRELAND</v>
      </c>
      <c r="B18" t="str">
        <f>IF('TRACKER - 20220622'!B19&lt;&gt;"",UPPER('TRACKER - 20220622'!B19),"")</f>
        <v>Y</v>
      </c>
      <c r="C18" t="str">
        <f>IF('TRACKER - 20220622'!D19&lt;&gt;"",UPPER('TRACKER - 20220622'!D19),"")</f>
        <v>642</v>
      </c>
      <c r="D18" t="str">
        <f>IF('TRACKER - 20220622'!F19&lt;&gt;"",UPPER('TRACKER - 20220622'!F19),"")</f>
        <v>BOI-RSC-2020-00642</v>
      </c>
      <c r="E18" t="str">
        <f>IF('TRACKER - 20220622'!H19&lt;&gt;"",'TRACKER - 20220622'!H19,"")</f>
        <v xml:space="preserve">RSC642 - Teardrop Change </v>
      </c>
      <c r="F18" t="str">
        <f t="shared" si="0"/>
        <v xml:space="preserve">BOI-RSC-2020-00642 RSC642 - Teardrop Change </v>
      </c>
      <c r="G18" t="str">
        <f t="shared" si="1"/>
        <v xml:space="preserve">00642 - RSC642 - Teardrop Change </v>
      </c>
      <c r="H18">
        <f>IF('TRACKER - 20220622'!J19&lt;&gt;"",'TRACKER - 20220622'!J19,"")</f>
        <v>5337.9</v>
      </c>
      <c r="I18" t="str">
        <f>IF('TRACKER - 20220622'!K19&lt;&gt;"",UPPER('TRACKER - 20220622'!K19),"")</f>
        <v>44118</v>
      </c>
      <c r="J18" t="str">
        <f>IF('TRACKER - 20220622'!L19&lt;&gt;"",UPPER('TRACKER - 20220622'!L19),"")</f>
        <v>44116</v>
      </c>
      <c r="K18" t="str">
        <f>IF('TRACKER - 20220622'!M19&lt;&gt;"",UPPER('TRACKER - 20220622'!M19),"")</f>
        <v/>
      </c>
      <c r="L18" t="str">
        <f>IF('TRACKER - 20220622'!N19&lt;&gt;"",UPPER('TRACKER - 20220622'!N19),"")</f>
        <v/>
      </c>
      <c r="M18" t="str">
        <f>IF('TRACKER - 20220622'!O19&lt;&gt;"",UPPER('TRACKER - 20220622'!O19),"")</f>
        <v/>
      </c>
      <c r="N18" t="str">
        <f>IF('TRACKER - 20220622'!P19&lt;&gt;"",UPPER('TRACKER - 20220622'!P19),"")</f>
        <v>44118</v>
      </c>
      <c r="O18" t="str">
        <f>IF('TRACKER - 20220622'!Q19&lt;&gt;"",UPPER('TRACKER - 20220622'!Q19),"")</f>
        <v>EPAYMENTS</v>
      </c>
      <c r="P18" t="str">
        <f>IF('TRACKER - 20220622'!R19&lt;&gt;"",UPPER('TRACKER - 20220622'!R19),"")</f>
        <v>CLIENT</v>
      </c>
      <c r="Q18" t="str">
        <f>IF('TRACKER - 20220622'!S19&lt;&gt;"",UPPER('TRACKER - 20220622'!S19),"")</f>
        <v/>
      </c>
      <c r="R18" t="str">
        <f>IF('TRACKER - 20220622'!T19&lt;&gt;"",UPPER('TRACKER - 20220622'!T19),"")</f>
        <v/>
      </c>
      <c r="S18" t="str">
        <f>IF('TRACKER - 20220622'!U19&lt;&gt;"",UPPER('TRACKER - 20220622'!U19),"")</f>
        <v/>
      </c>
      <c r="T18" t="str">
        <f>IF('TRACKER - 20220622'!V19&lt;&gt;"",UPPER('TRACKER - 20220622'!V19),"")</f>
        <v/>
      </c>
      <c r="U18" t="str">
        <f>IF('TRACKER - 20220622'!W19&lt;&gt;"",UPPER('TRACKER - 20220622'!W19),"")</f>
        <v/>
      </c>
      <c r="V18" t="str">
        <f>IF('TRACKER - 20220622'!X19&lt;&gt;"",UPPER('TRACKER - 20220622'!X19),"")</f>
        <v/>
      </c>
      <c r="W18" t="str">
        <f>IF('TRACKER - 20220622'!Y19&lt;&gt;"",UPPER('TRACKER - 20220622'!Y19),"")</f>
        <v>5337.9</v>
      </c>
      <c r="X18" t="str">
        <f>IF('TRACKER - 20220622'!Z19&lt;&gt;"",UPPER('TRACKER - 20220622'!Z19),"")</f>
        <v>0</v>
      </c>
      <c r="Y18" t="str">
        <f>IF('TRACKER - 20220622'!AA19&lt;&gt;"",UPPER('TRACKER - 20220622'!AA19),"")</f>
        <v>2965.5</v>
      </c>
      <c r="Z18" t="str">
        <f>IF('TRACKER - 20220622'!AB19&lt;&gt;"",UPPER('TRACKER - 20220622'!AB19),"")</f>
        <v>741.375</v>
      </c>
      <c r="AA18" t="str">
        <f>IF('TRACKER - 20220622'!AC19&lt;&gt;"",UPPER('TRACKER - 20220622'!AC19),"")</f>
        <v>0</v>
      </c>
      <c r="AB18" t="str">
        <f>IF('TRACKER - 20220622'!AE19&lt;&gt;"",UPPER('TRACKER - 20220622'!AE19),"")</f>
        <v>741.375</v>
      </c>
      <c r="AC18" t="str">
        <f>IF('TRACKER - 20220622'!AF19&lt;&gt;"",UPPER('TRACKER - 20220622'!AF19),"")</f>
        <v>4448.25</v>
      </c>
      <c r="AD18" t="str">
        <f>IF('TRACKER - 20220622'!AG19&lt;&gt;"",UPPER('TRACKER - 20220622'!AG19),"")</f>
        <v>889.65</v>
      </c>
      <c r="AE18" t="str">
        <f>IF('TRACKER - 20220622'!AH19&lt;&gt;"",UPPER('TRACKER - 20220622'!AH19),"")</f>
        <v>197.7</v>
      </c>
      <c r="AF18" t="str">
        <f>IF('TRACKER - 20220622'!AI19&lt;&gt;"",UPPER('TRACKER - 20220622'!AI19),"")</f>
        <v/>
      </c>
      <c r="AG18" t="str">
        <f>IF('TRACKER - 20220622'!AJ19&lt;&gt;"",UPPER('TRACKER - 20220622'!AJ19),"")</f>
        <v>0.2</v>
      </c>
      <c r="AH18" t="str">
        <f>IF('TRACKER - 20220622'!AK19&lt;&gt;"",UPPER('TRACKER - 20220622'!AK19),"")</f>
        <v/>
      </c>
      <c r="AI18" t="str">
        <f>IF('TRACKER - 20220622'!AL19&lt;&gt;"",UPPER('TRACKER - 20220622'!AL19),"")</f>
        <v>2</v>
      </c>
      <c r="AJ18" t="str">
        <f>IF('TRACKER - 20220622'!AM19&lt;&gt;"",UPPER('TRACKER - 20220622'!AM19),"")</f>
        <v>0.5</v>
      </c>
      <c r="AK18" t="str">
        <f>IF('TRACKER - 20220622'!AN19&lt;&gt;"",UPPER('TRACKER - 20220622'!AN19),"")</f>
        <v/>
      </c>
      <c r="AL18" t="str">
        <f>IF('TRACKER - 20220622'!AO19&lt;&gt;"",UPPER('TRACKER - 20220622'!AO19),"")</f>
        <v>0.5</v>
      </c>
      <c r="AM18" t="str">
        <f>IF('TRACKER - 20220622'!AP19&lt;&gt;"",UPPER('TRACKER - 20220622'!AP19),"")</f>
        <v>3</v>
      </c>
      <c r="AN18" t="str">
        <f>IF('TRACKER - 20220622'!AQ19&lt;&gt;"",UPPER('TRACKER - 20220622'!AQ19),"")</f>
        <v>0.6</v>
      </c>
      <c r="AO18" t="str">
        <f>IF('TRACKER - 20220622'!AR19&lt;&gt;"",UPPER('TRACKER - 20220622'!AR19),"")</f>
        <v>BOI</v>
      </c>
      <c r="AP18" t="str">
        <f>IF('TRACKER - 20220622'!AS19&lt;&gt;"",UPPER('TRACKER - 20220622'!AS19),"")</f>
        <v>RSC</v>
      </c>
      <c r="AQ18" t="str">
        <f>IF('TRACKER - 20220622'!AT19&lt;&gt;"",UPPER('TRACKER - 20220622'!AT19),"")</f>
        <v>Y</v>
      </c>
      <c r="AR18" t="str">
        <f>IF('TRACKER - 20220622'!AU19&lt;&gt;"",UPPER('TRACKER - 20220622'!AU19),"")</f>
        <v>197.7</v>
      </c>
      <c r="AS18" t="str">
        <f>IF('TRACKER - 20220622'!AV19&lt;&gt;"",UPPER('TRACKER - 20220622'!AV19),"")</f>
        <v/>
      </c>
      <c r="AT18" t="str">
        <f>IF('TRACKER - 20220622'!AW19&lt;&gt;"",UPPER('TRACKER - 20220622'!AW19),"")</f>
        <v>DESCR19</v>
      </c>
      <c r="AU18" t="str">
        <f>IF('TRACKER - 20220622'!AX19&lt;&gt;"",UPPER('TRACKER - 20220622'!AX19),"")</f>
        <v>REASON19</v>
      </c>
      <c r="AV18" t="str">
        <f>IF('TRACKER - 20220622'!BD19&lt;&gt;"",'TRACKER - 20220622'!BD19,"")</f>
        <v/>
      </c>
      <c r="AW18" t="str">
        <f>IF('TRACKER - 20220622'!BE19&lt;&gt;"",'TRACKER - 20220622'!BE19,"")</f>
        <v/>
      </c>
      <c r="AX18" t="str">
        <f>IF('TRACKER - 20220622'!BF19&lt;&gt;"",'TRACKER - 20220622'!BF19,"")</f>
        <v/>
      </c>
      <c r="AY18" t="str">
        <f>IF('TRACKER - 20220622'!BG19&lt;&gt;"",'TRACKER - 20220622'!BG19,"")</f>
        <v/>
      </c>
      <c r="AZ18" t="str">
        <f>IF('TRACKER - 20220622'!BH19&lt;&gt;"",'TRACKER - 20220622'!BH19,"")</f>
        <v/>
      </c>
      <c r="BA18" t="str">
        <f>IF('TRACKER - 20220622'!BI19&lt;&gt;"",'TRACKER - 20220622'!BI19,"")</f>
        <v/>
      </c>
      <c r="BB18" t="str">
        <f>IF('TRACKER - 20220622'!BJ19&lt;&gt;"",'TRACKER - 20220622'!BJ19,"")</f>
        <v/>
      </c>
      <c r="BC18" t="str">
        <f>IF('TRACKER - 20220622'!BK19&lt;&gt;"",'TRACKER - 20220622'!BK19,"")</f>
        <v/>
      </c>
      <c r="BD18" t="str">
        <f>IF('TRACKER - 20220622'!BL19&lt;&gt;"",'TRACKER - 20220622'!BL19,"")</f>
        <v/>
      </c>
      <c r="BE18" t="str">
        <f>IF('TRACKER - 20220622'!BM19&lt;&gt;"",'TRACKER - 20220622'!BM19,"")</f>
        <v/>
      </c>
      <c r="BF18" t="str">
        <f>IF('TRACKER - 20220622'!BN19&lt;&gt;"",'TRACKER - 20220622'!BN19,"")</f>
        <v/>
      </c>
      <c r="BG18" t="str">
        <f>IF('TRACKER - 20220622'!BO19&lt;&gt;"",'TRACKER - 20220622'!BO19,"")</f>
        <v/>
      </c>
    </row>
    <row r="19" spans="1:59">
      <c r="A19" t="str">
        <f>IF('TRACKER - 20220622'!A20&lt;&gt;"",UPPER('TRACKER - 20220622'!A20),"")</f>
        <v>BANK OF IRELAND</v>
      </c>
      <c r="B19" t="str">
        <f>IF('TRACKER - 20220622'!B20&lt;&gt;"",UPPER('TRACKER - 20220622'!B20),"")</f>
        <v>Y</v>
      </c>
      <c r="C19" t="str">
        <f>IF('TRACKER - 20220622'!D20&lt;&gt;"",UPPER('TRACKER - 20220622'!D20),"")</f>
        <v>647</v>
      </c>
      <c r="D19" t="str">
        <f>IF('TRACKER - 20220622'!F20&lt;&gt;"",UPPER('TRACKER - 20220622'!F20),"")</f>
        <v>BOI-RSC-2021-00647</v>
      </c>
      <c r="E19" t="str">
        <f>IF('TRACKER - 20220622'!H20&lt;&gt;"",'TRACKER - 20220622'!H20,"")</f>
        <v>RSC647 - Onboarding UI Improvements</v>
      </c>
      <c r="F19" t="str">
        <f t="shared" si="0"/>
        <v>BOI-RSC-2021-00647 RSC647 - Onboarding UI Improvements</v>
      </c>
      <c r="G19" t="str">
        <f t="shared" si="1"/>
        <v>000647 - RSC647 - Onboarding UI Improvements</v>
      </c>
      <c r="H19">
        <f>IF('TRACKER - 20220622'!J20&lt;&gt;"",'TRACKER - 20220622'!J20,"")</f>
        <v>0</v>
      </c>
      <c r="I19" t="str">
        <f>IF('TRACKER - 20220622'!K20&lt;&gt;"",UPPER('TRACKER - 20220622'!K20),"")</f>
        <v>44223</v>
      </c>
      <c r="J19" t="str">
        <f>IF('TRACKER - 20220622'!L20&lt;&gt;"",UPPER('TRACKER - 20220622'!L20),"")</f>
        <v>44223</v>
      </c>
      <c r="K19" t="str">
        <f>IF('TRACKER - 20220622'!M20&lt;&gt;"",UPPER('TRACKER - 20220622'!M20),"")</f>
        <v/>
      </c>
      <c r="L19" t="str">
        <f>IF('TRACKER - 20220622'!N20&lt;&gt;"",UPPER('TRACKER - 20220622'!N20),"")</f>
        <v/>
      </c>
      <c r="M19" t="str">
        <f>IF('TRACKER - 20220622'!O20&lt;&gt;"",UPPER('TRACKER - 20220622'!O20),"")</f>
        <v/>
      </c>
      <c r="N19" t="str">
        <f>IF('TRACKER - 20220622'!P20&lt;&gt;"",UPPER('TRACKER - 20220622'!P20),"")</f>
        <v/>
      </c>
      <c r="O19" t="str">
        <f>IF('TRACKER - 20220622'!Q20&lt;&gt;"",UPPER('TRACKER - 20220622'!Q20),"")</f>
        <v>EPAYMENTS</v>
      </c>
      <c r="P19" t="str">
        <f>IF('TRACKER - 20220622'!R20&lt;&gt;"",UPPER('TRACKER - 20220622'!R20),"")</f>
        <v>CLIENT</v>
      </c>
      <c r="Q19" t="str">
        <f>IF('TRACKER - 20220622'!S20&lt;&gt;"",UPPER('TRACKER - 20220622'!S20),"")</f>
        <v/>
      </c>
      <c r="R19" t="str">
        <f>IF('TRACKER - 20220622'!T20&lt;&gt;"",UPPER('TRACKER - 20220622'!T20),"")</f>
        <v/>
      </c>
      <c r="S19" t="str">
        <f>IF('TRACKER - 20220622'!U20&lt;&gt;"",UPPER('TRACKER - 20220622'!U20),"")</f>
        <v/>
      </c>
      <c r="T19" t="str">
        <f>IF('TRACKER - 20220622'!V20&lt;&gt;"",UPPER('TRACKER - 20220622'!V20),"")</f>
        <v/>
      </c>
      <c r="U19" t="str">
        <f>IF('TRACKER - 20220622'!W20&lt;&gt;"",UPPER('TRACKER - 20220622'!W20),"")</f>
        <v/>
      </c>
      <c r="V19" t="str">
        <f>IF('TRACKER - 20220622'!X20&lt;&gt;"",UPPER('TRACKER - 20220622'!X20),"")</f>
        <v/>
      </c>
      <c r="W19" t="str">
        <f>IF('TRACKER - 20220622'!Y20&lt;&gt;"",UPPER('TRACKER - 20220622'!Y20),"")</f>
        <v>0</v>
      </c>
      <c r="X19" t="str">
        <f>IF('TRACKER - 20220622'!Z20&lt;&gt;"",UPPER('TRACKER - 20220622'!Z20),"")</f>
        <v>0</v>
      </c>
      <c r="Y19" t="str">
        <f>IF('TRACKER - 20220622'!AA20&lt;&gt;"",UPPER('TRACKER - 20220622'!AA20),"")</f>
        <v>0</v>
      </c>
      <c r="Z19" t="str">
        <f>IF('TRACKER - 20220622'!AB20&lt;&gt;"",UPPER('TRACKER - 20220622'!AB20),"")</f>
        <v>0</v>
      </c>
      <c r="AA19" t="str">
        <f>IF('TRACKER - 20220622'!AC20&lt;&gt;"",UPPER('TRACKER - 20220622'!AC20),"")</f>
        <v>0</v>
      </c>
      <c r="AB19" t="str">
        <f>IF('TRACKER - 20220622'!AE20&lt;&gt;"",UPPER('TRACKER - 20220622'!AE20),"")</f>
        <v>0</v>
      </c>
      <c r="AC19" t="str">
        <f>IF('TRACKER - 20220622'!AF20&lt;&gt;"",UPPER('TRACKER - 20220622'!AF20),"")</f>
        <v>0</v>
      </c>
      <c r="AD19" t="str">
        <f>IF('TRACKER - 20220622'!AG20&lt;&gt;"",UPPER('TRACKER - 20220622'!AG20),"")</f>
        <v>0</v>
      </c>
      <c r="AE19" t="str">
        <f>IF('TRACKER - 20220622'!AH20&lt;&gt;"",UPPER('TRACKER - 20220622'!AH20),"")</f>
        <v>197.7</v>
      </c>
      <c r="AF19" t="str">
        <f>IF('TRACKER - 20220622'!AI20&lt;&gt;"",UPPER('TRACKER - 20220622'!AI20),"")</f>
        <v/>
      </c>
      <c r="AG19" t="str">
        <f>IF('TRACKER - 20220622'!AJ20&lt;&gt;"",UPPER('TRACKER - 20220622'!AJ20),"")</f>
        <v>0.2</v>
      </c>
      <c r="AH19" t="str">
        <f>IF('TRACKER - 20220622'!AK20&lt;&gt;"",UPPER('TRACKER - 20220622'!AK20),"")</f>
        <v/>
      </c>
      <c r="AI19" t="str">
        <f>IF('TRACKER - 20220622'!AL20&lt;&gt;"",UPPER('TRACKER - 20220622'!AL20),"")</f>
        <v>0</v>
      </c>
      <c r="AJ19" t="str">
        <f>IF('TRACKER - 20220622'!AM20&lt;&gt;"",UPPER('TRACKER - 20220622'!AM20),"")</f>
        <v>0</v>
      </c>
      <c r="AK19" t="str">
        <f>IF('TRACKER - 20220622'!AN20&lt;&gt;"",UPPER('TRACKER - 20220622'!AN20),"")</f>
        <v>0</v>
      </c>
      <c r="AL19" t="str">
        <f>IF('TRACKER - 20220622'!AO20&lt;&gt;"",UPPER('TRACKER - 20220622'!AO20),"")</f>
        <v>0</v>
      </c>
      <c r="AM19" t="str">
        <f>IF('TRACKER - 20220622'!AP20&lt;&gt;"",UPPER('TRACKER - 20220622'!AP20),"")</f>
        <v>0</v>
      </c>
      <c r="AN19" t="str">
        <f>IF('TRACKER - 20220622'!AQ20&lt;&gt;"",UPPER('TRACKER - 20220622'!AQ20),"")</f>
        <v>0</v>
      </c>
      <c r="AO19" t="str">
        <f>IF('TRACKER - 20220622'!AR20&lt;&gt;"",UPPER('TRACKER - 20220622'!AR20),"")</f>
        <v>BOI</v>
      </c>
      <c r="AP19" t="str">
        <f>IF('TRACKER - 20220622'!AS20&lt;&gt;"",UPPER('TRACKER - 20220622'!AS20),"")</f>
        <v>RSC</v>
      </c>
      <c r="AQ19" t="str">
        <f>IF('TRACKER - 20220622'!AT20&lt;&gt;"",UPPER('TRACKER - 20220622'!AT20),"")</f>
        <v>Y</v>
      </c>
      <c r="AR19" t="str">
        <f>IF('TRACKER - 20220622'!AU20&lt;&gt;"",UPPER('TRACKER - 20220622'!AU20),"")</f>
        <v>197.7</v>
      </c>
      <c r="AS19" t="str">
        <f>IF('TRACKER - 20220622'!AV20&lt;&gt;"",UPPER('TRACKER - 20220622'!AV20),"")</f>
        <v/>
      </c>
      <c r="AT19" t="str">
        <f>IF('TRACKER - 20220622'!AW20&lt;&gt;"",UPPER('TRACKER - 20220622'!AW20),"")</f>
        <v>DESCR20</v>
      </c>
      <c r="AU19" t="str">
        <f>IF('TRACKER - 20220622'!AX20&lt;&gt;"",UPPER('TRACKER - 20220622'!AX20),"")</f>
        <v>REASON20</v>
      </c>
      <c r="AV19" t="str">
        <f>IF('TRACKER - 20220622'!BD20&lt;&gt;"",'TRACKER - 20220622'!BD20,"")</f>
        <v/>
      </c>
      <c r="AW19" t="str">
        <f>IF('TRACKER - 20220622'!BE20&lt;&gt;"",'TRACKER - 20220622'!BE20,"")</f>
        <v/>
      </c>
      <c r="AX19" t="str">
        <f>IF('TRACKER - 20220622'!BF20&lt;&gt;"",'TRACKER - 20220622'!BF20,"")</f>
        <v/>
      </c>
      <c r="AY19" t="str">
        <f>IF('TRACKER - 20220622'!BG20&lt;&gt;"",'TRACKER - 20220622'!BG20,"")</f>
        <v/>
      </c>
      <c r="AZ19" t="str">
        <f>IF('TRACKER - 20220622'!BH20&lt;&gt;"",'TRACKER - 20220622'!BH20,"")</f>
        <v/>
      </c>
      <c r="BA19" t="str">
        <f>IF('TRACKER - 20220622'!BI20&lt;&gt;"",'TRACKER - 20220622'!BI20,"")</f>
        <v/>
      </c>
      <c r="BB19" t="str">
        <f>IF('TRACKER - 20220622'!BJ20&lt;&gt;"",'TRACKER - 20220622'!BJ20,"")</f>
        <v/>
      </c>
      <c r="BC19" t="str">
        <f>IF('TRACKER - 20220622'!BK20&lt;&gt;"",'TRACKER - 20220622'!BK20,"")</f>
        <v/>
      </c>
      <c r="BD19" t="str">
        <f>IF('TRACKER - 20220622'!BL20&lt;&gt;"",'TRACKER - 20220622'!BL20,"")</f>
        <v/>
      </c>
      <c r="BE19" t="str">
        <f>IF('TRACKER - 20220622'!BM20&lt;&gt;"",'TRACKER - 20220622'!BM20,"")</f>
        <v/>
      </c>
      <c r="BF19" t="str">
        <f>IF('TRACKER - 20220622'!BN20&lt;&gt;"",'TRACKER - 20220622'!BN20,"")</f>
        <v/>
      </c>
      <c r="BG19" t="str">
        <f>IF('TRACKER - 20220622'!BO20&lt;&gt;"",'TRACKER - 20220622'!BO20,"")</f>
        <v/>
      </c>
    </row>
    <row r="20" spans="1:59">
      <c r="A20" t="str">
        <f>IF('TRACKER - 20220622'!A21&lt;&gt;"",UPPER('TRACKER - 20220622'!A21),"")</f>
        <v>BANK OF IRELAND</v>
      </c>
      <c r="B20" t="str">
        <f>IF('TRACKER - 20220622'!B21&lt;&gt;"",UPPER('TRACKER - 20220622'!B21),"")</f>
        <v>Y</v>
      </c>
      <c r="C20" t="str">
        <f>IF('TRACKER - 20220622'!D21&lt;&gt;"",UPPER('TRACKER - 20220622'!D21),"")</f>
        <v>648</v>
      </c>
      <c r="D20" t="str">
        <f>IF('TRACKER - 20220622'!F21&lt;&gt;"",UPPER('TRACKER - 20220622'!F21),"")</f>
        <v>BOI-RSC-2021-00648</v>
      </c>
      <c r="E20" t="str">
        <f>IF('TRACKER - 20220622'!H21&lt;&gt;"",'TRACKER - 20220622'!H21,"")</f>
        <v>RSC648 - Onboarding 4-eyes Check</v>
      </c>
      <c r="F20" t="str">
        <f t="shared" si="0"/>
        <v>BOI-RSC-2021-00648 RSC648 - Onboarding 4-eyes Check</v>
      </c>
      <c r="G20" t="str">
        <f t="shared" si="1"/>
        <v>100648 - RSC648 - Onboarding 4-eyes Check</v>
      </c>
      <c r="H20">
        <f>IF('TRACKER - 20220622'!J21&lt;&gt;"",'TRACKER - 20220622'!J21,"")</f>
        <v>12010.275</v>
      </c>
      <c r="I20" t="str">
        <f>IF('TRACKER - 20220622'!K21&lt;&gt;"",UPPER('TRACKER - 20220622'!K21),"")</f>
        <v>44222</v>
      </c>
      <c r="J20" t="str">
        <f>IF('TRACKER - 20220622'!L21&lt;&gt;"",UPPER('TRACKER - 20220622'!L21),"")</f>
        <v>44222</v>
      </c>
      <c r="K20" t="str">
        <f>IF('TRACKER - 20220622'!M21&lt;&gt;"",UPPER('TRACKER - 20220622'!M21),"")</f>
        <v>44222</v>
      </c>
      <c r="L20" t="str">
        <f>IF('TRACKER - 20220622'!N21&lt;&gt;"",UPPER('TRACKER - 20220622'!N21),"")</f>
        <v>44222</v>
      </c>
      <c r="M20" t="str">
        <f>IF('TRACKER - 20220622'!O21&lt;&gt;"",UPPER('TRACKER - 20220622'!O21),"")</f>
        <v/>
      </c>
      <c r="N20" t="str">
        <f>IF('TRACKER - 20220622'!P21&lt;&gt;"",UPPER('TRACKER - 20220622'!P21),"")</f>
        <v>44222</v>
      </c>
      <c r="O20" t="str">
        <f>IF('TRACKER - 20220622'!Q21&lt;&gt;"",UPPER('TRACKER - 20220622'!Q21),"")</f>
        <v>EPAYMENTS</v>
      </c>
      <c r="P20" t="str">
        <f>IF('TRACKER - 20220622'!R21&lt;&gt;"",UPPER('TRACKER - 20220622'!R21),"")</f>
        <v>CLIENT</v>
      </c>
      <c r="Q20" t="str">
        <f>IF('TRACKER - 20220622'!S21&lt;&gt;"",UPPER('TRACKER - 20220622'!S21),"")</f>
        <v/>
      </c>
      <c r="R20" t="str">
        <f>IF('TRACKER - 20220622'!T21&lt;&gt;"",UPPER('TRACKER - 20220622'!T21),"")</f>
        <v/>
      </c>
      <c r="S20" t="str">
        <f>IF('TRACKER - 20220622'!U21&lt;&gt;"",UPPER('TRACKER - 20220622'!U21),"")</f>
        <v/>
      </c>
      <c r="T20" t="str">
        <f>IF('TRACKER - 20220622'!V21&lt;&gt;"",UPPER('TRACKER - 20220622'!V21),"")</f>
        <v/>
      </c>
      <c r="U20" t="str">
        <f>IF('TRACKER - 20220622'!W21&lt;&gt;"",UPPER('TRACKER - 20220622'!W21),"")</f>
        <v/>
      </c>
      <c r="V20" t="str">
        <f>IF('TRACKER - 20220622'!X21&lt;&gt;"",UPPER('TRACKER - 20220622'!X21),"")</f>
        <v/>
      </c>
      <c r="W20" t="str">
        <f>IF('TRACKER - 20220622'!Y21&lt;&gt;"",UPPER('TRACKER - 20220622'!Y21),"")</f>
        <v>12010.275</v>
      </c>
      <c r="X20" t="str">
        <f>IF('TRACKER - 20220622'!Z21&lt;&gt;"",UPPER('TRACKER - 20220622'!Z21),"")</f>
        <v>0</v>
      </c>
      <c r="Y20" t="str">
        <f>IF('TRACKER - 20220622'!AA21&lt;&gt;"",UPPER('TRACKER - 20220622'!AA21),"")</f>
        <v>7043.0625</v>
      </c>
      <c r="Z20" t="str">
        <f>IF('TRACKER - 20220622'!AB21&lt;&gt;"",UPPER('TRACKER - 20220622'!AB21),"")</f>
        <v>1482.75</v>
      </c>
      <c r="AA20" t="str">
        <f>IF('TRACKER - 20220622'!AC21&lt;&gt;"",UPPER('TRACKER - 20220622'!AC21),"")</f>
        <v>1482.75</v>
      </c>
      <c r="AB20" t="str">
        <f>IF('TRACKER - 20220622'!AE21&lt;&gt;"",UPPER('TRACKER - 20220622'!AE21),"")</f>
        <v>0</v>
      </c>
      <c r="AC20" t="str">
        <f>IF('TRACKER - 20220622'!AF21&lt;&gt;"",UPPER('TRACKER - 20220622'!AF21),"")</f>
        <v>10008.5625</v>
      </c>
      <c r="AD20" t="str">
        <f>IF('TRACKER - 20220622'!AG21&lt;&gt;"",UPPER('TRACKER - 20220622'!AG21),"")</f>
        <v>2001.7125</v>
      </c>
      <c r="AE20" t="str">
        <f>IF('TRACKER - 20220622'!AH21&lt;&gt;"",UPPER('TRACKER - 20220622'!AH21),"")</f>
        <v>197.7</v>
      </c>
      <c r="AF20" t="str">
        <f>IF('TRACKER - 20220622'!AI21&lt;&gt;"",UPPER('TRACKER - 20220622'!AI21),"")</f>
        <v/>
      </c>
      <c r="AG20" t="str">
        <f>IF('TRACKER - 20220622'!AJ21&lt;&gt;"",UPPER('TRACKER - 20220622'!AJ21),"")</f>
        <v>0.2</v>
      </c>
      <c r="AH20" t="str">
        <f>IF('TRACKER - 20220622'!AK21&lt;&gt;"",UPPER('TRACKER - 20220622'!AK21),"")</f>
        <v/>
      </c>
      <c r="AI20" t="str">
        <f>IF('TRACKER - 20220622'!AL21&lt;&gt;"",UPPER('TRACKER - 20220622'!AL21),"")</f>
        <v>4.75</v>
      </c>
      <c r="AJ20" t="str">
        <f>IF('TRACKER - 20220622'!AM21&lt;&gt;"",UPPER('TRACKER - 20220622'!AM21),"")</f>
        <v>1</v>
      </c>
      <c r="AK20" t="str">
        <f>IF('TRACKER - 20220622'!AN21&lt;&gt;"",UPPER('TRACKER - 20220622'!AN21),"")</f>
        <v>1</v>
      </c>
      <c r="AL20" t="str">
        <f>IF('TRACKER - 20220622'!AO21&lt;&gt;"",UPPER('TRACKER - 20220622'!AO21),"")</f>
        <v>0</v>
      </c>
      <c r="AM20" t="str">
        <f>IF('TRACKER - 20220622'!AP21&lt;&gt;"",UPPER('TRACKER - 20220622'!AP21),"")</f>
        <v>6.75</v>
      </c>
      <c r="AN20" t="str">
        <f>IF('TRACKER - 20220622'!AQ21&lt;&gt;"",UPPER('TRACKER - 20220622'!AQ21),"")</f>
        <v>1.35</v>
      </c>
      <c r="AO20" t="str">
        <f>IF('TRACKER - 20220622'!AR21&lt;&gt;"",UPPER('TRACKER - 20220622'!AR21),"")</f>
        <v>BOI</v>
      </c>
      <c r="AP20" t="str">
        <f>IF('TRACKER - 20220622'!AS21&lt;&gt;"",UPPER('TRACKER - 20220622'!AS21),"")</f>
        <v>RSC</v>
      </c>
      <c r="AQ20" t="str">
        <f>IF('TRACKER - 20220622'!AT21&lt;&gt;"",UPPER('TRACKER - 20220622'!AT21),"")</f>
        <v>Y</v>
      </c>
      <c r="AR20" t="str">
        <f>IF('TRACKER - 20220622'!AU21&lt;&gt;"",UPPER('TRACKER - 20220622'!AU21),"")</f>
        <v>197.7</v>
      </c>
      <c r="AS20" t="str">
        <f>IF('TRACKER - 20220622'!AV21&lt;&gt;"",UPPER('TRACKER - 20220622'!AV21),"")</f>
        <v/>
      </c>
      <c r="AT20" t="str">
        <f>IF('TRACKER - 20220622'!AW21&lt;&gt;"",UPPER('TRACKER - 20220622'!AW21),"")</f>
        <v>DESCR21</v>
      </c>
      <c r="AU20" t="str">
        <f>IF('TRACKER - 20220622'!AX21&lt;&gt;"",UPPER('TRACKER - 20220622'!AX21),"")</f>
        <v>REASON21</v>
      </c>
      <c r="AV20" t="str">
        <f>IF('TRACKER - 20220622'!BD21&lt;&gt;"",'TRACKER - 20220622'!BD21,"")</f>
        <v/>
      </c>
      <c r="AW20" t="str">
        <f>IF('TRACKER - 20220622'!BE21&lt;&gt;"",'TRACKER - 20220622'!BE21,"")</f>
        <v/>
      </c>
      <c r="AX20" t="str">
        <f>IF('TRACKER - 20220622'!BF21&lt;&gt;"",'TRACKER - 20220622'!BF21,"")</f>
        <v/>
      </c>
      <c r="AY20" t="str">
        <f>IF('TRACKER - 20220622'!BG21&lt;&gt;"",'TRACKER - 20220622'!BG21,"")</f>
        <v/>
      </c>
      <c r="AZ20" t="str">
        <f>IF('TRACKER - 20220622'!BH21&lt;&gt;"",'TRACKER - 20220622'!BH21,"")</f>
        <v/>
      </c>
      <c r="BA20" t="str">
        <f>IF('TRACKER - 20220622'!BI21&lt;&gt;"",'TRACKER - 20220622'!BI21,"")</f>
        <v/>
      </c>
      <c r="BB20" t="str">
        <f>IF('TRACKER - 20220622'!BJ21&lt;&gt;"",'TRACKER - 20220622'!BJ21,"")</f>
        <v/>
      </c>
      <c r="BC20" t="str">
        <f>IF('TRACKER - 20220622'!BK21&lt;&gt;"",'TRACKER - 20220622'!BK21,"")</f>
        <v/>
      </c>
      <c r="BD20" t="str">
        <f>IF('TRACKER - 20220622'!BL21&lt;&gt;"",'TRACKER - 20220622'!BL21,"")</f>
        <v/>
      </c>
      <c r="BE20" t="str">
        <f>IF('TRACKER - 20220622'!BM21&lt;&gt;"",'TRACKER - 20220622'!BM21,"")</f>
        <v/>
      </c>
      <c r="BF20" t="str">
        <f>IF('TRACKER - 20220622'!BN21&lt;&gt;"",'TRACKER - 20220622'!BN21,"")</f>
        <v/>
      </c>
      <c r="BG20" t="str">
        <f>IF('TRACKER - 20220622'!BO21&lt;&gt;"",'TRACKER - 20220622'!BO21,"")</f>
        <v/>
      </c>
    </row>
    <row r="21" spans="1:59">
      <c r="A21" t="str">
        <f>IF('TRACKER - 20220622'!A22&lt;&gt;"",UPPER('TRACKER - 20220622'!A22),"")</f>
        <v>BANK OF IRELAND</v>
      </c>
      <c r="B21" t="str">
        <f>IF('TRACKER - 20220622'!B22&lt;&gt;"",UPPER('TRACKER - 20220622'!B22),"")</f>
        <v>Y</v>
      </c>
      <c r="C21" t="str">
        <f>IF('TRACKER - 20220622'!D22&lt;&gt;"",UPPER('TRACKER - 20220622'!D22),"")</f>
        <v>644</v>
      </c>
      <c r="D21" t="str">
        <f>IF('TRACKER - 20220622'!F22&lt;&gt;"",UPPER('TRACKER - 20220622'!F22),"")</f>
        <v>BOI-RSC-2021-00644</v>
      </c>
      <c r="E21" t="str">
        <f>IF('TRACKER - 20220622'!H22&lt;&gt;"",'TRACKER - 20220622'!H22,"")</f>
        <v>RSC644 - Bulk Payments</v>
      </c>
      <c r="F21" t="str">
        <f t="shared" si="0"/>
        <v>BOI-RSC-2021-00644 RSC644 - Bulk Payments</v>
      </c>
      <c r="G21" t="str">
        <f t="shared" si="1"/>
        <v>400644 - RSC644 - Bulk Payments</v>
      </c>
      <c r="H21">
        <f>IF('TRACKER - 20220622'!J22&lt;&gt;"",'TRACKER - 20220622'!J22,"")</f>
        <v>42258.375</v>
      </c>
      <c r="I21" t="str">
        <f>IF('TRACKER - 20220622'!K22&lt;&gt;"",UPPER('TRACKER - 20220622'!K22),"")</f>
        <v>44223</v>
      </c>
      <c r="J21" t="str">
        <f>IF('TRACKER - 20220622'!L22&lt;&gt;"",UPPER('TRACKER - 20220622'!L22),"")</f>
        <v>44223</v>
      </c>
      <c r="K21" t="str">
        <f>IF('TRACKER - 20220622'!M22&lt;&gt;"",UPPER('TRACKER - 20220622'!M22),"")</f>
        <v>44223</v>
      </c>
      <c r="L21" t="str">
        <f>IF('TRACKER - 20220622'!N22&lt;&gt;"",UPPER('TRACKER - 20220622'!N22),"")</f>
        <v>44223</v>
      </c>
      <c r="M21" t="str">
        <f>IF('TRACKER - 20220622'!O22&lt;&gt;"",UPPER('TRACKER - 20220622'!O22),"")</f>
        <v/>
      </c>
      <c r="N21" t="str">
        <f>IF('TRACKER - 20220622'!P22&lt;&gt;"",UPPER('TRACKER - 20220622'!P22),"")</f>
        <v/>
      </c>
      <c r="O21" t="str">
        <f>IF('TRACKER - 20220622'!Q22&lt;&gt;"",UPPER('TRACKER - 20220622'!Q22),"")</f>
        <v>EPAYMENTS</v>
      </c>
      <c r="P21" t="str">
        <f>IF('TRACKER - 20220622'!R22&lt;&gt;"",UPPER('TRACKER - 20220622'!R22),"")</f>
        <v>CLIENT</v>
      </c>
      <c r="Q21" t="str">
        <f>IF('TRACKER - 20220622'!S22&lt;&gt;"",UPPER('TRACKER - 20220622'!S22),"")</f>
        <v/>
      </c>
      <c r="R21" t="str">
        <f>IF('TRACKER - 20220622'!T22&lt;&gt;"",UPPER('TRACKER - 20220622'!T22),"")</f>
        <v/>
      </c>
      <c r="S21" t="str">
        <f>IF('TRACKER - 20220622'!U22&lt;&gt;"",UPPER('TRACKER - 20220622'!U22),"")</f>
        <v/>
      </c>
      <c r="T21" t="str">
        <f>IF('TRACKER - 20220622'!V22&lt;&gt;"",UPPER('TRACKER - 20220622'!V22),"")</f>
        <v/>
      </c>
      <c r="U21" t="str">
        <f>IF('TRACKER - 20220622'!W22&lt;&gt;"",UPPER('TRACKER - 20220622'!W22),"")</f>
        <v/>
      </c>
      <c r="V21" t="str">
        <f>IF('TRACKER - 20220622'!X22&lt;&gt;"",UPPER('TRACKER - 20220622'!X22),"")</f>
        <v>27/01/21 - FUNCTIONAL/PRODUCT APPROVED - REFERED TO PB/JL</v>
      </c>
      <c r="W21" t="str">
        <f>IF('TRACKER - 20220622'!Y22&lt;&gt;"",UPPER('TRACKER - 20220622'!Y22),"")</f>
        <v>42258.375</v>
      </c>
      <c r="X21" t="str">
        <f>IF('TRACKER - 20220622'!Z22&lt;&gt;"",UPPER('TRACKER - 20220622'!Z22),"")</f>
        <v>0</v>
      </c>
      <c r="Y21" t="str">
        <f>IF('TRACKER - 20220622'!AA22&lt;&gt;"",UPPER('TRACKER - 20220622'!AA22),"")</f>
        <v>27801.5625</v>
      </c>
      <c r="Z21" t="str">
        <f>IF('TRACKER - 20220622'!AB22&lt;&gt;"",UPPER('TRACKER - 20220622'!AB22),"")</f>
        <v>1482.75</v>
      </c>
      <c r="AA21" t="str">
        <f>IF('TRACKER - 20220622'!AC22&lt;&gt;"",UPPER('TRACKER - 20220622'!AC22),"")</f>
        <v>5931</v>
      </c>
      <c r="AB21" t="str">
        <f>IF('TRACKER - 20220622'!AE22&lt;&gt;"",UPPER('TRACKER - 20220622'!AE22),"")</f>
        <v>0</v>
      </c>
      <c r="AC21" t="str">
        <f>IF('TRACKER - 20220622'!AF22&lt;&gt;"",UPPER('TRACKER - 20220622'!AF22),"")</f>
        <v>35215.3125</v>
      </c>
      <c r="AD21" t="str">
        <f>IF('TRACKER - 20220622'!AG22&lt;&gt;"",UPPER('TRACKER - 20220622'!AG22),"")</f>
        <v>7043.0625</v>
      </c>
      <c r="AE21" t="str">
        <f>IF('TRACKER - 20220622'!AH22&lt;&gt;"",UPPER('TRACKER - 20220622'!AH22),"")</f>
        <v>197.7</v>
      </c>
      <c r="AF21" t="str">
        <f>IF('TRACKER - 20220622'!AI22&lt;&gt;"",UPPER('TRACKER - 20220622'!AI22),"")</f>
        <v/>
      </c>
      <c r="AG21" t="str">
        <f>IF('TRACKER - 20220622'!AJ22&lt;&gt;"",UPPER('TRACKER - 20220622'!AJ22),"")</f>
        <v>0.2</v>
      </c>
      <c r="AH21" t="str">
        <f>IF('TRACKER - 20220622'!AK22&lt;&gt;"",UPPER('TRACKER - 20220622'!AK22),"")</f>
        <v/>
      </c>
      <c r="AI21" t="str">
        <f>IF('TRACKER - 20220622'!AL22&lt;&gt;"",UPPER('TRACKER - 20220622'!AL22),"")</f>
        <v>18.75</v>
      </c>
      <c r="AJ21" t="str">
        <f>IF('TRACKER - 20220622'!AM22&lt;&gt;"",UPPER('TRACKER - 20220622'!AM22),"")</f>
        <v>1</v>
      </c>
      <c r="AK21" t="str">
        <f>IF('TRACKER - 20220622'!AN22&lt;&gt;"",UPPER('TRACKER - 20220622'!AN22),"")</f>
        <v>4</v>
      </c>
      <c r="AL21" t="str">
        <f>IF('TRACKER - 20220622'!AO22&lt;&gt;"",UPPER('TRACKER - 20220622'!AO22),"")</f>
        <v>0</v>
      </c>
      <c r="AM21" t="str">
        <f>IF('TRACKER - 20220622'!AP22&lt;&gt;"",UPPER('TRACKER - 20220622'!AP22),"")</f>
        <v>23.75</v>
      </c>
      <c r="AN21" t="str">
        <f>IF('TRACKER - 20220622'!AQ22&lt;&gt;"",UPPER('TRACKER - 20220622'!AQ22),"")</f>
        <v>4.75</v>
      </c>
      <c r="AO21" t="str">
        <f>IF('TRACKER - 20220622'!AR22&lt;&gt;"",UPPER('TRACKER - 20220622'!AR22),"")</f>
        <v>BOI</v>
      </c>
      <c r="AP21" t="str">
        <f>IF('TRACKER - 20220622'!AS22&lt;&gt;"",UPPER('TRACKER - 20220622'!AS22),"")</f>
        <v>RSC</v>
      </c>
      <c r="AQ21" t="str">
        <f>IF('TRACKER - 20220622'!AT22&lt;&gt;"",UPPER('TRACKER - 20220622'!AT22),"")</f>
        <v>Y</v>
      </c>
      <c r="AR21" t="str">
        <f>IF('TRACKER - 20220622'!AU22&lt;&gt;"",UPPER('TRACKER - 20220622'!AU22),"")</f>
        <v>197.7</v>
      </c>
      <c r="AS21" t="str">
        <f>IF('TRACKER - 20220622'!AV22&lt;&gt;"",UPPER('TRACKER - 20220622'!AV22),"")</f>
        <v/>
      </c>
      <c r="AT21" t="str">
        <f>IF('TRACKER - 20220622'!AW22&lt;&gt;"",UPPER('TRACKER - 20220622'!AW22),"")</f>
        <v>DESCR22</v>
      </c>
      <c r="AU21" t="str">
        <f>IF('TRACKER - 20220622'!AX22&lt;&gt;"",UPPER('TRACKER - 20220622'!AX22),"")</f>
        <v>REASON22</v>
      </c>
      <c r="AV21" t="str">
        <f>IF('TRACKER - 20220622'!BD22&lt;&gt;"",'TRACKER - 20220622'!BD22,"")</f>
        <v/>
      </c>
      <c r="AW21" t="str">
        <f>IF('TRACKER - 20220622'!BE22&lt;&gt;"",'TRACKER - 20220622'!BE22,"")</f>
        <v/>
      </c>
      <c r="AX21" t="str">
        <f>IF('TRACKER - 20220622'!BF22&lt;&gt;"",'TRACKER - 20220622'!BF22,"")</f>
        <v/>
      </c>
      <c r="AY21" t="str">
        <f>IF('TRACKER - 20220622'!BG22&lt;&gt;"",'TRACKER - 20220622'!BG22,"")</f>
        <v/>
      </c>
      <c r="AZ21" t="str">
        <f>IF('TRACKER - 20220622'!BH22&lt;&gt;"",'TRACKER - 20220622'!BH22,"")</f>
        <v/>
      </c>
      <c r="BA21" t="str">
        <f>IF('TRACKER - 20220622'!BI22&lt;&gt;"",'TRACKER - 20220622'!BI22,"")</f>
        <v/>
      </c>
      <c r="BB21" t="str">
        <f>IF('TRACKER - 20220622'!BJ22&lt;&gt;"",'TRACKER - 20220622'!BJ22,"")</f>
        <v/>
      </c>
      <c r="BC21" t="str">
        <f>IF('TRACKER - 20220622'!BK22&lt;&gt;"",'TRACKER - 20220622'!BK22,"")</f>
        <v/>
      </c>
      <c r="BD21" t="str">
        <f>IF('TRACKER - 20220622'!BL22&lt;&gt;"",'TRACKER - 20220622'!BL22,"")</f>
        <v/>
      </c>
      <c r="BE21" t="str">
        <f>IF('TRACKER - 20220622'!BM22&lt;&gt;"",'TRACKER - 20220622'!BM22,"")</f>
        <v/>
      </c>
      <c r="BF21" t="str">
        <f>IF('TRACKER - 20220622'!BN22&lt;&gt;"",'TRACKER - 20220622'!BN22,"")</f>
        <v/>
      </c>
      <c r="BG21" t="str">
        <f>IF('TRACKER - 20220622'!BO22&lt;&gt;"",'TRACKER - 20220622'!BO22,"")</f>
        <v/>
      </c>
    </row>
    <row r="22" spans="1:59">
      <c r="A22" t="str">
        <f>IF('TRACKER - 20220622'!A23&lt;&gt;"",UPPER('TRACKER - 20220622'!A23),"")</f>
        <v>BANK OF IRELAND</v>
      </c>
      <c r="B22" t="str">
        <f>IF('TRACKER - 20220622'!B23&lt;&gt;"",UPPER('TRACKER - 20220622'!B23),"")</f>
        <v>Y</v>
      </c>
      <c r="C22" t="str">
        <f>IF('TRACKER - 20220622'!D23&lt;&gt;"",UPPER('TRACKER - 20220622'!D23),"")</f>
        <v>649</v>
      </c>
      <c r="D22" t="str">
        <f>IF('TRACKER - 20220622'!F23&lt;&gt;"",UPPER('TRACKER - 20220622'!F23),"")</f>
        <v>BOI-RSC-2021-00649</v>
      </c>
      <c r="E22" t="str">
        <f>IF('TRACKER - 20220622'!H23&lt;&gt;"",'TRACKER - 20220622'!H23,"")</f>
        <v>RSC649 - Encryption of Communications</v>
      </c>
      <c r="F22" t="str">
        <f t="shared" si="0"/>
        <v>BOI-RSC-2021-00649 RSC649 - Encryption of Communications</v>
      </c>
      <c r="G22" t="str">
        <f t="shared" si="1"/>
        <v>000649 - RSC649 - Encryption of Communications</v>
      </c>
      <c r="H22">
        <f>IF('TRACKER - 20220622'!J23&lt;&gt;"",'TRACKER - 20220622'!J23,"")</f>
        <v>0</v>
      </c>
      <c r="I22" t="str">
        <f>IF('TRACKER - 20220622'!K23&lt;&gt;"",UPPER('TRACKER - 20220622'!K23),"")</f>
        <v>44223</v>
      </c>
      <c r="J22" t="str">
        <f>IF('TRACKER - 20220622'!L23&lt;&gt;"",UPPER('TRACKER - 20220622'!L23),"")</f>
        <v>44223</v>
      </c>
      <c r="K22" t="str">
        <f>IF('TRACKER - 20220622'!M23&lt;&gt;"",UPPER('TRACKER - 20220622'!M23),"")</f>
        <v>44223</v>
      </c>
      <c r="L22" t="str">
        <f>IF('TRACKER - 20220622'!N23&lt;&gt;"",UPPER('TRACKER - 20220622'!N23),"")</f>
        <v>44223</v>
      </c>
      <c r="M22" t="str">
        <f>IF('TRACKER - 20220622'!O23&lt;&gt;"",UPPER('TRACKER - 20220622'!O23),"")</f>
        <v/>
      </c>
      <c r="N22" t="str">
        <f>IF('TRACKER - 20220622'!P23&lt;&gt;"",UPPER('TRACKER - 20220622'!P23),"")</f>
        <v/>
      </c>
      <c r="O22" t="str">
        <f>IF('TRACKER - 20220622'!Q23&lt;&gt;"",UPPER('TRACKER - 20220622'!Q23),"")</f>
        <v>PLATFORM</v>
      </c>
      <c r="P22" t="str">
        <f>IF('TRACKER - 20220622'!R23&lt;&gt;"",UPPER('TRACKER - 20220622'!R23),"")</f>
        <v>CLIENT</v>
      </c>
      <c r="Q22" t="str">
        <f>IF('TRACKER - 20220622'!S23&lt;&gt;"",UPPER('TRACKER - 20220622'!S23),"")</f>
        <v/>
      </c>
      <c r="R22" t="str">
        <f>IF('TRACKER - 20220622'!T23&lt;&gt;"",UPPER('TRACKER - 20220622'!T23),"")</f>
        <v/>
      </c>
      <c r="S22" t="str">
        <f>IF('TRACKER - 20220622'!U23&lt;&gt;"",UPPER('TRACKER - 20220622'!U23),"")</f>
        <v/>
      </c>
      <c r="T22" t="str">
        <f>IF('TRACKER - 20220622'!V23&lt;&gt;"",UPPER('TRACKER - 20220622'!V23),"")</f>
        <v/>
      </c>
      <c r="U22" t="str">
        <f>IF('TRACKER - 20220622'!W23&lt;&gt;"",UPPER('TRACKER - 20220622'!W23),"")</f>
        <v/>
      </c>
      <c r="V22" t="str">
        <f>IF('TRACKER - 20220622'!X23&lt;&gt;"",UPPER('TRACKER - 20220622'!X23),"")</f>
        <v/>
      </c>
      <c r="W22" t="str">
        <f>IF('TRACKER - 20220622'!Y23&lt;&gt;"",UPPER('TRACKER - 20220622'!Y23),"")</f>
        <v>0</v>
      </c>
      <c r="X22" t="str">
        <f>IF('TRACKER - 20220622'!Z23&lt;&gt;"",UPPER('TRACKER - 20220622'!Z23),"")</f>
        <v>0</v>
      </c>
      <c r="Y22" t="str">
        <f>IF('TRACKER - 20220622'!AA23&lt;&gt;"",UPPER('TRACKER - 20220622'!AA23),"")</f>
        <v>0</v>
      </c>
      <c r="Z22" t="str">
        <f>IF('TRACKER - 20220622'!AB23&lt;&gt;"",UPPER('TRACKER - 20220622'!AB23),"")</f>
        <v>0</v>
      </c>
      <c r="AA22" t="str">
        <f>IF('TRACKER - 20220622'!AC23&lt;&gt;"",UPPER('TRACKER - 20220622'!AC23),"")</f>
        <v>0</v>
      </c>
      <c r="AB22" t="str">
        <f>IF('TRACKER - 20220622'!AE23&lt;&gt;"",UPPER('TRACKER - 20220622'!AE23),"")</f>
        <v>0</v>
      </c>
      <c r="AC22" t="str">
        <f>IF('TRACKER - 20220622'!AF23&lt;&gt;"",UPPER('TRACKER - 20220622'!AF23),"")</f>
        <v>0</v>
      </c>
      <c r="AD22" t="str">
        <f>IF('TRACKER - 20220622'!AG23&lt;&gt;"",UPPER('TRACKER - 20220622'!AG23),"")</f>
        <v>0</v>
      </c>
      <c r="AE22" t="str">
        <f>IF('TRACKER - 20220622'!AH23&lt;&gt;"",UPPER('TRACKER - 20220622'!AH23),"")</f>
        <v>197.7</v>
      </c>
      <c r="AF22" t="str">
        <f>IF('TRACKER - 20220622'!AI23&lt;&gt;"",UPPER('TRACKER - 20220622'!AI23),"")</f>
        <v/>
      </c>
      <c r="AG22" t="str">
        <f>IF('TRACKER - 20220622'!AJ23&lt;&gt;"",UPPER('TRACKER - 20220622'!AJ23),"")</f>
        <v>0.2</v>
      </c>
      <c r="AH22" t="str">
        <f>IF('TRACKER - 20220622'!AK23&lt;&gt;"",UPPER('TRACKER - 20220622'!AK23),"")</f>
        <v/>
      </c>
      <c r="AI22" t="str">
        <f>IF('TRACKER - 20220622'!AL23&lt;&gt;"",UPPER('TRACKER - 20220622'!AL23),"")</f>
        <v>0</v>
      </c>
      <c r="AJ22" t="str">
        <f>IF('TRACKER - 20220622'!AM23&lt;&gt;"",UPPER('TRACKER - 20220622'!AM23),"")</f>
        <v>0</v>
      </c>
      <c r="AK22" t="str">
        <f>IF('TRACKER - 20220622'!AN23&lt;&gt;"",UPPER('TRACKER - 20220622'!AN23),"")</f>
        <v>0</v>
      </c>
      <c r="AL22" t="str">
        <f>IF('TRACKER - 20220622'!AO23&lt;&gt;"",UPPER('TRACKER - 20220622'!AO23),"")</f>
        <v>0</v>
      </c>
      <c r="AM22" t="str">
        <f>IF('TRACKER - 20220622'!AP23&lt;&gt;"",UPPER('TRACKER - 20220622'!AP23),"")</f>
        <v>0</v>
      </c>
      <c r="AN22" t="str">
        <f>IF('TRACKER - 20220622'!AQ23&lt;&gt;"",UPPER('TRACKER - 20220622'!AQ23),"")</f>
        <v>0</v>
      </c>
      <c r="AO22" t="str">
        <f>IF('TRACKER - 20220622'!AR23&lt;&gt;"",UPPER('TRACKER - 20220622'!AR23),"")</f>
        <v>BOI</v>
      </c>
      <c r="AP22" t="str">
        <f>IF('TRACKER - 20220622'!AS23&lt;&gt;"",UPPER('TRACKER - 20220622'!AS23),"")</f>
        <v>RSC</v>
      </c>
      <c r="AQ22" t="str">
        <f>IF('TRACKER - 20220622'!AT23&lt;&gt;"",UPPER('TRACKER - 20220622'!AT23),"")</f>
        <v>Y</v>
      </c>
      <c r="AR22" t="str">
        <f>IF('TRACKER - 20220622'!AU23&lt;&gt;"",UPPER('TRACKER - 20220622'!AU23),"")</f>
        <v>197.7</v>
      </c>
      <c r="AS22" t="str">
        <f>IF('TRACKER - 20220622'!AV23&lt;&gt;"",UPPER('TRACKER - 20220622'!AV23),"")</f>
        <v/>
      </c>
      <c r="AT22" t="str">
        <f>IF('TRACKER - 20220622'!AW23&lt;&gt;"",UPPER('TRACKER - 20220622'!AW23),"")</f>
        <v>DESCR23</v>
      </c>
      <c r="AU22" t="str">
        <f>IF('TRACKER - 20220622'!AX23&lt;&gt;"",UPPER('TRACKER - 20220622'!AX23),"")</f>
        <v>REASON23</v>
      </c>
      <c r="AV22" t="str">
        <f>IF('TRACKER - 20220622'!BD23&lt;&gt;"",'TRACKER - 20220622'!BD23,"")</f>
        <v/>
      </c>
      <c r="AW22" t="str">
        <f>IF('TRACKER - 20220622'!BE23&lt;&gt;"",'TRACKER - 20220622'!BE23,"")</f>
        <v/>
      </c>
      <c r="AX22" t="str">
        <f>IF('TRACKER - 20220622'!BF23&lt;&gt;"",'TRACKER - 20220622'!BF23,"")</f>
        <v/>
      </c>
      <c r="AY22" t="str">
        <f>IF('TRACKER - 20220622'!BG23&lt;&gt;"",'TRACKER - 20220622'!BG23,"")</f>
        <v/>
      </c>
      <c r="AZ22" t="str">
        <f>IF('TRACKER - 20220622'!BH23&lt;&gt;"",'TRACKER - 20220622'!BH23,"")</f>
        <v/>
      </c>
      <c r="BA22" t="str">
        <f>IF('TRACKER - 20220622'!BI23&lt;&gt;"",'TRACKER - 20220622'!BI23,"")</f>
        <v/>
      </c>
      <c r="BB22" t="str">
        <f>IF('TRACKER - 20220622'!BJ23&lt;&gt;"",'TRACKER - 20220622'!BJ23,"")</f>
        <v/>
      </c>
      <c r="BC22" t="str">
        <f>IF('TRACKER - 20220622'!BK23&lt;&gt;"",'TRACKER - 20220622'!BK23,"")</f>
        <v/>
      </c>
      <c r="BD22" t="str">
        <f>IF('TRACKER - 20220622'!BL23&lt;&gt;"",'TRACKER - 20220622'!BL23,"")</f>
        <v/>
      </c>
      <c r="BE22" t="str">
        <f>IF('TRACKER - 20220622'!BM23&lt;&gt;"",'TRACKER - 20220622'!BM23,"")</f>
        <v/>
      </c>
      <c r="BF22" t="str">
        <f>IF('TRACKER - 20220622'!BN23&lt;&gt;"",'TRACKER - 20220622'!BN23,"")</f>
        <v/>
      </c>
      <c r="BG22" t="str">
        <f>IF('TRACKER - 20220622'!BO23&lt;&gt;"",'TRACKER - 20220622'!BO23,"")</f>
        <v/>
      </c>
    </row>
    <row r="23" spans="1:59">
      <c r="A23" t="str">
        <f>IF('TRACKER - 20220622'!A24&lt;&gt;"",UPPER('TRACKER - 20220622'!A24),"")</f>
        <v>BANK OF IRELAND</v>
      </c>
      <c r="B23" t="str">
        <f>IF('TRACKER - 20220622'!B24&lt;&gt;"",UPPER('TRACKER - 20220622'!B24),"")</f>
        <v>Y</v>
      </c>
      <c r="C23" t="str">
        <f>IF('TRACKER - 20220622'!D24&lt;&gt;"",UPPER('TRACKER - 20220622'!D24),"")</f>
        <v>650</v>
      </c>
      <c r="D23" t="str">
        <f>IF('TRACKER - 20220622'!F24&lt;&gt;"",UPPER('TRACKER - 20220622'!F24),"")</f>
        <v>BOI-RSC-2021-00650</v>
      </c>
      <c r="E23" t="str">
        <f>IF('TRACKER - 20220622'!H24&lt;&gt;"",'TRACKER - 20220622'!H24,"")</f>
        <v>RSC650 - Review process for re-certification of users</v>
      </c>
      <c r="F23" t="str">
        <f t="shared" si="0"/>
        <v>BOI-RSC-2021-00650 RSC650 - Review process for re-certification of users</v>
      </c>
      <c r="G23" t="str">
        <f t="shared" si="1"/>
        <v>000650 - RSC650 - Review process for re-certification of users</v>
      </c>
      <c r="H23">
        <f>IF('TRACKER - 20220622'!J24&lt;&gt;"",'TRACKER - 20220622'!J24,"")</f>
        <v>0</v>
      </c>
      <c r="I23" t="str">
        <f>IF('TRACKER - 20220622'!K24&lt;&gt;"",UPPER('TRACKER - 20220622'!K24),"")</f>
        <v>44282</v>
      </c>
      <c r="J23" t="str">
        <f>IF('TRACKER - 20220622'!L24&lt;&gt;"",UPPER('TRACKER - 20220622'!L24),"")</f>
        <v>44273</v>
      </c>
      <c r="K23" t="str">
        <f>IF('TRACKER - 20220622'!M24&lt;&gt;"",UPPER('TRACKER - 20220622'!M24),"")</f>
        <v/>
      </c>
      <c r="L23" t="str">
        <f>IF('TRACKER - 20220622'!N24&lt;&gt;"",UPPER('TRACKER - 20220622'!N24),"")</f>
        <v/>
      </c>
      <c r="M23" t="str">
        <f>IF('TRACKER - 20220622'!O24&lt;&gt;"",UPPER('TRACKER - 20220622'!O24),"")</f>
        <v/>
      </c>
      <c r="N23" t="str">
        <f>IF('TRACKER - 20220622'!P24&lt;&gt;"",UPPER('TRACKER - 20220622'!P24),"")</f>
        <v/>
      </c>
      <c r="O23" t="str">
        <f>IF('TRACKER - 20220622'!Q24&lt;&gt;"",UPPER('TRACKER - 20220622'!Q24),"")</f>
        <v>PLATFORM</v>
      </c>
      <c r="P23" t="str">
        <f>IF('TRACKER - 20220622'!R24&lt;&gt;"",UPPER('TRACKER - 20220622'!R24),"")</f>
        <v>CLIENT</v>
      </c>
      <c r="Q23" t="str">
        <f>IF('TRACKER - 20220622'!S24&lt;&gt;"",UPPER('TRACKER - 20220622'!S24),"")</f>
        <v/>
      </c>
      <c r="R23" t="str">
        <f>IF('TRACKER - 20220622'!T24&lt;&gt;"",UPPER('TRACKER - 20220622'!T24),"")</f>
        <v/>
      </c>
      <c r="S23" t="str">
        <f>IF('TRACKER - 20220622'!U24&lt;&gt;"",UPPER('TRACKER - 20220622'!U24),"")</f>
        <v/>
      </c>
      <c r="T23" t="str">
        <f>IF('TRACKER - 20220622'!V24&lt;&gt;"",UPPER('TRACKER - 20220622'!V24),"")</f>
        <v/>
      </c>
      <c r="U23" t="str">
        <f>IF('TRACKER - 20220622'!W24&lt;&gt;"",UPPER('TRACKER - 20220622'!W24),"")</f>
        <v/>
      </c>
      <c r="V23" t="str">
        <f>IF('TRACKER - 20220622'!X24&lt;&gt;"",UPPER('TRACKER - 20220622'!X24),"")</f>
        <v/>
      </c>
      <c r="W23" t="str">
        <f>IF('TRACKER - 20220622'!Y24&lt;&gt;"",UPPER('TRACKER - 20220622'!Y24),"")</f>
        <v>0</v>
      </c>
      <c r="X23" t="str">
        <f>IF('TRACKER - 20220622'!Z24&lt;&gt;"",UPPER('TRACKER - 20220622'!Z24),"")</f>
        <v>0</v>
      </c>
      <c r="Y23" t="str">
        <f>IF('TRACKER - 20220622'!AA24&lt;&gt;"",UPPER('TRACKER - 20220622'!AA24),"")</f>
        <v>0</v>
      </c>
      <c r="Z23" t="str">
        <f>IF('TRACKER - 20220622'!AB24&lt;&gt;"",UPPER('TRACKER - 20220622'!AB24),"")</f>
        <v>0</v>
      </c>
      <c r="AA23" t="str">
        <f>IF('TRACKER - 20220622'!AC24&lt;&gt;"",UPPER('TRACKER - 20220622'!AC24),"")</f>
        <v>0</v>
      </c>
      <c r="AB23" t="str">
        <f>IF('TRACKER - 20220622'!AE24&lt;&gt;"",UPPER('TRACKER - 20220622'!AE24),"")</f>
        <v>0</v>
      </c>
      <c r="AC23" t="str">
        <f>IF('TRACKER - 20220622'!AF24&lt;&gt;"",UPPER('TRACKER - 20220622'!AF24),"")</f>
        <v>0</v>
      </c>
      <c r="AD23" t="str">
        <f>IF('TRACKER - 20220622'!AG24&lt;&gt;"",UPPER('TRACKER - 20220622'!AG24),"")</f>
        <v>0</v>
      </c>
      <c r="AE23" t="str">
        <f>IF('TRACKER - 20220622'!AH24&lt;&gt;"",UPPER('TRACKER - 20220622'!AH24),"")</f>
        <v>197.7</v>
      </c>
      <c r="AF23" t="str">
        <f>IF('TRACKER - 20220622'!AI24&lt;&gt;"",UPPER('TRACKER - 20220622'!AI24),"")</f>
        <v/>
      </c>
      <c r="AG23" t="str">
        <f>IF('TRACKER - 20220622'!AJ24&lt;&gt;"",UPPER('TRACKER - 20220622'!AJ24),"")</f>
        <v>0.2</v>
      </c>
      <c r="AH23" t="str">
        <f>IF('TRACKER - 20220622'!AK24&lt;&gt;"",UPPER('TRACKER - 20220622'!AK24),"")</f>
        <v/>
      </c>
      <c r="AI23" t="str">
        <f>IF('TRACKER - 20220622'!AL24&lt;&gt;"",UPPER('TRACKER - 20220622'!AL24),"")</f>
        <v>0</v>
      </c>
      <c r="AJ23" t="str">
        <f>IF('TRACKER - 20220622'!AM24&lt;&gt;"",UPPER('TRACKER - 20220622'!AM24),"")</f>
        <v>0</v>
      </c>
      <c r="AK23" t="str">
        <f>IF('TRACKER - 20220622'!AN24&lt;&gt;"",UPPER('TRACKER - 20220622'!AN24),"")</f>
        <v>0</v>
      </c>
      <c r="AL23" t="str">
        <f>IF('TRACKER - 20220622'!AO24&lt;&gt;"",UPPER('TRACKER - 20220622'!AO24),"")</f>
        <v>0</v>
      </c>
      <c r="AM23" t="str">
        <f>IF('TRACKER - 20220622'!AP24&lt;&gt;"",UPPER('TRACKER - 20220622'!AP24),"")</f>
        <v>0</v>
      </c>
      <c r="AN23" t="str">
        <f>IF('TRACKER - 20220622'!AQ24&lt;&gt;"",UPPER('TRACKER - 20220622'!AQ24),"")</f>
        <v>0</v>
      </c>
      <c r="AO23" t="str">
        <f>IF('TRACKER - 20220622'!AR24&lt;&gt;"",UPPER('TRACKER - 20220622'!AR24),"")</f>
        <v>BOI</v>
      </c>
      <c r="AP23" t="str">
        <f>IF('TRACKER - 20220622'!AS24&lt;&gt;"",UPPER('TRACKER - 20220622'!AS24),"")</f>
        <v>RSC</v>
      </c>
      <c r="AQ23" t="str">
        <f>IF('TRACKER - 20220622'!AT24&lt;&gt;"",UPPER('TRACKER - 20220622'!AT24),"")</f>
        <v>Y</v>
      </c>
      <c r="AR23" t="str">
        <f>IF('TRACKER - 20220622'!AU24&lt;&gt;"",UPPER('TRACKER - 20220622'!AU24),"")</f>
        <v>197.7</v>
      </c>
      <c r="AS23" t="str">
        <f>IF('TRACKER - 20220622'!AV24&lt;&gt;"",UPPER('TRACKER - 20220622'!AV24),"")</f>
        <v/>
      </c>
      <c r="AT23" t="str">
        <f>IF('TRACKER - 20220622'!AW24&lt;&gt;"",UPPER('TRACKER - 20220622'!AW24),"")</f>
        <v>DESCR24</v>
      </c>
      <c r="AU23" t="str">
        <f>IF('TRACKER - 20220622'!AX24&lt;&gt;"",UPPER('TRACKER - 20220622'!AX24),"")</f>
        <v>REASON24</v>
      </c>
      <c r="AV23" t="str">
        <f>IF('TRACKER - 20220622'!BD24&lt;&gt;"",'TRACKER - 20220622'!BD24,"")</f>
        <v/>
      </c>
      <c r="AW23" t="str">
        <f>IF('TRACKER - 20220622'!BE24&lt;&gt;"",'TRACKER - 20220622'!BE24,"")</f>
        <v/>
      </c>
      <c r="AX23" t="str">
        <f>IF('TRACKER - 20220622'!BF24&lt;&gt;"",'TRACKER - 20220622'!BF24,"")</f>
        <v/>
      </c>
      <c r="AY23" t="str">
        <f>IF('TRACKER - 20220622'!BG24&lt;&gt;"",'TRACKER - 20220622'!BG24,"")</f>
        <v/>
      </c>
      <c r="AZ23" t="str">
        <f>IF('TRACKER - 20220622'!BH24&lt;&gt;"",'TRACKER - 20220622'!BH24,"")</f>
        <v/>
      </c>
      <c r="BA23" t="str">
        <f>IF('TRACKER - 20220622'!BI24&lt;&gt;"",'TRACKER - 20220622'!BI24,"")</f>
        <v/>
      </c>
      <c r="BB23" t="str">
        <f>IF('TRACKER - 20220622'!BJ24&lt;&gt;"",'TRACKER - 20220622'!BJ24,"")</f>
        <v/>
      </c>
      <c r="BC23" t="str">
        <f>IF('TRACKER - 20220622'!BK24&lt;&gt;"",'TRACKER - 20220622'!BK24,"")</f>
        <v/>
      </c>
      <c r="BD23" t="str">
        <f>IF('TRACKER - 20220622'!BL24&lt;&gt;"",'TRACKER - 20220622'!BL24,"")</f>
        <v/>
      </c>
      <c r="BE23" t="str">
        <f>IF('TRACKER - 20220622'!BM24&lt;&gt;"",'TRACKER - 20220622'!BM24,"")</f>
        <v/>
      </c>
      <c r="BF23" t="str">
        <f>IF('TRACKER - 20220622'!BN24&lt;&gt;"",'TRACKER - 20220622'!BN24,"")</f>
        <v/>
      </c>
      <c r="BG23" t="str">
        <f>IF('TRACKER - 20220622'!BO24&lt;&gt;"",'TRACKER - 20220622'!BO24,"")</f>
        <v/>
      </c>
    </row>
    <row r="24" spans="1:59">
      <c r="A24" t="str">
        <f>IF('TRACKER - 20220622'!A26&lt;&gt;"",UPPER('TRACKER - 20220622'!A26),"")</f>
        <v>BANK OF IRELAND</v>
      </c>
      <c r="B24" t="str">
        <f>IF('TRACKER - 20220622'!B26&lt;&gt;"",UPPER('TRACKER - 20220622'!B26),"")</f>
        <v>Y</v>
      </c>
      <c r="C24" t="str">
        <f>IF('TRACKER - 20220622'!D25&lt;&gt;"",UPPER('TRACKER - 20220622'!D25),"")</f>
        <v>651</v>
      </c>
      <c r="D24" t="str">
        <f>IF('TRACKER - 20220622'!F26&lt;&gt;"",UPPER('TRACKER - 20220622'!F26),"")</f>
        <v>BOI-RSC-2021-00654</v>
      </c>
      <c r="E24" t="str">
        <f>IF('TRACKER - 20220622'!H26&lt;&gt;"",'TRACKER - 20220622'!H26,"")</f>
        <v>RSC654 - Multicast Proxy Module</v>
      </c>
      <c r="F24" t="str">
        <f t="shared" si="0"/>
        <v>BOI-RSC-2021-00654 RSC654 - Multicast Proxy Module</v>
      </c>
      <c r="G24" t="str">
        <f t="shared" si="1"/>
        <v>000651 - RSC654 - Multicast Proxy Module</v>
      </c>
      <c r="H24">
        <f>IF('TRACKER - 20220622'!J26&lt;&gt;"",'TRACKER - 20220622'!J26,"")</f>
        <v>5034</v>
      </c>
      <c r="I24" t="str">
        <f>IF('TRACKER - 20220622'!K25&lt;&gt;"",UPPER('TRACKER - 20220622'!K25),"")</f>
        <v>44282</v>
      </c>
      <c r="J24" t="str">
        <f>IF('TRACKER - 20220622'!L25&lt;&gt;"",UPPER('TRACKER - 20220622'!L25),"")</f>
        <v>44273</v>
      </c>
      <c r="K24" t="str">
        <f>IF('TRACKER - 20220622'!M25&lt;&gt;"",UPPER('TRACKER - 20220622'!M25),"")</f>
        <v/>
      </c>
      <c r="L24" t="str">
        <f>IF('TRACKER - 20220622'!N25&lt;&gt;"",UPPER('TRACKER - 20220622'!N25),"")</f>
        <v/>
      </c>
      <c r="M24" t="str">
        <f>IF('TRACKER - 20220622'!O25&lt;&gt;"",UPPER('TRACKER - 20220622'!O25),"")</f>
        <v/>
      </c>
      <c r="N24" t="str">
        <f>IF('TRACKER - 20220622'!P25&lt;&gt;"",UPPER('TRACKER - 20220622'!P25),"")</f>
        <v/>
      </c>
      <c r="O24" t="str">
        <f>IF('TRACKER - 20220622'!Q25&lt;&gt;"",UPPER('TRACKER - 20220622'!Q25),"")</f>
        <v>PLATFORM</v>
      </c>
      <c r="P24" t="str">
        <f>IF('TRACKER - 20220622'!R25&lt;&gt;"",UPPER('TRACKER - 20220622'!R25),"")</f>
        <v>CLIENT</v>
      </c>
      <c r="Q24" t="str">
        <f>IF('TRACKER - 20220622'!S25&lt;&gt;"",UPPER('TRACKER - 20220622'!S25),"")</f>
        <v/>
      </c>
      <c r="R24" t="str">
        <f>IF('TRACKER - 20220622'!T25&lt;&gt;"",UPPER('TRACKER - 20220622'!T25),"")</f>
        <v/>
      </c>
      <c r="S24" t="str">
        <f>IF('TRACKER - 20220622'!U25&lt;&gt;"",UPPER('TRACKER - 20220622'!U25),"")</f>
        <v/>
      </c>
      <c r="T24" t="str">
        <f>IF('TRACKER - 20220622'!V25&lt;&gt;"",UPPER('TRACKER - 20220622'!V25),"")</f>
        <v/>
      </c>
      <c r="U24" t="str">
        <f>IF('TRACKER - 20220622'!W25&lt;&gt;"",UPPER('TRACKER - 20220622'!W25),"")</f>
        <v/>
      </c>
      <c r="V24" t="str">
        <f>IF('TRACKER - 20220622'!X25&lt;&gt;"",UPPER('TRACKER - 20220622'!X25),"")</f>
        <v>20/04/21 - BS CONFIRMED THAT THIS IS CONFIG ONLY THEREFORE WAS NOT SEND TO PRODUCT APPROVAL</v>
      </c>
      <c r="W24" t="str">
        <f>IF('TRACKER - 20220622'!Y25&lt;&gt;"",UPPER('TRACKER - 20220622'!Y25),"")</f>
        <v>0</v>
      </c>
      <c r="X24" t="str">
        <f>IF('TRACKER - 20220622'!Z25&lt;&gt;"",UPPER('TRACKER - 20220622'!Z25),"")</f>
        <v>0</v>
      </c>
      <c r="Y24" t="str">
        <f>IF('TRACKER - 20220622'!AA25&lt;&gt;"",UPPER('TRACKER - 20220622'!AA25),"")</f>
        <v>0</v>
      </c>
      <c r="Z24" t="str">
        <f>IF('TRACKER - 20220622'!AB25&lt;&gt;"",UPPER('TRACKER - 20220622'!AB25),"")</f>
        <v>0</v>
      </c>
      <c r="AA24" t="str">
        <f>IF('TRACKER - 20220622'!AC25&lt;&gt;"",UPPER('TRACKER - 20220622'!AC25),"")</f>
        <v>0</v>
      </c>
      <c r="AB24" t="str">
        <f>IF('TRACKER - 20220622'!AE25&lt;&gt;"",UPPER('TRACKER - 20220622'!AE25),"")</f>
        <v>0</v>
      </c>
      <c r="AC24" t="str">
        <f>IF('TRACKER - 20220622'!AF25&lt;&gt;"",UPPER('TRACKER - 20220622'!AF25),"")</f>
        <v>0</v>
      </c>
      <c r="AD24" t="str">
        <f>IF('TRACKER - 20220622'!AG25&lt;&gt;"",UPPER('TRACKER - 20220622'!AG25),"")</f>
        <v>0</v>
      </c>
      <c r="AE24" t="str">
        <f>IF('TRACKER - 20220622'!AH25&lt;&gt;"",UPPER('TRACKER - 20220622'!AH25),"")</f>
        <v>197.7</v>
      </c>
      <c r="AF24" t="str">
        <f>IF('TRACKER - 20220622'!AI25&lt;&gt;"",UPPER('TRACKER - 20220622'!AI25),"")</f>
        <v/>
      </c>
      <c r="AG24" t="str">
        <f>IF('TRACKER - 20220622'!AJ25&lt;&gt;"",UPPER('TRACKER - 20220622'!AJ25),"")</f>
        <v>0.2</v>
      </c>
      <c r="AH24" t="str">
        <f>IF('TRACKER - 20220622'!AK25&lt;&gt;"",UPPER('TRACKER - 20220622'!AK25),"")</f>
        <v/>
      </c>
      <c r="AI24" t="str">
        <f>IF('TRACKER - 20220622'!AL25&lt;&gt;"",UPPER('TRACKER - 20220622'!AL25),"")</f>
        <v>0</v>
      </c>
      <c r="AJ24" t="str">
        <f>IF('TRACKER - 20220622'!AM25&lt;&gt;"",UPPER('TRACKER - 20220622'!AM25),"")</f>
        <v>0</v>
      </c>
      <c r="AK24" t="str">
        <f>IF('TRACKER - 20220622'!AN25&lt;&gt;"",UPPER('TRACKER - 20220622'!AN25),"")</f>
        <v>0</v>
      </c>
      <c r="AL24" t="str">
        <f>IF('TRACKER - 20220622'!AO25&lt;&gt;"",UPPER('TRACKER - 20220622'!AO25),"")</f>
        <v>0</v>
      </c>
      <c r="AM24" t="str">
        <f>IF('TRACKER - 20220622'!AP25&lt;&gt;"",UPPER('TRACKER - 20220622'!AP25),"")</f>
        <v>0</v>
      </c>
      <c r="AN24" t="str">
        <f>IF('TRACKER - 20220622'!AQ25&lt;&gt;"",UPPER('TRACKER - 20220622'!AQ25),"")</f>
        <v>0</v>
      </c>
      <c r="AO24" t="str">
        <f>IF('TRACKER - 20220622'!AR25&lt;&gt;"",UPPER('TRACKER - 20220622'!AR25),"")</f>
        <v>BOI</v>
      </c>
      <c r="AP24" t="str">
        <f>IF('TRACKER - 20220622'!AS25&lt;&gt;"",UPPER('TRACKER - 20220622'!AS25),"")</f>
        <v>RSC</v>
      </c>
      <c r="AQ24" t="str">
        <f>IF('TRACKER - 20220622'!AT25&lt;&gt;"",UPPER('TRACKER - 20220622'!AT25),"")</f>
        <v>Y</v>
      </c>
      <c r="AR24" t="str">
        <f>IF('TRACKER - 20220622'!AU25&lt;&gt;"",UPPER('TRACKER - 20220622'!AU25),"")</f>
        <v>197.7</v>
      </c>
      <c r="AS24" t="str">
        <f>IF('TRACKER - 20220622'!AV25&lt;&gt;"",UPPER('TRACKER - 20220622'!AV25),"")</f>
        <v/>
      </c>
      <c r="AT24" t="str">
        <f>IF('TRACKER - 20220622'!AW25&lt;&gt;"",UPPER('TRACKER - 20220622'!AW25),"")</f>
        <v>DESCR25</v>
      </c>
      <c r="AU24" t="str">
        <f>IF('TRACKER - 20220622'!AX25&lt;&gt;"",UPPER('TRACKER - 20220622'!AX25),"")</f>
        <v>REASON25</v>
      </c>
      <c r="AV24" t="str">
        <f>IF('TRACKER - 20220622'!BD26&lt;&gt;"",'TRACKER - 20220622'!BD26,"")</f>
        <v/>
      </c>
      <c r="AW24" t="str">
        <f>IF('TRACKER - 20220622'!BE26&lt;&gt;"",'TRACKER - 20220622'!BE26,"")</f>
        <v/>
      </c>
      <c r="AX24" t="str">
        <f>IF('TRACKER - 20220622'!BF26&lt;&gt;"",'TRACKER - 20220622'!BF26,"")</f>
        <v/>
      </c>
      <c r="AY24" t="str">
        <f>IF('TRACKER - 20220622'!BG26&lt;&gt;"",'TRACKER - 20220622'!BG26,"")</f>
        <v/>
      </c>
      <c r="AZ24" t="str">
        <f>IF('TRACKER - 20220622'!BH26&lt;&gt;"",'TRACKER - 20220622'!BH26,"")</f>
        <v/>
      </c>
      <c r="BA24" t="str">
        <f>IF('TRACKER - 20220622'!BI26&lt;&gt;"",'TRACKER - 20220622'!BI26,"")</f>
        <v/>
      </c>
      <c r="BB24" t="str">
        <f>IF('TRACKER - 20220622'!BJ26&lt;&gt;"",'TRACKER - 20220622'!BJ26,"")</f>
        <v/>
      </c>
      <c r="BC24" t="str">
        <f>IF('TRACKER - 20220622'!BK26&lt;&gt;"",'TRACKER - 20220622'!BK26,"")</f>
        <v/>
      </c>
      <c r="BD24" t="str">
        <f>IF('TRACKER - 20220622'!BL26&lt;&gt;"",'TRACKER - 20220622'!BL26,"")</f>
        <v/>
      </c>
      <c r="BE24" t="str">
        <f>IF('TRACKER - 20220622'!BM26&lt;&gt;"",'TRACKER - 20220622'!BM26,"")</f>
        <v/>
      </c>
      <c r="BF24" t="str">
        <f>IF('TRACKER - 20220622'!BN26&lt;&gt;"",'TRACKER - 20220622'!BN26,"")</f>
        <v/>
      </c>
      <c r="BG24" t="str">
        <f>IF('TRACKER - 20220622'!BO26&lt;&gt;"",'TRACKER - 20220622'!BO26,"")</f>
        <v/>
      </c>
    </row>
    <row r="25" spans="1:59">
      <c r="A25" t="str">
        <f>IF('TRACKER - 20220622'!A29&lt;&gt;"",UPPER('TRACKER - 20220622'!A29),"")</f>
        <v>BDB LONDON</v>
      </c>
      <c r="B25" t="str">
        <f>IF('TRACKER - 20220622'!B29&lt;&gt;"",UPPER('TRACKER - 20220622'!B29),"")</f>
        <v>Y</v>
      </c>
      <c r="C25" t="str">
        <f>IF('TRACKER - 20220622'!D26&lt;&gt;"",UPPER('TRACKER - 20220622'!D26),"")</f>
        <v>654</v>
      </c>
      <c r="D25" t="str">
        <f>IF('TRACKER - 20220622'!F29&lt;&gt;"",UPPER('TRACKER - 20220622'!F29),"")</f>
        <v>BDB-RSC-2020-00087</v>
      </c>
      <c r="E25" t="str">
        <f>IF('TRACKER - 20220622'!H29&lt;&gt;"",'TRACKER - 20220622'!H29,"")</f>
        <v>RSC087 - NEX Replacement</v>
      </c>
      <c r="F25" t="str">
        <f t="shared" si="0"/>
        <v>BDB-RSC-2020-00087 RSC087 - NEX Replacement</v>
      </c>
      <c r="G25" t="str">
        <f t="shared" si="1"/>
        <v>000654 - RSC087 - NEX Replacement</v>
      </c>
      <c r="H25">
        <f>IF('TRACKER - 20220622'!J29&lt;&gt;"",'TRACKER - 20220622'!J29,"")</f>
        <v>0</v>
      </c>
      <c r="I25" t="str">
        <f>IF('TRACKER - 20220622'!K26&lt;&gt;"",UPPER('TRACKER - 20220622'!K26),"")</f>
        <v>44341</v>
      </c>
      <c r="J25" t="str">
        <f>IF('TRACKER - 20220622'!L26&lt;&gt;"",UPPER('TRACKER - 20220622'!L26),"")</f>
        <v>44341</v>
      </c>
      <c r="K25" t="str">
        <f>IF('TRACKER - 20220622'!M26&lt;&gt;"",UPPER('TRACKER - 20220622'!M26),"")</f>
        <v/>
      </c>
      <c r="L25" t="str">
        <f>IF('TRACKER - 20220622'!N26&lt;&gt;"",UPPER('TRACKER - 20220622'!N26),"")</f>
        <v/>
      </c>
      <c r="M25" t="str">
        <f>IF('TRACKER - 20220622'!O26&lt;&gt;"",UPPER('TRACKER - 20220622'!O26),"")</f>
        <v/>
      </c>
      <c r="N25" t="str">
        <f>IF('TRACKER - 20220622'!P26&lt;&gt;"",UPPER('TRACKER - 20220622'!P26),"")</f>
        <v/>
      </c>
      <c r="O25" t="str">
        <f>IF('TRACKER - 20220622'!Q26&lt;&gt;"",UPPER('TRACKER - 20220622'!Q26),"")</f>
        <v>INFRASTRUCTURE</v>
      </c>
      <c r="P25" t="str">
        <f>IF('TRACKER - 20220622'!R26&lt;&gt;"",UPPER('TRACKER - 20220622'!R26),"")</f>
        <v>CLIENT</v>
      </c>
      <c r="Q25" t="str">
        <f>IF('TRACKER - 20220622'!S26&lt;&gt;"",UPPER('TRACKER - 20220622'!S26),"")</f>
        <v/>
      </c>
      <c r="R25" t="str">
        <f>IF('TRACKER - 20220622'!T26&lt;&gt;"",UPPER('TRACKER - 20220622'!T26),"")</f>
        <v/>
      </c>
      <c r="S25" t="str">
        <f>IF('TRACKER - 20220622'!U26&lt;&gt;"",UPPER('TRACKER - 20220622'!U26),"")</f>
        <v/>
      </c>
      <c r="T25" t="str">
        <f>IF('TRACKER - 20220622'!V26&lt;&gt;"",UPPER('TRACKER - 20220622'!V26),"")</f>
        <v/>
      </c>
      <c r="U25" t="str">
        <f>IF('TRACKER - 20220622'!W26&lt;&gt;"",UPPER('TRACKER - 20220622'!W26),"")</f>
        <v/>
      </c>
      <c r="V25" t="str">
        <f>IF('TRACKER - 20220622'!X26&lt;&gt;"",UPPER('TRACKER - 20220622'!X26),"")</f>
        <v/>
      </c>
      <c r="W25" t="str">
        <f>IF('TRACKER - 20220622'!Y26&lt;&gt;"",UPPER('TRACKER - 20220622'!Y26),"")</f>
        <v>5034</v>
      </c>
      <c r="X25" t="str">
        <f>IF('TRACKER - 20220622'!Z26&lt;&gt;"",UPPER('TRACKER - 20220622'!Z26),"")</f>
        <v>0</v>
      </c>
      <c r="Y25" t="str">
        <f>IF('TRACKER - 20220622'!AA26&lt;&gt;"",UPPER('TRACKER - 20220622'!AA26),"")</f>
        <v>0</v>
      </c>
      <c r="Z25" t="str">
        <f>IF('TRACKER - 20220622'!AB26&lt;&gt;"",UPPER('TRACKER - 20220622'!AB26),"")</f>
        <v>0</v>
      </c>
      <c r="AA25" t="str">
        <f>IF('TRACKER - 20220622'!AC26&lt;&gt;"",UPPER('TRACKER - 20220622'!AC26),"")</f>
        <v>0</v>
      </c>
      <c r="AB25" t="str">
        <f>IF('TRACKER - 20220622'!AE26&lt;&gt;"",UPPER('TRACKER - 20220622'!AE26),"")</f>
        <v>0</v>
      </c>
      <c r="AC25" t="str">
        <f>IF('TRACKER - 20220622'!AF26&lt;&gt;"",UPPER('TRACKER - 20220622'!AF26),"")</f>
        <v>5034</v>
      </c>
      <c r="AD25" t="str">
        <f>IF('TRACKER - 20220622'!AG26&lt;&gt;"",UPPER('TRACKER - 20220622'!AG26),"")</f>
        <v>0</v>
      </c>
      <c r="AE25" t="str">
        <f>IF('TRACKER - 20220622'!AH26&lt;&gt;"",UPPER('TRACKER - 20220622'!AH26),"")</f>
        <v>197.7</v>
      </c>
      <c r="AF25" t="str">
        <f>IF('TRACKER - 20220622'!AI26&lt;&gt;"",UPPER('TRACKER - 20220622'!AI26),"")</f>
        <v/>
      </c>
      <c r="AG25" t="str">
        <f>IF('TRACKER - 20220622'!AJ26&lt;&gt;"",UPPER('TRACKER - 20220622'!AJ26),"")</f>
        <v>0.2</v>
      </c>
      <c r="AH25" t="str">
        <f>IF('TRACKER - 20220622'!AK26&lt;&gt;"",UPPER('TRACKER - 20220622'!AK26),"")</f>
        <v/>
      </c>
      <c r="AI25" t="str">
        <f>IF('TRACKER - 20220622'!AL26&lt;&gt;"",UPPER('TRACKER - 20220622'!AL26),"")</f>
        <v>0</v>
      </c>
      <c r="AJ25" t="str">
        <f>IF('TRACKER - 20220622'!AM26&lt;&gt;"",UPPER('TRACKER - 20220622'!AM26),"")</f>
        <v>0</v>
      </c>
      <c r="AK25" t="str">
        <f>IF('TRACKER - 20220622'!AN26&lt;&gt;"",UPPER('TRACKER - 20220622'!AN26),"")</f>
        <v>0</v>
      </c>
      <c r="AL25" t="str">
        <f>IF('TRACKER - 20220622'!AO26&lt;&gt;"",UPPER('TRACKER - 20220622'!AO26),"")</f>
        <v>0</v>
      </c>
      <c r="AM25" t="str">
        <f>IF('TRACKER - 20220622'!AP26&lt;&gt;"",UPPER('TRACKER - 20220622'!AP26),"")</f>
        <v>0</v>
      </c>
      <c r="AN25" t="str">
        <f>IF('TRACKER - 20220622'!AQ26&lt;&gt;"",UPPER('TRACKER - 20220622'!AQ26),"")</f>
        <v>0</v>
      </c>
      <c r="AO25" t="str">
        <f>IF('TRACKER - 20220622'!AR26&lt;&gt;"",UPPER('TRACKER - 20220622'!AR26),"")</f>
        <v>BOI</v>
      </c>
      <c r="AP25" t="str">
        <f>IF('TRACKER - 20220622'!AS26&lt;&gt;"",UPPER('TRACKER - 20220622'!AS26),"")</f>
        <v>RSC</v>
      </c>
      <c r="AQ25" t="str">
        <f>IF('TRACKER - 20220622'!AT26&lt;&gt;"",UPPER('TRACKER - 20220622'!AT26),"")</f>
        <v>Y</v>
      </c>
      <c r="AR25" t="str">
        <f>IF('TRACKER - 20220622'!AU26&lt;&gt;"",UPPER('TRACKER - 20220622'!AU26),"")</f>
        <v>197.7</v>
      </c>
      <c r="AS25" t="str">
        <f>IF('TRACKER - 20220622'!AV26&lt;&gt;"",UPPER('TRACKER - 20220622'!AV26),"")</f>
        <v/>
      </c>
      <c r="AT25" t="str">
        <f>IF('TRACKER - 20220622'!AW26&lt;&gt;"",UPPER('TRACKER - 20220622'!AW26),"")</f>
        <v>DESCR26</v>
      </c>
      <c r="AU25" t="str">
        <f>IF('TRACKER - 20220622'!AX26&lt;&gt;"",UPPER('TRACKER - 20220622'!AX26),"")</f>
        <v>REASON26</v>
      </c>
      <c r="AV25" t="str">
        <f>IF('TRACKER - 20220622'!BD29&lt;&gt;"",'TRACKER - 20220622'!BD29,"")</f>
        <v/>
      </c>
      <c r="AW25" t="str">
        <f>IF('TRACKER - 20220622'!BE29&lt;&gt;"",'TRACKER - 20220622'!BE29,"")</f>
        <v/>
      </c>
      <c r="AX25" t="str">
        <f>IF('TRACKER - 20220622'!BF29&lt;&gt;"",'TRACKER - 20220622'!BF29,"")</f>
        <v/>
      </c>
      <c r="AY25" t="str">
        <f>IF('TRACKER - 20220622'!BG29&lt;&gt;"",'TRACKER - 20220622'!BG29,"")</f>
        <v/>
      </c>
      <c r="AZ25" t="str">
        <f>IF('TRACKER - 20220622'!BH29&lt;&gt;"",'TRACKER - 20220622'!BH29,"")</f>
        <v/>
      </c>
      <c r="BA25" t="str">
        <f>IF('TRACKER - 20220622'!BI29&lt;&gt;"",'TRACKER - 20220622'!BI29,"")</f>
        <v/>
      </c>
      <c r="BB25" t="str">
        <f>IF('TRACKER - 20220622'!BJ29&lt;&gt;"",'TRACKER - 20220622'!BJ29,"")</f>
        <v/>
      </c>
      <c r="BC25" t="str">
        <f>IF('TRACKER - 20220622'!BK29&lt;&gt;"",'TRACKER - 20220622'!BK29,"")</f>
        <v/>
      </c>
      <c r="BD25" t="str">
        <f>IF('TRACKER - 20220622'!BL29&lt;&gt;"",'TRACKER - 20220622'!BL29,"")</f>
        <v/>
      </c>
      <c r="BE25" t="str">
        <f>IF('TRACKER - 20220622'!BM29&lt;&gt;"",'TRACKER - 20220622'!BM29,"")</f>
        <v/>
      </c>
      <c r="BF25" t="str">
        <f>IF('TRACKER - 20220622'!BN29&lt;&gt;"",'TRACKER - 20220622'!BN29,"")</f>
        <v/>
      </c>
      <c r="BG25" t="str">
        <f>IF('TRACKER - 20220622'!BO29&lt;&gt;"",'TRACKER - 20220622'!BO29,"")</f>
        <v/>
      </c>
    </row>
    <row r="26" spans="1:59">
      <c r="A26" t="str">
        <f>IF('TRACKER - 20220622'!A30&lt;&gt;"",UPPER('TRACKER - 20220622'!A30),"")</f>
        <v>BDB LONDON</v>
      </c>
      <c r="B26" t="str">
        <f>IF('TRACKER - 20220622'!B30&lt;&gt;"",UPPER('TRACKER - 20220622'!B30),"")</f>
        <v>Y</v>
      </c>
      <c r="C26" t="str">
        <f>IF('TRACKER - 20220622'!D29&lt;&gt;"",UPPER('TRACKER - 20220622'!D29),"")</f>
        <v>87</v>
      </c>
      <c r="D26" t="str">
        <f>IF('TRACKER - 20220622'!F30&lt;&gt;"",UPPER('TRACKER - 20220622'!F30),"")</f>
        <v>BDB-RSC-2020-00084</v>
      </c>
      <c r="E26" t="str">
        <f>IF('TRACKER - 20220622'!H30&lt;&gt;"",'TRACKER - 20220622'!H30,"")</f>
        <v>RSC084 – Move RegReporting</v>
      </c>
      <c r="F26" t="str">
        <f t="shared" si="0"/>
        <v>BDB-RSC-2020-00084 RSC084 – Move RegReporting</v>
      </c>
      <c r="G26" t="str">
        <f t="shared" si="1"/>
        <v>00087 - RSC084 – Move RegReporting</v>
      </c>
      <c r="H26">
        <f>IF('TRACKER - 20220622'!J30&lt;&gt;"",'TRACKER - 20220622'!J30,"")</f>
        <v>9709.1999999999989</v>
      </c>
      <c r="I26" t="str">
        <f>IF('TRACKER - 20220622'!K29&lt;&gt;"",UPPER('TRACKER - 20220622'!K29),"")</f>
        <v>44061</v>
      </c>
      <c r="J26" t="str">
        <f>IF('TRACKER - 20220622'!L29&lt;&gt;"",UPPER('TRACKER - 20220622'!L29),"")</f>
        <v>44061</v>
      </c>
      <c r="K26" t="str">
        <f>IF('TRACKER - 20220622'!M29&lt;&gt;"",UPPER('TRACKER - 20220622'!M29),"")</f>
        <v/>
      </c>
      <c r="L26" t="str">
        <f>IF('TRACKER - 20220622'!N29&lt;&gt;"",UPPER('TRACKER - 20220622'!N29),"")</f>
        <v/>
      </c>
      <c r="M26" t="str">
        <f>IF('TRACKER - 20220622'!O29&lt;&gt;"",UPPER('TRACKER - 20220622'!O29),"")</f>
        <v/>
      </c>
      <c r="N26" t="str">
        <f>IF('TRACKER - 20220622'!P29&lt;&gt;"",UPPER('TRACKER - 20220622'!P29),"")</f>
        <v/>
      </c>
      <c r="O26" t="str">
        <f>IF('TRACKER - 20220622'!Q29&lt;&gt;"",UPPER('TRACKER - 20220622'!Q29),"")</f>
        <v>N/A</v>
      </c>
      <c r="P26" t="str">
        <f>IF('TRACKER - 20220622'!R29&lt;&gt;"",UPPER('TRACKER - 20220622'!R29),"")</f>
        <v>CLIENT</v>
      </c>
      <c r="Q26" t="str">
        <f>IF('TRACKER - 20220622'!S29&lt;&gt;"",UPPER('TRACKER - 20220622'!S29),"")</f>
        <v/>
      </c>
      <c r="R26" t="str">
        <f>IF('TRACKER - 20220622'!T29&lt;&gt;"",UPPER('TRACKER - 20220622'!T29),"")</f>
        <v/>
      </c>
      <c r="S26" t="str">
        <f>IF('TRACKER - 20220622'!U29&lt;&gt;"",UPPER('TRACKER - 20220622'!U29),"")</f>
        <v/>
      </c>
      <c r="T26" t="str">
        <f>IF('TRACKER - 20220622'!V29&lt;&gt;"",UPPER('TRACKER - 20220622'!V29),"")</f>
        <v/>
      </c>
      <c r="U26" t="str">
        <f>IF('TRACKER - 20220622'!W29&lt;&gt;"",UPPER('TRACKER - 20220622'!W29),"")</f>
        <v/>
      </c>
      <c r="V26" t="str">
        <f>IF('TRACKER - 20220622'!X29&lt;&gt;"",UPPER('TRACKER - 20220622'!X29),"")</f>
        <v/>
      </c>
      <c r="W26" t="str">
        <f>IF('TRACKER - 20220622'!Y29&lt;&gt;"",UPPER('TRACKER - 20220622'!Y29),"")</f>
        <v>0</v>
      </c>
      <c r="X26" t="str">
        <f>IF('TRACKER - 20220622'!Z29&lt;&gt;"",UPPER('TRACKER - 20220622'!Z29),"")</f>
        <v>0</v>
      </c>
      <c r="Y26" t="str">
        <f>IF('TRACKER - 20220622'!AA29&lt;&gt;"",UPPER('TRACKER - 20220622'!AA29),"")</f>
        <v>0</v>
      </c>
      <c r="Z26" t="str">
        <f>IF('TRACKER - 20220622'!AB29&lt;&gt;"",UPPER('TRACKER - 20220622'!AB29),"")</f>
        <v>0</v>
      </c>
      <c r="AA26" t="str">
        <f>IF('TRACKER - 20220622'!AC29&lt;&gt;"",UPPER('TRACKER - 20220622'!AC29),"")</f>
        <v>0</v>
      </c>
      <c r="AB26" t="str">
        <f>IF('TRACKER - 20220622'!AE29&lt;&gt;"",UPPER('TRACKER - 20220622'!AE29),"")</f>
        <v>0</v>
      </c>
      <c r="AC26" t="str">
        <f>IF('TRACKER - 20220622'!AF29&lt;&gt;"",UPPER('TRACKER - 20220622'!AF29),"")</f>
        <v>0</v>
      </c>
      <c r="AD26" t="str">
        <f>IF('TRACKER - 20220622'!AG29&lt;&gt;"",UPPER('TRACKER - 20220622'!AG29),"")</f>
        <v>0</v>
      </c>
      <c r="AE26" t="str">
        <f>IF('TRACKER - 20220622'!AH29&lt;&gt;"",UPPER('TRACKER - 20220622'!AH29),"")</f>
        <v>215.76</v>
      </c>
      <c r="AF26" t="str">
        <f>IF('TRACKER - 20220622'!AI29&lt;&gt;"",UPPER('TRACKER - 20220622'!AI29),"")</f>
        <v/>
      </c>
      <c r="AG26" t="str">
        <f>IF('TRACKER - 20220622'!AJ29&lt;&gt;"",UPPER('TRACKER - 20220622'!AJ29),"")</f>
        <v>0.2</v>
      </c>
      <c r="AH26" t="str">
        <f>IF('TRACKER - 20220622'!AK29&lt;&gt;"",UPPER('TRACKER - 20220622'!AK29),"")</f>
        <v/>
      </c>
      <c r="AI26" t="str">
        <f>IF('TRACKER - 20220622'!AL29&lt;&gt;"",UPPER('TRACKER - 20220622'!AL29),"")</f>
        <v>0</v>
      </c>
      <c r="AJ26" t="str">
        <f>IF('TRACKER - 20220622'!AM29&lt;&gt;"",UPPER('TRACKER - 20220622'!AM29),"")</f>
        <v>0</v>
      </c>
      <c r="AK26" t="str">
        <f>IF('TRACKER - 20220622'!AN29&lt;&gt;"",UPPER('TRACKER - 20220622'!AN29),"")</f>
        <v/>
      </c>
      <c r="AL26" t="str">
        <f>IF('TRACKER - 20220622'!AO29&lt;&gt;"",UPPER('TRACKER - 20220622'!AO29),"")</f>
        <v>0</v>
      </c>
      <c r="AM26" t="str">
        <f>IF('TRACKER - 20220622'!AP29&lt;&gt;"",UPPER('TRACKER - 20220622'!AP29),"")</f>
        <v>0</v>
      </c>
      <c r="AN26" t="str">
        <f>IF('TRACKER - 20220622'!AQ29&lt;&gt;"",UPPER('TRACKER - 20220622'!AQ29),"")</f>
        <v>0</v>
      </c>
      <c r="AO26" t="str">
        <f>IF('TRACKER - 20220622'!AR29&lt;&gt;"",UPPER('TRACKER - 20220622'!AR29),"")</f>
        <v>BDB</v>
      </c>
      <c r="AP26" t="str">
        <f>IF('TRACKER - 20220622'!AS29&lt;&gt;"",UPPER('TRACKER - 20220622'!AS29),"")</f>
        <v>RSC</v>
      </c>
      <c r="AQ26" t="str">
        <f>IF('TRACKER - 20220622'!AT29&lt;&gt;"",UPPER('TRACKER - 20220622'!AT29),"")</f>
        <v>Y</v>
      </c>
      <c r="AR26" t="str">
        <f>IF('TRACKER - 20220622'!AU29&lt;&gt;"",UPPER('TRACKER - 20220622'!AU29),"")</f>
        <v>215.76</v>
      </c>
      <c r="AS26" t="str">
        <f>IF('TRACKER - 20220622'!AV29&lt;&gt;"",UPPER('TRACKER - 20220622'!AV29),"")</f>
        <v/>
      </c>
      <c r="AT26" t="str">
        <f>IF('TRACKER - 20220622'!AW29&lt;&gt;"",UPPER('TRACKER - 20220622'!AW29),"")</f>
        <v>DESCR29</v>
      </c>
      <c r="AU26" t="str">
        <f>IF('TRACKER - 20220622'!AX29&lt;&gt;"",UPPER('TRACKER - 20220622'!AX29),"")</f>
        <v>REASON29</v>
      </c>
      <c r="AV26" t="str">
        <f>IF('TRACKER - 20220622'!BD30&lt;&gt;"",'TRACKER - 20220622'!BD30,"")</f>
        <v/>
      </c>
      <c r="AW26" t="str">
        <f>IF('TRACKER - 20220622'!BE30&lt;&gt;"",'TRACKER - 20220622'!BE30,"")</f>
        <v/>
      </c>
      <c r="AX26" t="str">
        <f>IF('TRACKER - 20220622'!BF30&lt;&gt;"",'TRACKER - 20220622'!BF30,"")</f>
        <v/>
      </c>
      <c r="AY26" t="str">
        <f>IF('TRACKER - 20220622'!BG30&lt;&gt;"",'TRACKER - 20220622'!BG30,"")</f>
        <v/>
      </c>
      <c r="AZ26" t="str">
        <f>IF('TRACKER - 20220622'!BH30&lt;&gt;"",'TRACKER - 20220622'!BH30,"")</f>
        <v/>
      </c>
      <c r="BA26" t="str">
        <f>IF('TRACKER - 20220622'!BI30&lt;&gt;"",'TRACKER - 20220622'!BI30,"")</f>
        <v/>
      </c>
      <c r="BB26" t="str">
        <f>IF('TRACKER - 20220622'!BJ30&lt;&gt;"",'TRACKER - 20220622'!BJ30,"")</f>
        <v/>
      </c>
      <c r="BC26" t="str">
        <f>IF('TRACKER - 20220622'!BK30&lt;&gt;"",'TRACKER - 20220622'!BK30,"")</f>
        <v/>
      </c>
      <c r="BD26" t="str">
        <f>IF('TRACKER - 20220622'!BL30&lt;&gt;"",'TRACKER - 20220622'!BL30,"")</f>
        <v/>
      </c>
      <c r="BE26" t="str">
        <f>IF('TRACKER - 20220622'!BM30&lt;&gt;"",'TRACKER - 20220622'!BM30,"")</f>
        <v/>
      </c>
      <c r="BF26" t="str">
        <f>IF('TRACKER - 20220622'!BN30&lt;&gt;"",'TRACKER - 20220622'!BN30,"")</f>
        <v/>
      </c>
      <c r="BG26" t="str">
        <f>IF('TRACKER - 20220622'!BO30&lt;&gt;"",'TRACKER - 20220622'!BO30,"")</f>
        <v/>
      </c>
    </row>
    <row r="27" spans="1:59">
      <c r="A27" t="str">
        <f>IF('TRACKER - 20220622'!A31&lt;&gt;"",UPPER('TRACKER - 20220622'!A31),"")</f>
        <v>BDB LONDON</v>
      </c>
      <c r="B27" t="str">
        <f>IF('TRACKER - 20220622'!B31&lt;&gt;"",UPPER('TRACKER - 20220622'!B31),"")</f>
        <v>Y</v>
      </c>
      <c r="C27" t="str">
        <f>IF('TRACKER - 20220622'!D30&lt;&gt;"",UPPER('TRACKER - 20220622'!D30),"")</f>
        <v>84</v>
      </c>
      <c r="D27" t="str">
        <f>IF('TRACKER - 20220622'!F31&lt;&gt;"",UPPER('TRACKER - 20220622'!F31),"")</f>
        <v>BDB-RSC-2020-09999</v>
      </c>
      <c r="E27" t="str">
        <f>IF('TRACKER - 20220622'!H31&lt;&gt;"",'TRACKER - 20220622'!H31,"")</f>
        <v>Upgrade</v>
      </c>
      <c r="F27" t="str">
        <f t="shared" si="0"/>
        <v>BDB-RSC-2020-09999 Upgrade</v>
      </c>
      <c r="G27" t="str">
        <f t="shared" si="1"/>
        <v>00084 - Upgrade</v>
      </c>
      <c r="H27">
        <f>IF('TRACKER - 20220622'!J31&lt;&gt;"",'TRACKER - 20220622'!J31,"")</f>
        <v>48546</v>
      </c>
      <c r="I27" t="str">
        <f>IF('TRACKER - 20220622'!K30&lt;&gt;"",UPPER('TRACKER - 20220622'!K30),"")</f>
        <v>44033</v>
      </c>
      <c r="J27" t="str">
        <f>IF('TRACKER - 20220622'!L30&lt;&gt;"",UPPER('TRACKER - 20220622'!L30),"")</f>
        <v>44028</v>
      </c>
      <c r="K27" t="str">
        <f>IF('TRACKER - 20220622'!M30&lt;&gt;"",UPPER('TRACKER - 20220622'!M30),"")</f>
        <v>44033</v>
      </c>
      <c r="L27" t="str">
        <f>IF('TRACKER - 20220622'!N30&lt;&gt;"",UPPER('TRACKER - 20220622'!N30),"")</f>
        <v>44033</v>
      </c>
      <c r="M27" t="str">
        <f>IF('TRACKER - 20220622'!O30&lt;&gt;"",UPPER('TRACKER - 20220622'!O30),"")</f>
        <v/>
      </c>
      <c r="N27" t="str">
        <f>IF('TRACKER - 20220622'!P30&lt;&gt;"",UPPER('TRACKER - 20220622'!P30),"")</f>
        <v/>
      </c>
      <c r="O27" t="str">
        <f>IF('TRACKER - 20220622'!Q30&lt;&gt;"",UPPER('TRACKER - 20220622'!Q30),"")</f>
        <v>N/A</v>
      </c>
      <c r="P27" t="str">
        <f>IF('TRACKER - 20220622'!R30&lt;&gt;"",UPPER('TRACKER - 20220622'!R30),"")</f>
        <v>CLIENT</v>
      </c>
      <c r="Q27" t="str">
        <f>IF('TRACKER - 20220622'!S30&lt;&gt;"",UPPER('TRACKER - 20220622'!S30),"")</f>
        <v/>
      </c>
      <c r="R27" t="str">
        <f>IF('TRACKER - 20220622'!T30&lt;&gt;"",UPPER('TRACKER - 20220622'!T30),"")</f>
        <v/>
      </c>
      <c r="S27" t="str">
        <f>IF('TRACKER - 20220622'!U30&lt;&gt;"",UPPER('TRACKER - 20220622'!U30),"")</f>
        <v/>
      </c>
      <c r="T27" t="str">
        <f>IF('TRACKER - 20220622'!V30&lt;&gt;"",UPPER('TRACKER - 20220622'!V30),"")</f>
        <v/>
      </c>
      <c r="U27" t="str">
        <f>IF('TRACKER - 20220622'!W30&lt;&gt;"",UPPER('TRACKER - 20220622'!W30),"")</f>
        <v/>
      </c>
      <c r="V27" t="str">
        <f>IF('TRACKER - 20220622'!X30&lt;&gt;"",UPPER('TRACKER - 20220622'!X30),"")</f>
        <v>27/10/20 - BS TO UPDATE WITH DATE SENT.</v>
      </c>
      <c r="W27" t="str">
        <f>IF('TRACKER - 20220622'!Y30&lt;&gt;"",UPPER('TRACKER - 20220622'!Y30),"")</f>
        <v>9709.2</v>
      </c>
      <c r="X27" t="str">
        <f>IF('TRACKER - 20220622'!Z30&lt;&gt;"",UPPER('TRACKER - 20220622'!Z30),"")</f>
        <v>0</v>
      </c>
      <c r="Y27" t="str">
        <f>IF('TRACKER - 20220622'!AA30&lt;&gt;"",UPPER('TRACKER - 20220622'!AA30),"")</f>
        <v>1618.2</v>
      </c>
      <c r="Z27" t="str">
        <f>IF('TRACKER - 20220622'!AB30&lt;&gt;"",UPPER('TRACKER - 20220622'!AB30),"")</f>
        <v>4854.6</v>
      </c>
      <c r="AA27" t="str">
        <f>IF('TRACKER - 20220622'!AC30&lt;&gt;"",UPPER('TRACKER - 20220622'!AC30),"")</f>
        <v>0</v>
      </c>
      <c r="AB27" t="str">
        <f>IF('TRACKER - 20220622'!AE30&lt;&gt;"",UPPER('TRACKER - 20220622'!AE30),"")</f>
        <v>1618.2</v>
      </c>
      <c r="AC27" t="str">
        <f>IF('TRACKER - 20220622'!AF30&lt;&gt;"",UPPER('TRACKER - 20220622'!AF30),"")</f>
        <v>8091</v>
      </c>
      <c r="AD27" t="str">
        <f>IF('TRACKER - 20220622'!AG30&lt;&gt;"",UPPER('TRACKER - 20220622'!AG30),"")</f>
        <v>1618.2</v>
      </c>
      <c r="AE27" t="str">
        <f>IF('TRACKER - 20220622'!AH30&lt;&gt;"",UPPER('TRACKER - 20220622'!AH30),"")</f>
        <v>215.76</v>
      </c>
      <c r="AF27" t="str">
        <f>IF('TRACKER - 20220622'!AI30&lt;&gt;"",UPPER('TRACKER - 20220622'!AI30),"")</f>
        <v/>
      </c>
      <c r="AG27" t="str">
        <f>IF('TRACKER - 20220622'!AJ30&lt;&gt;"",UPPER('TRACKER - 20220622'!AJ30),"")</f>
        <v>0.2</v>
      </c>
      <c r="AH27" t="str">
        <f>IF('TRACKER - 20220622'!AK30&lt;&gt;"",UPPER('TRACKER - 20220622'!AK30),"")</f>
        <v/>
      </c>
      <c r="AI27" t="str">
        <f>IF('TRACKER - 20220622'!AL30&lt;&gt;"",UPPER('TRACKER - 20220622'!AL30),"")</f>
        <v>1</v>
      </c>
      <c r="AJ27" t="str">
        <f>IF('TRACKER - 20220622'!AM30&lt;&gt;"",UPPER('TRACKER - 20220622'!AM30),"")</f>
        <v>3</v>
      </c>
      <c r="AK27" t="str">
        <f>IF('TRACKER - 20220622'!AN30&lt;&gt;"",UPPER('TRACKER - 20220622'!AN30),"")</f>
        <v/>
      </c>
      <c r="AL27" t="str">
        <f>IF('TRACKER - 20220622'!AO30&lt;&gt;"",UPPER('TRACKER - 20220622'!AO30),"")</f>
        <v>1</v>
      </c>
      <c r="AM27" t="str">
        <f>IF('TRACKER - 20220622'!AP30&lt;&gt;"",UPPER('TRACKER - 20220622'!AP30),"")</f>
        <v>5</v>
      </c>
      <c r="AN27" t="str">
        <f>IF('TRACKER - 20220622'!AQ30&lt;&gt;"",UPPER('TRACKER - 20220622'!AQ30),"")</f>
        <v>1</v>
      </c>
      <c r="AO27" t="str">
        <f>IF('TRACKER - 20220622'!AR30&lt;&gt;"",UPPER('TRACKER - 20220622'!AR30),"")</f>
        <v>BDB</v>
      </c>
      <c r="AP27" t="str">
        <f>IF('TRACKER - 20220622'!AS30&lt;&gt;"",UPPER('TRACKER - 20220622'!AS30),"")</f>
        <v>RSC</v>
      </c>
      <c r="AQ27" t="str">
        <f>IF('TRACKER - 20220622'!AT30&lt;&gt;"",UPPER('TRACKER - 20220622'!AT30),"")</f>
        <v>Y</v>
      </c>
      <c r="AR27" t="str">
        <f>IF('TRACKER - 20220622'!AU30&lt;&gt;"",UPPER('TRACKER - 20220622'!AU30),"")</f>
        <v>215.76</v>
      </c>
      <c r="AS27" t="str">
        <f>IF('TRACKER - 20220622'!AV30&lt;&gt;"",UPPER('TRACKER - 20220622'!AV30),"")</f>
        <v/>
      </c>
      <c r="AT27" t="str">
        <f>IF('TRACKER - 20220622'!AW30&lt;&gt;"",UPPER('TRACKER - 20220622'!AW30),"")</f>
        <v>DESCR30</v>
      </c>
      <c r="AU27" t="str">
        <f>IF('TRACKER - 20220622'!AX30&lt;&gt;"",UPPER('TRACKER - 20220622'!AX30),"")</f>
        <v>REASON30</v>
      </c>
      <c r="AV27" t="str">
        <f>IF('TRACKER - 20220622'!BD31&lt;&gt;"",'TRACKER - 20220622'!BD31,"")</f>
        <v/>
      </c>
      <c r="AW27" t="str">
        <f>IF('TRACKER - 20220622'!BE31&lt;&gt;"",'TRACKER - 20220622'!BE31,"")</f>
        <v/>
      </c>
      <c r="AX27" t="str">
        <f>IF('TRACKER - 20220622'!BF31&lt;&gt;"",'TRACKER - 20220622'!BF31,"")</f>
        <v/>
      </c>
      <c r="AY27" t="str">
        <f>IF('TRACKER - 20220622'!BG31&lt;&gt;"",'TRACKER - 20220622'!BG31,"")</f>
        <v/>
      </c>
      <c r="AZ27" t="str">
        <f>IF('TRACKER - 20220622'!BH31&lt;&gt;"",'TRACKER - 20220622'!BH31,"")</f>
        <v/>
      </c>
      <c r="BA27" t="str">
        <f>IF('TRACKER - 20220622'!BI31&lt;&gt;"",'TRACKER - 20220622'!BI31,"")</f>
        <v/>
      </c>
      <c r="BB27" t="str">
        <f>IF('TRACKER - 20220622'!BJ31&lt;&gt;"",'TRACKER - 20220622'!BJ31,"")</f>
        <v/>
      </c>
      <c r="BC27" t="str">
        <f>IF('TRACKER - 20220622'!BK31&lt;&gt;"",'TRACKER - 20220622'!BK31,"")</f>
        <v/>
      </c>
      <c r="BD27" t="str">
        <f>IF('TRACKER - 20220622'!BL31&lt;&gt;"",'TRACKER - 20220622'!BL31,"")</f>
        <v/>
      </c>
      <c r="BE27" t="str">
        <f>IF('TRACKER - 20220622'!BM31&lt;&gt;"",'TRACKER - 20220622'!BM31,"")</f>
        <v/>
      </c>
      <c r="BF27" t="str">
        <f>IF('TRACKER - 20220622'!BN31&lt;&gt;"",'TRACKER - 20220622'!BN31,"")</f>
        <v/>
      </c>
      <c r="BG27" t="str">
        <f>IF('TRACKER - 20220622'!BO31&lt;&gt;"",'TRACKER - 20220622'!BO31,"")</f>
        <v/>
      </c>
    </row>
    <row r="28" spans="1:59">
      <c r="A28" t="str">
        <f>IF('TRACKER - 20220622'!A32&lt;&gt;"",UPPER('TRACKER - 20220622'!A32),"")</f>
        <v>BDB LONDON</v>
      </c>
      <c r="B28" t="str">
        <f>IF('TRACKER - 20220622'!B32&lt;&gt;"",UPPER('TRACKER - 20220622'!B32),"")</f>
        <v>Y</v>
      </c>
      <c r="C28" t="str">
        <f>IF('TRACKER - 20220622'!D31&lt;&gt;"",UPPER('TRACKER - 20220622'!D31),"")</f>
        <v>9999</v>
      </c>
      <c r="D28" t="str">
        <f>IF('TRACKER - 20220622'!F32&lt;&gt;"",UPPER('TRACKER - 20220622'!F32),"")</f>
        <v>BDB-RSC-2020-00000</v>
      </c>
      <c r="E28" t="str">
        <f>IF('TRACKER - 20220622'!H32&lt;&gt;"",'TRACKER - 20220622'!H32,"")</f>
        <v>Libor Replacement Services</v>
      </c>
      <c r="F28" t="str">
        <f t="shared" si="0"/>
        <v>BDB-RSC-2020-00000 Libor Replacement Services</v>
      </c>
      <c r="G28" t="str">
        <f t="shared" si="1"/>
        <v>309999 - Libor Replacement Services</v>
      </c>
      <c r="H28">
        <f>IF('TRACKER - 20220622'!J32&lt;&gt;"",'TRACKER - 20220622'!J32,"")</f>
        <v>2500</v>
      </c>
      <c r="I28" t="str">
        <f>IF('TRACKER - 20220622'!K31&lt;&gt;"",UPPER('TRACKER - 20220622'!K31),"")</f>
        <v>44151</v>
      </c>
      <c r="J28" t="str">
        <f>IF('TRACKER - 20220622'!L31&lt;&gt;"",UPPER('TRACKER - 20220622'!L31),"")</f>
        <v>43929</v>
      </c>
      <c r="K28" t="str">
        <f>IF('TRACKER - 20220622'!M31&lt;&gt;"",UPPER('TRACKER - 20220622'!M31),"")</f>
        <v/>
      </c>
      <c r="L28" t="str">
        <f>IF('TRACKER - 20220622'!N31&lt;&gt;"",UPPER('TRACKER - 20220622'!N31),"")</f>
        <v/>
      </c>
      <c r="M28" t="str">
        <f>IF('TRACKER - 20220622'!O31&lt;&gt;"",UPPER('TRACKER - 20220622'!O31),"")</f>
        <v>44151</v>
      </c>
      <c r="N28" t="str">
        <f>IF('TRACKER - 20220622'!P31&lt;&gt;"",UPPER('TRACKER - 20220622'!P31),"")</f>
        <v>44151</v>
      </c>
      <c r="O28" t="str">
        <f>IF('TRACKER - 20220622'!Q31&lt;&gt;"",UPPER('TRACKER - 20220622'!Q31),"")</f>
        <v>N/A</v>
      </c>
      <c r="P28" t="str">
        <f>IF('TRACKER - 20220622'!R31&lt;&gt;"",UPPER('TRACKER - 20220622'!R31),"")</f>
        <v>CLIENT</v>
      </c>
      <c r="Q28" t="str">
        <f>IF('TRACKER - 20220622'!S31&lt;&gt;"",UPPER('TRACKER - 20220622'!S31),"")</f>
        <v/>
      </c>
      <c r="R28" t="str">
        <f>IF('TRACKER - 20220622'!T31&lt;&gt;"",UPPER('TRACKER - 20220622'!T31),"")</f>
        <v/>
      </c>
      <c r="S28" t="str">
        <f>IF('TRACKER - 20220622'!U31&lt;&gt;"",UPPER('TRACKER - 20220622'!U31),"")</f>
        <v/>
      </c>
      <c r="T28" t="str">
        <f>IF('TRACKER - 20220622'!V31&lt;&gt;"",UPPER('TRACKER - 20220622'!V31),"")</f>
        <v/>
      </c>
      <c r="U28" t="str">
        <f>IF('TRACKER - 20220622'!W31&lt;&gt;"",UPPER('TRACKER - 20220622'!W31),"")</f>
        <v/>
      </c>
      <c r="V28" t="str">
        <f>IF('TRACKER - 20220622'!X31&lt;&gt;"",UPPER('TRACKER - 20220622'!X31),"")</f>
        <v>17/11/20 - SENT BY OE TO GR @ BDB</v>
      </c>
      <c r="W28" t="str">
        <f>IF('TRACKER - 20220622'!Y31&lt;&gt;"",UPPER('TRACKER - 20220622'!Y31),"")</f>
        <v>48546</v>
      </c>
      <c r="X28" t="str">
        <f>IF('TRACKER - 20220622'!Z31&lt;&gt;"",UPPER('TRACKER - 20220622'!Z31),"")</f>
        <v>8091</v>
      </c>
      <c r="Y28" t="str">
        <f>IF('TRACKER - 20220622'!AA31&lt;&gt;"",UPPER('TRACKER - 20220622'!AA31),"")</f>
        <v>8091</v>
      </c>
      <c r="Z28" t="str">
        <f>IF('TRACKER - 20220622'!AB31&lt;&gt;"",UPPER('TRACKER - 20220622'!AB31),"")</f>
        <v>12945.6</v>
      </c>
      <c r="AA28" t="str">
        <f>IF('TRACKER - 20220622'!AC31&lt;&gt;"",UPPER('TRACKER - 20220622'!AC31),"")</f>
        <v>4854.6</v>
      </c>
      <c r="AB28" t="str">
        <f>IF('TRACKER - 20220622'!AE31&lt;&gt;"",UPPER('TRACKER - 20220622'!AE31),"")</f>
        <v>6472.8</v>
      </c>
      <c r="AC28" t="str">
        <f>IF('TRACKER - 20220622'!AF31&lt;&gt;"",UPPER('TRACKER - 20220622'!AF31),"")</f>
        <v>40455</v>
      </c>
      <c r="AD28" t="str">
        <f>IF('TRACKER - 20220622'!AG31&lt;&gt;"",UPPER('TRACKER - 20220622'!AG31),"")</f>
        <v>8091</v>
      </c>
      <c r="AE28" t="str">
        <f>IF('TRACKER - 20220622'!AH31&lt;&gt;"",UPPER('TRACKER - 20220622'!AH31),"")</f>
        <v>215.76</v>
      </c>
      <c r="AF28" t="str">
        <f>IF('TRACKER - 20220622'!AI31&lt;&gt;"",UPPER('TRACKER - 20220622'!AI31),"")</f>
        <v/>
      </c>
      <c r="AG28" t="str">
        <f>IF('TRACKER - 20220622'!AJ31&lt;&gt;"",UPPER('TRACKER - 20220622'!AJ31),"")</f>
        <v>0.2</v>
      </c>
      <c r="AH28" t="str">
        <f>IF('TRACKER - 20220622'!AK31&lt;&gt;"",UPPER('TRACKER - 20220622'!AK31),"")</f>
        <v>5</v>
      </c>
      <c r="AI28" t="str">
        <f>IF('TRACKER - 20220622'!AL31&lt;&gt;"",UPPER('TRACKER - 20220622'!AL31),"")</f>
        <v>5</v>
      </c>
      <c r="AJ28" t="str">
        <f>IF('TRACKER - 20220622'!AM31&lt;&gt;"",UPPER('TRACKER - 20220622'!AM31),"")</f>
        <v>8</v>
      </c>
      <c r="AK28" t="str">
        <f>IF('TRACKER - 20220622'!AN31&lt;&gt;"",UPPER('TRACKER - 20220622'!AN31),"")</f>
        <v>3</v>
      </c>
      <c r="AL28" t="str">
        <f>IF('TRACKER - 20220622'!AO31&lt;&gt;"",UPPER('TRACKER - 20220622'!AO31),"")</f>
        <v>4</v>
      </c>
      <c r="AM28" t="str">
        <f>IF('TRACKER - 20220622'!AP31&lt;&gt;"",UPPER('TRACKER - 20220622'!AP31),"")</f>
        <v>25</v>
      </c>
      <c r="AN28" t="str">
        <f>IF('TRACKER - 20220622'!AQ31&lt;&gt;"",UPPER('TRACKER - 20220622'!AQ31),"")</f>
        <v>5</v>
      </c>
      <c r="AO28" t="str">
        <f>IF('TRACKER - 20220622'!AR31&lt;&gt;"",UPPER('TRACKER - 20220622'!AR31),"")</f>
        <v>BDB</v>
      </c>
      <c r="AP28" t="str">
        <f>IF('TRACKER - 20220622'!AS31&lt;&gt;"",UPPER('TRACKER - 20220622'!AS31),"")</f>
        <v>RSC</v>
      </c>
      <c r="AQ28" t="str">
        <f>IF('TRACKER - 20220622'!AT31&lt;&gt;"",UPPER('TRACKER - 20220622'!AT31),"")</f>
        <v>Y</v>
      </c>
      <c r="AR28" t="str">
        <f>IF('TRACKER - 20220622'!AU31&lt;&gt;"",UPPER('TRACKER - 20220622'!AU31),"")</f>
        <v>215.76</v>
      </c>
      <c r="AS28" t="str">
        <f>IF('TRACKER - 20220622'!AV31&lt;&gt;"",UPPER('TRACKER - 20220622'!AV31),"")</f>
        <v/>
      </c>
      <c r="AT28" t="str">
        <f>IF('TRACKER - 20220622'!AW31&lt;&gt;"",UPPER('TRACKER - 20220622'!AW31),"")</f>
        <v>DESCR31</v>
      </c>
      <c r="AU28" t="str">
        <f>IF('TRACKER - 20220622'!AX31&lt;&gt;"",UPPER('TRACKER - 20220622'!AX31),"")</f>
        <v>REASON31</v>
      </c>
      <c r="AV28" t="str">
        <f>IF('TRACKER - 20220622'!BD32&lt;&gt;"",'TRACKER - 20220622'!BD32,"")</f>
        <v/>
      </c>
      <c r="AW28" t="str">
        <f>IF('TRACKER - 20220622'!BE32&lt;&gt;"",'TRACKER - 20220622'!BE32,"")</f>
        <v/>
      </c>
      <c r="AX28" t="str">
        <f>IF('TRACKER - 20220622'!BF32&lt;&gt;"",'TRACKER - 20220622'!BF32,"")</f>
        <v/>
      </c>
      <c r="AY28" t="str">
        <f>IF('TRACKER - 20220622'!BG32&lt;&gt;"",'TRACKER - 20220622'!BG32,"")</f>
        <v/>
      </c>
      <c r="AZ28" t="str">
        <f>IF('TRACKER - 20220622'!BH32&lt;&gt;"",'TRACKER - 20220622'!BH32,"")</f>
        <v/>
      </c>
      <c r="BA28" t="str">
        <f>IF('TRACKER - 20220622'!BI32&lt;&gt;"",'TRACKER - 20220622'!BI32,"")</f>
        <v/>
      </c>
      <c r="BB28" t="str">
        <f>IF('TRACKER - 20220622'!BJ32&lt;&gt;"",'TRACKER - 20220622'!BJ32,"")</f>
        <v/>
      </c>
      <c r="BC28" t="str">
        <f>IF('TRACKER - 20220622'!BK32&lt;&gt;"",'TRACKER - 20220622'!BK32,"")</f>
        <v/>
      </c>
      <c r="BD28" t="str">
        <f>IF('TRACKER - 20220622'!BL32&lt;&gt;"",'TRACKER - 20220622'!BL32,"")</f>
        <v/>
      </c>
      <c r="BE28" t="str">
        <f>IF('TRACKER - 20220622'!BM32&lt;&gt;"",'TRACKER - 20220622'!BM32,"")</f>
        <v/>
      </c>
      <c r="BF28" t="str">
        <f>IF('TRACKER - 20220622'!BN32&lt;&gt;"",'TRACKER - 20220622'!BN32,"")</f>
        <v/>
      </c>
      <c r="BG28" t="str">
        <f>IF('TRACKER - 20220622'!BO32&lt;&gt;"",'TRACKER - 20220622'!BO32,"")</f>
        <v/>
      </c>
    </row>
    <row r="29" spans="1:59">
      <c r="A29" t="str">
        <f>IF('TRACKER - 20220622'!A33&lt;&gt;"",UPPER('TRACKER - 20220622'!A33),"")</f>
        <v>BDB LONDON</v>
      </c>
      <c r="B29" t="str">
        <f>IF('TRACKER - 20220622'!B33&lt;&gt;"",UPPER('TRACKER - 20220622'!B33),"")</f>
        <v>Y</v>
      </c>
      <c r="C29" t="str">
        <f>IF('TRACKER - 20220622'!D32&lt;&gt;"",UPPER('TRACKER - 20220622'!D32),"")</f>
        <v/>
      </c>
      <c r="D29" t="str">
        <f>IF('TRACKER - 20220622'!F33&lt;&gt;"",UPPER('TRACKER - 20220622'!F33),"")</f>
        <v>BDB-RSC-2020-00000</v>
      </c>
      <c r="E29" t="str">
        <f>IF('TRACKER - 20220622'!H33&lt;&gt;"",'TRACKER - 20220622'!H33,"")</f>
        <v>Parallel Transaction Player</v>
      </c>
      <c r="F29" t="str">
        <f t="shared" si="0"/>
        <v>BDB-RSC-2020-00000 Parallel Transaction Player</v>
      </c>
      <c r="G29" t="str">
        <f t="shared" si="1"/>
        <v xml:space="preserve"> - Parallel Transaction Player</v>
      </c>
      <c r="H29">
        <f>IF('TRACKER - 20220622'!J33&lt;&gt;"",'TRACKER - 20220622'!J33,"")</f>
        <v>18000</v>
      </c>
      <c r="I29" t="str">
        <f>IF('TRACKER - 20220622'!K32&lt;&gt;"",UPPER('TRACKER - 20220622'!K32),"")</f>
        <v>44151</v>
      </c>
      <c r="J29" t="str">
        <f>IF('TRACKER - 20220622'!L32&lt;&gt;"",UPPER('TRACKER - 20220622'!L32),"")</f>
        <v>44151</v>
      </c>
      <c r="K29" t="str">
        <f>IF('TRACKER - 20220622'!M32&lt;&gt;"",UPPER('TRACKER - 20220622'!M32),"")</f>
        <v/>
      </c>
      <c r="L29" t="str">
        <f>IF('TRACKER - 20220622'!N32&lt;&gt;"",UPPER('TRACKER - 20220622'!N32),"")</f>
        <v/>
      </c>
      <c r="M29" t="str">
        <f>IF('TRACKER - 20220622'!O32&lt;&gt;"",UPPER('TRACKER - 20220622'!O32),"")</f>
        <v>44151</v>
      </c>
      <c r="N29" t="str">
        <f>IF('TRACKER - 20220622'!P32&lt;&gt;"",UPPER('TRACKER - 20220622'!P32),"")</f>
        <v>44151</v>
      </c>
      <c r="O29" t="str">
        <f>IF('TRACKER - 20220622'!Q32&lt;&gt;"",UPPER('TRACKER - 20220622'!Q32),"")</f>
        <v>TREASURY</v>
      </c>
      <c r="P29" t="str">
        <f>IF('TRACKER - 20220622'!R32&lt;&gt;"",UPPER('TRACKER - 20220622'!R32),"")</f>
        <v>CLIENT</v>
      </c>
      <c r="Q29" t="str">
        <f>IF('TRACKER - 20220622'!S32&lt;&gt;"",UPPER('TRACKER - 20220622'!S32),"")</f>
        <v/>
      </c>
      <c r="R29" t="str">
        <f>IF('TRACKER - 20220622'!T32&lt;&gt;"",UPPER('TRACKER - 20220622'!T32),"")</f>
        <v/>
      </c>
      <c r="S29" t="str">
        <f>IF('TRACKER - 20220622'!U32&lt;&gt;"",UPPER('TRACKER - 20220622'!U32),"")</f>
        <v/>
      </c>
      <c r="T29" t="str">
        <f>IF('TRACKER - 20220622'!V32&lt;&gt;"",UPPER('TRACKER - 20220622'!V32),"")</f>
        <v/>
      </c>
      <c r="U29" t="str">
        <f>IF('TRACKER - 20220622'!W32&lt;&gt;"",UPPER('TRACKER - 20220622'!W32),"")</f>
        <v/>
      </c>
      <c r="V29" t="str">
        <f>IF('TRACKER - 20220622'!X32&lt;&gt;"",UPPER('TRACKER - 20220622'!X32),"")</f>
        <v>17/11/20 - SENT BY OE TO GR @ BDB</v>
      </c>
      <c r="W29" t="str">
        <f>IF('TRACKER - 20220622'!Y32&lt;&gt;"",UPPER('TRACKER - 20220622'!Y32),"")</f>
        <v>2500</v>
      </c>
      <c r="X29" t="str">
        <f>IF('TRACKER - 20220622'!Z32&lt;&gt;"",UPPER('TRACKER - 20220622'!Z32),"")</f>
        <v>0</v>
      </c>
      <c r="Y29" t="str">
        <f>IF('TRACKER - 20220622'!AA32&lt;&gt;"",UPPER('TRACKER - 20220622'!AA32),"")</f>
        <v>2500</v>
      </c>
      <c r="Z29" t="str">
        <f>IF('TRACKER - 20220622'!AB32&lt;&gt;"",UPPER('TRACKER - 20220622'!AB32),"")</f>
        <v>0</v>
      </c>
      <c r="AA29" t="str">
        <f>IF('TRACKER - 20220622'!AC32&lt;&gt;"",UPPER('TRACKER - 20220622'!AC32),"")</f>
        <v>0</v>
      </c>
      <c r="AB29" t="str">
        <f>IF('TRACKER - 20220622'!AE32&lt;&gt;"",UPPER('TRACKER - 20220622'!AE32),"")</f>
        <v>0</v>
      </c>
      <c r="AC29" t="str">
        <f>IF('TRACKER - 20220622'!AF32&lt;&gt;"",UPPER('TRACKER - 20220622'!AF32),"")</f>
        <v>2500</v>
      </c>
      <c r="AD29" t="str">
        <f>IF('TRACKER - 20220622'!AG32&lt;&gt;"",UPPER('TRACKER - 20220622'!AG32),"")</f>
        <v>0</v>
      </c>
      <c r="AE29" t="str">
        <f>IF('TRACKER - 20220622'!AH32&lt;&gt;"",UPPER('TRACKER - 20220622'!AH32),"")</f>
        <v>215.76</v>
      </c>
      <c r="AF29" t="str">
        <f>IF('TRACKER - 20220622'!AI32&lt;&gt;"",UPPER('TRACKER - 20220622'!AI32),"")</f>
        <v/>
      </c>
      <c r="AG29" t="str">
        <f>IF('TRACKER - 20220622'!AJ32&lt;&gt;"",UPPER('TRACKER - 20220622'!AJ32),"")</f>
        <v>0.2</v>
      </c>
      <c r="AH29" t="str">
        <f>IF('TRACKER - 20220622'!AK32&lt;&gt;"",UPPER('TRACKER - 20220622'!AK32),"")</f>
        <v/>
      </c>
      <c r="AI29" t="str">
        <f>IF('TRACKER - 20220622'!AL32&lt;&gt;"",UPPER('TRACKER - 20220622'!AL32),"")</f>
        <v>0</v>
      </c>
      <c r="AJ29" t="str">
        <f>IF('TRACKER - 20220622'!AM32&lt;&gt;"",UPPER('TRACKER - 20220622'!AM32),"")</f>
        <v>0</v>
      </c>
      <c r="AK29" t="str">
        <f>IF('TRACKER - 20220622'!AN32&lt;&gt;"",UPPER('TRACKER - 20220622'!AN32),"")</f>
        <v/>
      </c>
      <c r="AL29" t="str">
        <f>IF('TRACKER - 20220622'!AO32&lt;&gt;"",UPPER('TRACKER - 20220622'!AO32),"")</f>
        <v>0</v>
      </c>
      <c r="AM29" t="str">
        <f>IF('TRACKER - 20220622'!AP32&lt;&gt;"",UPPER('TRACKER - 20220622'!AP32),"")</f>
        <v>0</v>
      </c>
      <c r="AN29" t="str">
        <f>IF('TRACKER - 20220622'!AQ32&lt;&gt;"",UPPER('TRACKER - 20220622'!AQ32),"")</f>
        <v>0</v>
      </c>
      <c r="AO29" t="str">
        <f>IF('TRACKER - 20220622'!AR32&lt;&gt;"",UPPER('TRACKER - 20220622'!AR32),"")</f>
        <v>BDB</v>
      </c>
      <c r="AP29" t="str">
        <f>IF('TRACKER - 20220622'!AS32&lt;&gt;"",UPPER('TRACKER - 20220622'!AS32),"")</f>
        <v>RSC</v>
      </c>
      <c r="AQ29" t="str">
        <f>IF('TRACKER - 20220622'!AT32&lt;&gt;"",UPPER('TRACKER - 20220622'!AT32),"")</f>
        <v>Y</v>
      </c>
      <c r="AR29" t="str">
        <f>IF('TRACKER - 20220622'!AU32&lt;&gt;"",UPPER('TRACKER - 20220622'!AU32),"")</f>
        <v>215.76</v>
      </c>
      <c r="AS29" t="str">
        <f>IF('TRACKER - 20220622'!AV32&lt;&gt;"",UPPER('TRACKER - 20220622'!AV32),"")</f>
        <v/>
      </c>
      <c r="AT29" t="str">
        <f>IF('TRACKER - 20220622'!AW32&lt;&gt;"",UPPER('TRACKER - 20220622'!AW32),"")</f>
        <v>DESCR32</v>
      </c>
      <c r="AU29" t="str">
        <f>IF('TRACKER - 20220622'!AX32&lt;&gt;"",UPPER('TRACKER - 20220622'!AX32),"")</f>
        <v>REASON32</v>
      </c>
      <c r="AV29" t="str">
        <f>IF('TRACKER - 20220622'!BD33&lt;&gt;"",'TRACKER - 20220622'!BD33,"")</f>
        <v/>
      </c>
      <c r="AW29" t="str">
        <f>IF('TRACKER - 20220622'!BE33&lt;&gt;"",'TRACKER - 20220622'!BE33,"")</f>
        <v/>
      </c>
      <c r="AX29" t="str">
        <f>IF('TRACKER - 20220622'!BF33&lt;&gt;"",'TRACKER - 20220622'!BF33,"")</f>
        <v/>
      </c>
      <c r="AY29" t="str">
        <f>IF('TRACKER - 20220622'!BG33&lt;&gt;"",'TRACKER - 20220622'!BG33,"")</f>
        <v/>
      </c>
      <c r="AZ29" t="str">
        <f>IF('TRACKER - 20220622'!BH33&lt;&gt;"",'TRACKER - 20220622'!BH33,"")</f>
        <v/>
      </c>
      <c r="BA29" t="str">
        <f>IF('TRACKER - 20220622'!BI33&lt;&gt;"",'TRACKER - 20220622'!BI33,"")</f>
        <v/>
      </c>
      <c r="BB29" t="str">
        <f>IF('TRACKER - 20220622'!BJ33&lt;&gt;"",'TRACKER - 20220622'!BJ33,"")</f>
        <v/>
      </c>
      <c r="BC29" t="str">
        <f>IF('TRACKER - 20220622'!BK33&lt;&gt;"",'TRACKER - 20220622'!BK33,"")</f>
        <v/>
      </c>
      <c r="BD29" t="str">
        <f>IF('TRACKER - 20220622'!BL33&lt;&gt;"",'TRACKER - 20220622'!BL33,"")</f>
        <v/>
      </c>
      <c r="BE29" t="str">
        <f>IF('TRACKER - 20220622'!BM33&lt;&gt;"",'TRACKER - 20220622'!BM33,"")</f>
        <v/>
      </c>
      <c r="BF29" t="str">
        <f>IF('TRACKER - 20220622'!BN33&lt;&gt;"",'TRACKER - 20220622'!BN33,"")</f>
        <v/>
      </c>
      <c r="BG29" t="str">
        <f>IF('TRACKER - 20220622'!BO33&lt;&gt;"",'TRACKER - 20220622'!BO33,"")</f>
        <v/>
      </c>
    </row>
    <row r="30" spans="1:59">
      <c r="A30" t="str">
        <f>IF('TRACKER - 20220622'!A34&lt;&gt;"",UPPER('TRACKER - 20220622'!A34),"")</f>
        <v>BDB NEW YORK</v>
      </c>
      <c r="B30" t="str">
        <f>IF('TRACKER - 20220622'!B34&lt;&gt;"",UPPER('TRACKER - 20220622'!B34),"")</f>
        <v>Y</v>
      </c>
      <c r="C30" t="str">
        <f>IF('TRACKER - 20220622'!D33&lt;&gt;"",UPPER('TRACKER - 20220622'!D33),"")</f>
        <v/>
      </c>
      <c r="D30" t="str">
        <f>IF('TRACKER - 20220622'!F34&lt;&gt;"",UPPER('TRACKER - 20220622'!F34),"")</f>
        <v>BDB-RSC-0000-09998</v>
      </c>
      <c r="E30" t="str">
        <f>IF('TRACKER - 20220622'!H34&lt;&gt;"",'TRACKER - 20220622'!H34,"")</f>
        <v>Upgrade</v>
      </c>
      <c r="F30" t="str">
        <f t="shared" si="0"/>
        <v>BDB-RSC-0000-09998 Upgrade</v>
      </c>
      <c r="G30" t="str">
        <f t="shared" si="1"/>
        <v xml:space="preserve"> - Upgrade</v>
      </c>
      <c r="H30">
        <f>IF('TRACKER - 20220622'!J34&lt;&gt;"",'TRACKER - 20220622'!J34,"")</f>
        <v>0</v>
      </c>
      <c r="I30" t="str">
        <f>IF('TRACKER - 20220622'!K33&lt;&gt;"",UPPER('TRACKER - 20220622'!K33),"")</f>
        <v>44151</v>
      </c>
      <c r="J30" t="str">
        <f>IF('TRACKER - 20220622'!L33&lt;&gt;"",UPPER('TRACKER - 20220622'!L33),"")</f>
        <v>44151</v>
      </c>
      <c r="K30" t="str">
        <f>IF('TRACKER - 20220622'!M33&lt;&gt;"",UPPER('TRACKER - 20220622'!M33),"")</f>
        <v/>
      </c>
      <c r="L30" t="str">
        <f>IF('TRACKER - 20220622'!N33&lt;&gt;"",UPPER('TRACKER - 20220622'!N33),"")</f>
        <v/>
      </c>
      <c r="M30" t="str">
        <f>IF('TRACKER - 20220622'!O33&lt;&gt;"",UPPER('TRACKER - 20220622'!O33),"")</f>
        <v>44151</v>
      </c>
      <c r="N30" t="str">
        <f>IF('TRACKER - 20220622'!P33&lt;&gt;"",UPPER('TRACKER - 20220622'!P33),"")</f>
        <v>44151</v>
      </c>
      <c r="O30" t="str">
        <f>IF('TRACKER - 20220622'!Q33&lt;&gt;"",UPPER('TRACKER - 20220622'!Q33),"")</f>
        <v>PLATFORM</v>
      </c>
      <c r="P30" t="str">
        <f>IF('TRACKER - 20220622'!R33&lt;&gt;"",UPPER('TRACKER - 20220622'!R33),"")</f>
        <v>CLIENT</v>
      </c>
      <c r="Q30" t="str">
        <f>IF('TRACKER - 20220622'!S33&lt;&gt;"",UPPER('TRACKER - 20220622'!S33),"")</f>
        <v/>
      </c>
      <c r="R30" t="str">
        <f>IF('TRACKER - 20220622'!T33&lt;&gt;"",UPPER('TRACKER - 20220622'!T33),"")</f>
        <v/>
      </c>
      <c r="S30" t="str">
        <f>IF('TRACKER - 20220622'!U33&lt;&gt;"",UPPER('TRACKER - 20220622'!U33),"")</f>
        <v/>
      </c>
      <c r="T30" t="str">
        <f>IF('TRACKER - 20220622'!V33&lt;&gt;"",UPPER('TRACKER - 20220622'!V33),"")</f>
        <v/>
      </c>
      <c r="U30" t="str">
        <f>IF('TRACKER - 20220622'!W33&lt;&gt;"",UPPER('TRACKER - 20220622'!W33),"")</f>
        <v/>
      </c>
      <c r="V30" t="str">
        <f>IF('TRACKER - 20220622'!X33&lt;&gt;"",UPPER('TRACKER - 20220622'!X33),"")</f>
        <v>17/11/20 - SENT BY OE TO GR @ BDB</v>
      </c>
      <c r="W30" t="str">
        <f>IF('TRACKER - 20220622'!Y33&lt;&gt;"",UPPER('TRACKER - 20220622'!Y33),"")</f>
        <v>18000</v>
      </c>
      <c r="X30" t="str">
        <f>IF('TRACKER - 20220622'!Z33&lt;&gt;"",UPPER('TRACKER - 20220622'!Z33),"")</f>
        <v>0</v>
      </c>
      <c r="Y30" t="str">
        <f>IF('TRACKER - 20220622'!AA33&lt;&gt;"",UPPER('TRACKER - 20220622'!AA33),"")</f>
        <v>15000</v>
      </c>
      <c r="Z30" t="str">
        <f>IF('TRACKER - 20220622'!AB33&lt;&gt;"",UPPER('TRACKER - 20220622'!AB33),"")</f>
        <v>3000</v>
      </c>
      <c r="AA30" t="str">
        <f>IF('TRACKER - 20220622'!AC33&lt;&gt;"",UPPER('TRACKER - 20220622'!AC33),"")</f>
        <v>0</v>
      </c>
      <c r="AB30" t="str">
        <f>IF('TRACKER - 20220622'!AE33&lt;&gt;"",UPPER('TRACKER - 20220622'!AE33),"")</f>
        <v>0</v>
      </c>
      <c r="AC30" t="str">
        <f>IF('TRACKER - 20220622'!AF33&lt;&gt;"",UPPER('TRACKER - 20220622'!AF33),"")</f>
        <v>18000</v>
      </c>
      <c r="AD30" t="str">
        <f>IF('TRACKER - 20220622'!AG33&lt;&gt;"",UPPER('TRACKER - 20220622'!AG33),"")</f>
        <v>0</v>
      </c>
      <c r="AE30" t="str">
        <f>IF('TRACKER - 20220622'!AH33&lt;&gt;"",UPPER('TRACKER - 20220622'!AH33),"")</f>
        <v>215.76</v>
      </c>
      <c r="AF30" t="str">
        <f>IF('TRACKER - 20220622'!AI33&lt;&gt;"",UPPER('TRACKER - 20220622'!AI33),"")</f>
        <v/>
      </c>
      <c r="AG30" t="str">
        <f>IF('TRACKER - 20220622'!AJ33&lt;&gt;"",UPPER('TRACKER - 20220622'!AJ33),"")</f>
        <v>0.2</v>
      </c>
      <c r="AH30" t="str">
        <f>IF('TRACKER - 20220622'!AK33&lt;&gt;"",UPPER('TRACKER - 20220622'!AK33),"")</f>
        <v/>
      </c>
      <c r="AI30" t="str">
        <f>IF('TRACKER - 20220622'!AL33&lt;&gt;"",UPPER('TRACKER - 20220622'!AL33),"")</f>
        <v>0</v>
      </c>
      <c r="AJ30" t="str">
        <f>IF('TRACKER - 20220622'!AM33&lt;&gt;"",UPPER('TRACKER - 20220622'!AM33),"")</f>
        <v>0</v>
      </c>
      <c r="AK30" t="str">
        <f>IF('TRACKER - 20220622'!AN33&lt;&gt;"",UPPER('TRACKER - 20220622'!AN33),"")</f>
        <v/>
      </c>
      <c r="AL30" t="str">
        <f>IF('TRACKER - 20220622'!AO33&lt;&gt;"",UPPER('TRACKER - 20220622'!AO33),"")</f>
        <v>0</v>
      </c>
      <c r="AM30" t="str">
        <f>IF('TRACKER - 20220622'!AP33&lt;&gt;"",UPPER('TRACKER - 20220622'!AP33),"")</f>
        <v>0</v>
      </c>
      <c r="AN30" t="str">
        <f>IF('TRACKER - 20220622'!AQ33&lt;&gt;"",UPPER('TRACKER - 20220622'!AQ33),"")</f>
        <v>0</v>
      </c>
      <c r="AO30" t="str">
        <f>IF('TRACKER - 20220622'!AR33&lt;&gt;"",UPPER('TRACKER - 20220622'!AR33),"")</f>
        <v>BDB</v>
      </c>
      <c r="AP30" t="str">
        <f>IF('TRACKER - 20220622'!AS33&lt;&gt;"",UPPER('TRACKER - 20220622'!AS33),"")</f>
        <v>RSC</v>
      </c>
      <c r="AQ30" t="str">
        <f>IF('TRACKER - 20220622'!AT33&lt;&gt;"",UPPER('TRACKER - 20220622'!AT33),"")</f>
        <v>Y</v>
      </c>
      <c r="AR30" t="str">
        <f>IF('TRACKER - 20220622'!AU33&lt;&gt;"",UPPER('TRACKER - 20220622'!AU33),"")</f>
        <v>215.76</v>
      </c>
      <c r="AS30" t="str">
        <f>IF('TRACKER - 20220622'!AV33&lt;&gt;"",UPPER('TRACKER - 20220622'!AV33),"")</f>
        <v/>
      </c>
      <c r="AT30" t="str">
        <f>IF('TRACKER - 20220622'!AW33&lt;&gt;"",UPPER('TRACKER - 20220622'!AW33),"")</f>
        <v>DESCR33</v>
      </c>
      <c r="AU30" t="str">
        <f>IF('TRACKER - 20220622'!AX33&lt;&gt;"",UPPER('TRACKER - 20220622'!AX33),"")</f>
        <v>REASON33</v>
      </c>
      <c r="AV30" t="str">
        <f>IF('TRACKER - 20220622'!BD34&lt;&gt;"",'TRACKER - 20220622'!BD34,"")</f>
        <v/>
      </c>
      <c r="AW30" t="str">
        <f>IF('TRACKER - 20220622'!BE34&lt;&gt;"",'TRACKER - 20220622'!BE34,"")</f>
        <v/>
      </c>
      <c r="AX30" t="str">
        <f>IF('TRACKER - 20220622'!BF34&lt;&gt;"",'TRACKER - 20220622'!BF34,"")</f>
        <v/>
      </c>
      <c r="AY30" t="str">
        <f>IF('TRACKER - 20220622'!BG34&lt;&gt;"",'TRACKER - 20220622'!BG34,"")</f>
        <v/>
      </c>
      <c r="AZ30" t="str">
        <f>IF('TRACKER - 20220622'!BH34&lt;&gt;"",'TRACKER - 20220622'!BH34,"")</f>
        <v/>
      </c>
      <c r="BA30" t="str">
        <f>IF('TRACKER - 20220622'!BI34&lt;&gt;"",'TRACKER - 20220622'!BI34,"")</f>
        <v/>
      </c>
      <c r="BB30" t="str">
        <f>IF('TRACKER - 20220622'!BJ34&lt;&gt;"",'TRACKER - 20220622'!BJ34,"")</f>
        <v/>
      </c>
      <c r="BC30" t="str">
        <f>IF('TRACKER - 20220622'!BK34&lt;&gt;"",'TRACKER - 20220622'!BK34,"")</f>
        <v/>
      </c>
      <c r="BD30" t="str">
        <f>IF('TRACKER - 20220622'!BL34&lt;&gt;"",'TRACKER - 20220622'!BL34,"")</f>
        <v/>
      </c>
      <c r="BE30" t="str">
        <f>IF('TRACKER - 20220622'!BM34&lt;&gt;"",'TRACKER - 20220622'!BM34,"")</f>
        <v/>
      </c>
      <c r="BF30" t="str">
        <f>IF('TRACKER - 20220622'!BN34&lt;&gt;"",'TRACKER - 20220622'!BN34,"")</f>
        <v/>
      </c>
      <c r="BG30" t="str">
        <f>IF('TRACKER - 20220622'!BO34&lt;&gt;"",'TRACKER - 20220622'!BO34,"")</f>
        <v/>
      </c>
    </row>
    <row r="31" spans="1:59">
      <c r="A31" t="str">
        <f>IF('TRACKER - 20220622'!A35&lt;&gt;"",UPPER('TRACKER - 20220622'!A35),"")</f>
        <v>CYNERGY</v>
      </c>
      <c r="B31" t="str">
        <f>IF('TRACKER - 20220622'!B35&lt;&gt;"",UPPER('TRACKER - 20220622'!B35),"")</f>
        <v>Y</v>
      </c>
      <c r="C31" t="str">
        <f>IF('TRACKER - 20220622'!D34&lt;&gt;"",UPPER('TRACKER - 20220622'!D34),"")</f>
        <v>9998</v>
      </c>
      <c r="D31" t="str">
        <f>IF('TRACKER - 20220622'!F35&lt;&gt;"",UPPER('TRACKER - 20220622'!F35),"")</f>
        <v>CYG-RSC-2021-00001</v>
      </c>
      <c r="E31" t="str">
        <f>IF('TRACKER - 20220622'!H35&lt;&gt;"",'TRACKER - 20220622'!H35,"")</f>
        <v>Mortgage Backed Security Deal type</v>
      </c>
      <c r="F31" t="str">
        <f t="shared" si="0"/>
        <v>CYG-RSC-2021-00001 Mortgage Backed Security Deal type</v>
      </c>
      <c r="G31" t="str">
        <f t="shared" si="1"/>
        <v>309998 - Mortgage Backed Security Deal type</v>
      </c>
      <c r="H31">
        <f>IF('TRACKER - 20220622'!J35&lt;&gt;"",'TRACKER - 20220622'!J35,"")</f>
        <v>15066</v>
      </c>
      <c r="I31" t="str">
        <f>IF('TRACKER - 20220622'!K34&lt;&gt;"",UPPER('TRACKER - 20220622'!K34),"")</f>
        <v/>
      </c>
      <c r="J31" t="str">
        <f>IF('TRACKER - 20220622'!L34&lt;&gt;"",UPPER('TRACKER - 20220622'!L34),"")</f>
        <v/>
      </c>
      <c r="K31" t="str">
        <f>IF('TRACKER - 20220622'!M34&lt;&gt;"",UPPER('TRACKER - 20220622'!M34),"")</f>
        <v/>
      </c>
      <c r="L31" t="str">
        <f>IF('TRACKER - 20220622'!N34&lt;&gt;"",UPPER('TRACKER - 20220622'!N34),"")</f>
        <v/>
      </c>
      <c r="M31" t="str">
        <f>IF('TRACKER - 20220622'!O34&lt;&gt;"",UPPER('TRACKER - 20220622'!O34),"")</f>
        <v/>
      </c>
      <c r="N31" t="str">
        <f>IF('TRACKER - 20220622'!P34&lt;&gt;"",UPPER('TRACKER - 20220622'!P34),"")</f>
        <v/>
      </c>
      <c r="O31" t="str">
        <f>IF('TRACKER - 20220622'!Q34&lt;&gt;"",UPPER('TRACKER - 20220622'!Q34),"")</f>
        <v>N/A</v>
      </c>
      <c r="P31" t="str">
        <f>IF('TRACKER - 20220622'!R34&lt;&gt;"",UPPER('TRACKER - 20220622'!R34),"")</f>
        <v>CLIENT</v>
      </c>
      <c r="Q31" t="str">
        <f>IF('TRACKER - 20220622'!S34&lt;&gt;"",UPPER('TRACKER - 20220622'!S34),"")</f>
        <v/>
      </c>
      <c r="R31" t="str">
        <f>IF('TRACKER - 20220622'!T34&lt;&gt;"",UPPER('TRACKER - 20220622'!T34),"")</f>
        <v/>
      </c>
      <c r="S31" t="str">
        <f>IF('TRACKER - 20220622'!U34&lt;&gt;"",UPPER('TRACKER - 20220622'!U34),"")</f>
        <v/>
      </c>
      <c r="T31" t="str">
        <f>IF('TRACKER - 20220622'!V34&lt;&gt;"",UPPER('TRACKER - 20220622'!V34),"")</f>
        <v/>
      </c>
      <c r="U31" t="str">
        <f>IF('TRACKER - 20220622'!W34&lt;&gt;"",UPPER('TRACKER - 20220622'!W34),"")</f>
        <v/>
      </c>
      <c r="V31" t="str">
        <f>IF('TRACKER - 20220622'!X34&lt;&gt;"",UPPER('TRACKER - 20220622'!X34),"")</f>
        <v/>
      </c>
      <c r="W31" t="str">
        <f>IF('TRACKER - 20220622'!Y34&lt;&gt;"",UPPER('TRACKER - 20220622'!Y34),"")</f>
        <v/>
      </c>
      <c r="X31" t="str">
        <f>IF('TRACKER - 20220622'!Z34&lt;&gt;"",UPPER('TRACKER - 20220622'!Z34),"")</f>
        <v>8091</v>
      </c>
      <c r="Y31" t="str">
        <f>IF('TRACKER - 20220622'!AA34&lt;&gt;"",UPPER('TRACKER - 20220622'!AA34),"")</f>
        <v>8091</v>
      </c>
      <c r="Z31" t="str">
        <f>IF('TRACKER - 20220622'!AB34&lt;&gt;"",UPPER('TRACKER - 20220622'!AB34),"")</f>
        <v>12945.6</v>
      </c>
      <c r="AA31" t="str">
        <f>IF('TRACKER - 20220622'!AC34&lt;&gt;"",UPPER('TRACKER - 20220622'!AC34),"")</f>
        <v>4854.6</v>
      </c>
      <c r="AB31" t="str">
        <f>IF('TRACKER - 20220622'!AE34&lt;&gt;"",UPPER('TRACKER - 20220622'!AE34),"")</f>
        <v>6472.8</v>
      </c>
      <c r="AC31" t="str">
        <f>IF('TRACKER - 20220622'!AF34&lt;&gt;"",UPPER('TRACKER - 20220622'!AF34),"")</f>
        <v>40455</v>
      </c>
      <c r="AD31" t="str">
        <f>IF('TRACKER - 20220622'!AG34&lt;&gt;"",UPPER('TRACKER - 20220622'!AG34),"")</f>
        <v>8091</v>
      </c>
      <c r="AE31" t="str">
        <f>IF('TRACKER - 20220622'!AH34&lt;&gt;"",UPPER('TRACKER - 20220622'!AH34),"")</f>
        <v>215.76</v>
      </c>
      <c r="AF31" t="str">
        <f>IF('TRACKER - 20220622'!AI34&lt;&gt;"",UPPER('TRACKER - 20220622'!AI34),"")</f>
        <v/>
      </c>
      <c r="AG31" t="str">
        <f>IF('TRACKER - 20220622'!AJ34&lt;&gt;"",UPPER('TRACKER - 20220622'!AJ34),"")</f>
        <v>0.2</v>
      </c>
      <c r="AH31" t="str">
        <f>IF('TRACKER - 20220622'!AK34&lt;&gt;"",UPPER('TRACKER - 20220622'!AK34),"")</f>
        <v>5</v>
      </c>
      <c r="AI31" t="str">
        <f>IF('TRACKER - 20220622'!AL34&lt;&gt;"",UPPER('TRACKER - 20220622'!AL34),"")</f>
        <v>5</v>
      </c>
      <c r="AJ31" t="str">
        <f>IF('TRACKER - 20220622'!AM34&lt;&gt;"",UPPER('TRACKER - 20220622'!AM34),"")</f>
        <v>8</v>
      </c>
      <c r="AK31" t="str">
        <f>IF('TRACKER - 20220622'!AN34&lt;&gt;"",UPPER('TRACKER - 20220622'!AN34),"")</f>
        <v>3</v>
      </c>
      <c r="AL31" t="str">
        <f>IF('TRACKER - 20220622'!AO34&lt;&gt;"",UPPER('TRACKER - 20220622'!AO34),"")</f>
        <v>4</v>
      </c>
      <c r="AM31" t="str">
        <f>IF('TRACKER - 20220622'!AP34&lt;&gt;"",UPPER('TRACKER - 20220622'!AP34),"")</f>
        <v>25</v>
      </c>
      <c r="AN31" t="str">
        <f>IF('TRACKER - 20220622'!AQ34&lt;&gt;"",UPPER('TRACKER - 20220622'!AQ34),"")</f>
        <v>5</v>
      </c>
      <c r="AO31" t="str">
        <f>IF('TRACKER - 20220622'!AR34&lt;&gt;"",UPPER('TRACKER - 20220622'!AR34),"")</f>
        <v>BDB</v>
      </c>
      <c r="AP31" t="str">
        <f>IF('TRACKER - 20220622'!AS34&lt;&gt;"",UPPER('TRACKER - 20220622'!AS34),"")</f>
        <v>RSC</v>
      </c>
      <c r="AQ31" t="str">
        <f>IF('TRACKER - 20220622'!AT34&lt;&gt;"",UPPER('TRACKER - 20220622'!AT34),"")</f>
        <v>Y</v>
      </c>
      <c r="AR31" t="str">
        <f>IF('TRACKER - 20220622'!AU34&lt;&gt;"",UPPER('TRACKER - 20220622'!AU34),"")</f>
        <v>215.76</v>
      </c>
      <c r="AS31" t="str">
        <f>IF('TRACKER - 20220622'!AV34&lt;&gt;"",UPPER('TRACKER - 20220622'!AV34),"")</f>
        <v/>
      </c>
      <c r="AT31" t="str">
        <f>IF('TRACKER - 20220622'!AW34&lt;&gt;"",UPPER('TRACKER - 20220622'!AW34),"")</f>
        <v>DESCR34</v>
      </c>
      <c r="AU31" t="str">
        <f>IF('TRACKER - 20220622'!AX34&lt;&gt;"",UPPER('TRACKER - 20220622'!AX34),"")</f>
        <v>REASON34</v>
      </c>
      <c r="AV31" t="str">
        <f>IF('TRACKER - 20220622'!BD35&lt;&gt;"",'TRACKER - 20220622'!BD35,"")</f>
        <v/>
      </c>
      <c r="AW31" t="str">
        <f>IF('TRACKER - 20220622'!BE35&lt;&gt;"",'TRACKER - 20220622'!BE35,"")</f>
        <v/>
      </c>
      <c r="AX31" t="str">
        <f>IF('TRACKER - 20220622'!BF35&lt;&gt;"",'TRACKER - 20220622'!BF35,"")</f>
        <v/>
      </c>
      <c r="AY31" t="str">
        <f>IF('TRACKER - 20220622'!BG35&lt;&gt;"",'TRACKER - 20220622'!BG35,"")</f>
        <v/>
      </c>
      <c r="AZ31" t="str">
        <f>IF('TRACKER - 20220622'!BH35&lt;&gt;"",'TRACKER - 20220622'!BH35,"")</f>
        <v/>
      </c>
      <c r="BA31" t="str">
        <f>IF('TRACKER - 20220622'!BI35&lt;&gt;"",'TRACKER - 20220622'!BI35,"")</f>
        <v/>
      </c>
      <c r="BB31" t="str">
        <f>IF('TRACKER - 20220622'!BJ35&lt;&gt;"",'TRACKER - 20220622'!BJ35,"")</f>
        <v/>
      </c>
      <c r="BC31" t="str">
        <f>IF('TRACKER - 20220622'!BK35&lt;&gt;"",'TRACKER - 20220622'!BK35,"")</f>
        <v/>
      </c>
      <c r="BD31" t="str">
        <f>IF('TRACKER - 20220622'!BL35&lt;&gt;"",'TRACKER - 20220622'!BL35,"")</f>
        <v/>
      </c>
      <c r="BE31" t="str">
        <f>IF('TRACKER - 20220622'!BM35&lt;&gt;"",'TRACKER - 20220622'!BM35,"")</f>
        <v/>
      </c>
      <c r="BF31" t="str">
        <f>IF('TRACKER - 20220622'!BN35&lt;&gt;"",'TRACKER - 20220622'!BN35,"")</f>
        <v/>
      </c>
      <c r="BG31" t="str">
        <f>IF('TRACKER - 20220622'!BO35&lt;&gt;"",'TRACKER - 20220622'!BO35,"")</f>
        <v/>
      </c>
    </row>
    <row r="32" spans="1:59">
      <c r="A32" t="str">
        <f>IF('TRACKER - 20220622'!A36&lt;&gt;"",UPPER('TRACKER - 20220622'!A36),"")</f>
        <v>LUMINOR</v>
      </c>
      <c r="B32" t="str">
        <f>IF('TRACKER - 20220622'!B36&lt;&gt;"",UPPER('TRACKER - 20220622'!B36),"")</f>
        <v>Y</v>
      </c>
      <c r="C32" t="str">
        <f>IF('TRACKER - 20220622'!D35&lt;&gt;"",UPPER('TRACKER - 20220622'!D35),"")</f>
        <v>1</v>
      </c>
      <c r="D32" t="str">
        <f>IF('TRACKER - 20220622'!F36&lt;&gt;"",UPPER('TRACKER - 20220622'!F36),"")</f>
        <v>LMR-RSC-2019-00011</v>
      </c>
      <c r="E32" t="str">
        <f>IF('TRACKER - 20220622'!H36&lt;&gt;"",'TRACKER - 20220622'!H36,"")</f>
        <v xml:space="preserve">R2 Delivery 6 - Gaps </v>
      </c>
      <c r="F32" t="str">
        <f t="shared" si="0"/>
        <v xml:space="preserve">LMR-RSC-2019-00011 R2 Delivery 6 - Gaps </v>
      </c>
      <c r="G32" t="str">
        <f t="shared" si="1"/>
        <v xml:space="preserve">100001 - R2 Delivery 6 - Gaps </v>
      </c>
      <c r="H32">
        <f>IF('TRACKER - 20220622'!J36&lt;&gt;"",'TRACKER - 20220622'!J36,"")</f>
        <v>43383.600000000006</v>
      </c>
      <c r="I32" t="str">
        <f>IF('TRACKER - 20220622'!K35&lt;&gt;"",UPPER('TRACKER - 20220622'!K35),"")</f>
        <v>44321</v>
      </c>
      <c r="J32" t="str">
        <f>IF('TRACKER - 20220622'!L35&lt;&gt;"",UPPER('TRACKER - 20220622'!L35),"")</f>
        <v>44243</v>
      </c>
      <c r="K32" t="str">
        <f>IF('TRACKER - 20220622'!M35&lt;&gt;"",UPPER('TRACKER - 20220622'!M35),"")</f>
        <v>44263</v>
      </c>
      <c r="L32" t="str">
        <f>IF('TRACKER - 20220622'!N35&lt;&gt;"",UPPER('TRACKER - 20220622'!N35),"")</f>
        <v>44301</v>
      </c>
      <c r="M32" t="str">
        <f>IF('TRACKER - 20220622'!O35&lt;&gt;"",UPPER('TRACKER - 20220622'!O35),"")</f>
        <v>44305</v>
      </c>
      <c r="N32" t="str">
        <f>IF('TRACKER - 20220622'!P35&lt;&gt;"",UPPER('TRACKER - 20220622'!P35),"")</f>
        <v>44321</v>
      </c>
      <c r="O32" t="str">
        <f>IF('TRACKER - 20220622'!Q35&lt;&gt;"",UPPER('TRACKER - 20220622'!Q35),"")</f>
        <v>TREASURY</v>
      </c>
      <c r="P32" t="str">
        <f>IF('TRACKER - 20220622'!R35&lt;&gt;"",UPPER('TRACKER - 20220622'!R35),"")</f>
        <v>CLIENT</v>
      </c>
      <c r="Q32" t="str">
        <f>IF('TRACKER - 20220622'!S35&lt;&gt;"",UPPER('TRACKER - 20220622'!S35),"")</f>
        <v/>
      </c>
      <c r="R32" t="str">
        <f>IF('TRACKER - 20220622'!T35&lt;&gt;"",UPPER('TRACKER - 20220622'!T35),"")</f>
        <v/>
      </c>
      <c r="S32" t="str">
        <f>IF('TRACKER - 20220622'!U35&lt;&gt;"",UPPER('TRACKER - 20220622'!U35),"")</f>
        <v/>
      </c>
      <c r="T32" t="str">
        <f>IF('TRACKER - 20220622'!V35&lt;&gt;"",UPPER('TRACKER - 20220622'!V35),"")</f>
        <v/>
      </c>
      <c r="U32" t="str">
        <f>IF('TRACKER - 20220622'!W35&lt;&gt;"",UPPER('TRACKER - 20220622'!W35),"")</f>
        <v/>
      </c>
      <c r="V32" t="str">
        <f>IF('TRACKER - 20220622'!X35&lt;&gt;"",UPPER('TRACKER - 20220622'!X35),"")</f>
        <v>. 
04/05/21 [EBC] APPROVED RSC SENT NOW CONTRACT HAS BEEN SIGNED
20/04/21 [EBC] APPROVED FOLLOWING UPDATE NOW NEEDS TO BE SENT TO CUSTOMER, CONTRACT SIGNED ON 19/04 SO WILL BE SENT THIS WEEK
14/04/21 [MWT] RSC + SOLUTION APPROVED
13/04/21 [EBC] RSC SOLUTION IS ONLY THAT IT WILL BE CONFIGURED AS THIS WILL BE SEEN BY CLIENT SO THERE IS NO SOLUTION DEFINED IN THE RSC AS AGREED. COSTS ADDED AND RE-CIRUCLATED FOR SIGN OFF</v>
      </c>
      <c r="W32" t="str">
        <f>IF('TRACKER - 20220622'!Y35&lt;&gt;"",UPPER('TRACKER - 20220622'!Y35),"")</f>
        <v>15066</v>
      </c>
      <c r="X32" t="str">
        <f>IF('TRACKER - 20220622'!Z35&lt;&gt;"",UPPER('TRACKER - 20220622'!Z35),"")</f>
        <v>0</v>
      </c>
      <c r="Y32" t="str">
        <f>IF('TRACKER - 20220622'!AA35&lt;&gt;"",UPPER('TRACKER - 20220622'!AA35),"")</f>
        <v>8370</v>
      </c>
      <c r="Z32" t="str">
        <f>IF('TRACKER - 20220622'!AB35&lt;&gt;"",UPPER('TRACKER - 20220622'!AB35),"")</f>
        <v>1395</v>
      </c>
      <c r="AA32" t="str">
        <f>IF('TRACKER - 20220622'!AC35&lt;&gt;"",UPPER('TRACKER - 20220622'!AC35),"")</f>
        <v>1395</v>
      </c>
      <c r="AB32" t="str">
        <f>IF('TRACKER - 20220622'!AE35&lt;&gt;"",UPPER('TRACKER - 20220622'!AE35),"")</f>
        <v>1395</v>
      </c>
      <c r="AC32" t="str">
        <f>IF('TRACKER - 20220622'!AF35&lt;&gt;"",UPPER('TRACKER - 20220622'!AF35),"")</f>
        <v>12555</v>
      </c>
      <c r="AD32" t="str">
        <f>IF('TRACKER - 20220622'!AG35&lt;&gt;"",UPPER('TRACKER - 20220622'!AG35),"")</f>
        <v>2511</v>
      </c>
      <c r="AE32" t="str">
        <f>IF('TRACKER - 20220622'!AH35&lt;&gt;"",UPPER('TRACKER - 20220622'!AH35),"")</f>
        <v>186</v>
      </c>
      <c r="AF32" t="str">
        <f>IF('TRACKER - 20220622'!AI35&lt;&gt;"",UPPER('TRACKER - 20220622'!AI35),"")</f>
        <v/>
      </c>
      <c r="AG32" t="str">
        <f>IF('TRACKER - 20220622'!AJ35&lt;&gt;"",UPPER('TRACKER - 20220622'!AJ35),"")</f>
        <v>0.2</v>
      </c>
      <c r="AH32" t="str">
        <f>IF('TRACKER - 20220622'!AK35&lt;&gt;"",UPPER('TRACKER - 20220622'!AK35),"")</f>
        <v/>
      </c>
      <c r="AI32" t="str">
        <f>IF('TRACKER - 20220622'!AL35&lt;&gt;"",UPPER('TRACKER - 20220622'!AL35),"")</f>
        <v>6</v>
      </c>
      <c r="AJ32" t="str">
        <f>IF('TRACKER - 20220622'!AM35&lt;&gt;"",UPPER('TRACKER - 20220622'!AM35),"")</f>
        <v>1</v>
      </c>
      <c r="AK32" t="str">
        <f>IF('TRACKER - 20220622'!AN35&lt;&gt;"",UPPER('TRACKER - 20220622'!AN35),"")</f>
        <v>1</v>
      </c>
      <c r="AL32" t="str">
        <f>IF('TRACKER - 20220622'!AO35&lt;&gt;"",UPPER('TRACKER - 20220622'!AO35),"")</f>
        <v>1</v>
      </c>
      <c r="AM32" t="str">
        <f>IF('TRACKER - 20220622'!AP35&lt;&gt;"",UPPER('TRACKER - 20220622'!AP35),"")</f>
        <v>9</v>
      </c>
      <c r="AN32" t="str">
        <f>IF('TRACKER - 20220622'!AQ35&lt;&gt;"",UPPER('TRACKER - 20220622'!AQ35),"")</f>
        <v>1.8</v>
      </c>
      <c r="AO32" t="str">
        <f>IF('TRACKER - 20220622'!AR35&lt;&gt;"",UPPER('TRACKER - 20220622'!AR35),"")</f>
        <v>CYG</v>
      </c>
      <c r="AP32" t="str">
        <f>IF('TRACKER - 20220622'!AS35&lt;&gt;"",UPPER('TRACKER - 20220622'!AS35),"")</f>
        <v>RSC</v>
      </c>
      <c r="AQ32" t="str">
        <f>IF('TRACKER - 20220622'!AT35&lt;&gt;"",UPPER('TRACKER - 20220622'!AT35),"")</f>
        <v>Y</v>
      </c>
      <c r="AR32" t="str">
        <f>IF('TRACKER - 20220622'!AU35&lt;&gt;"",UPPER('TRACKER - 20220622'!AU35),"")</f>
        <v>205.2</v>
      </c>
      <c r="AS32" t="str">
        <f>IF('TRACKER - 20220622'!AV35&lt;&gt;"",UPPER('TRACKER - 20220622'!AV35),"")</f>
        <v>Y</v>
      </c>
      <c r="AT32" t="str">
        <f>IF('TRACKER - 20220622'!AW35&lt;&gt;"",UPPER('TRACKER - 20220622'!AW35),"")</f>
        <v>DESCR35</v>
      </c>
      <c r="AU32" t="str">
        <f>IF('TRACKER - 20220622'!AX35&lt;&gt;"",UPPER('TRACKER - 20220622'!AX35),"")</f>
        <v>REASON35</v>
      </c>
      <c r="AV32" t="str">
        <f>IF('TRACKER - 20220622'!BD36&lt;&gt;"",'TRACKER - 20220622'!BD36,"")</f>
        <v/>
      </c>
      <c r="AW32" t="str">
        <f>IF('TRACKER - 20220622'!BE36&lt;&gt;"",'TRACKER - 20220622'!BE36,"")</f>
        <v/>
      </c>
      <c r="AX32" t="str">
        <f>IF('TRACKER - 20220622'!BF36&lt;&gt;"",'TRACKER - 20220622'!BF36,"")</f>
        <v/>
      </c>
      <c r="AY32" t="str">
        <f>IF('TRACKER - 20220622'!BG36&lt;&gt;"",'TRACKER - 20220622'!BG36,"")</f>
        <v/>
      </c>
      <c r="AZ32" t="str">
        <f>IF('TRACKER - 20220622'!BH36&lt;&gt;"",'TRACKER - 20220622'!BH36,"")</f>
        <v/>
      </c>
      <c r="BA32" t="str">
        <f>IF('TRACKER - 20220622'!BI36&lt;&gt;"",'TRACKER - 20220622'!BI36,"")</f>
        <v/>
      </c>
      <c r="BB32" t="str">
        <f>IF('TRACKER - 20220622'!BJ36&lt;&gt;"",'TRACKER - 20220622'!BJ36,"")</f>
        <v/>
      </c>
      <c r="BC32" t="str">
        <f>IF('TRACKER - 20220622'!BK36&lt;&gt;"",'TRACKER - 20220622'!BK36,"")</f>
        <v/>
      </c>
      <c r="BD32" t="str">
        <f>IF('TRACKER - 20220622'!BL36&lt;&gt;"",'TRACKER - 20220622'!BL36,"")</f>
        <v/>
      </c>
      <c r="BE32" t="str">
        <f>IF('TRACKER - 20220622'!BM36&lt;&gt;"",'TRACKER - 20220622'!BM36,"")</f>
        <v/>
      </c>
      <c r="BF32" t="str">
        <f>IF('TRACKER - 20220622'!BN36&lt;&gt;"",'TRACKER - 20220622'!BN36,"")</f>
        <v/>
      </c>
      <c r="BG32" t="str">
        <f>IF('TRACKER - 20220622'!BO36&lt;&gt;"",'TRACKER - 20220622'!BO36,"")</f>
        <v/>
      </c>
    </row>
    <row r="33" spans="1:59">
      <c r="A33" t="str">
        <f>IF('TRACKER - 20220622'!A37&lt;&gt;"",UPPER('TRACKER - 20220622'!A37),"")</f>
        <v>LUMINOR</v>
      </c>
      <c r="B33" t="str">
        <f>IF('TRACKER - 20220622'!B37&lt;&gt;"",UPPER('TRACKER - 20220622'!B37),"")</f>
        <v>Y</v>
      </c>
      <c r="C33" t="str">
        <f>IF('TRACKER - 20220622'!D36&lt;&gt;"",UPPER('TRACKER - 20220622'!D36),"")</f>
        <v>11</v>
      </c>
      <c r="D33" t="str">
        <f>IF('TRACKER - 20220622'!F37&lt;&gt;"",UPPER('TRACKER - 20220622'!F37),"")</f>
        <v>LMR-RSC-2019-00012</v>
      </c>
      <c r="E33" t="str">
        <f>IF('TRACKER - 20220622'!H37&lt;&gt;"",'TRACKER - 20220622'!H37,"")</f>
        <v xml:space="preserve">R2 Delivery 7- Gaps </v>
      </c>
      <c r="F33" t="str">
        <f t="shared" si="0"/>
        <v xml:space="preserve">LMR-RSC-2019-00012 R2 Delivery 7- Gaps </v>
      </c>
      <c r="G33" t="str">
        <f t="shared" si="1"/>
        <v xml:space="preserve">00011 - R2 Delivery 7- Gaps </v>
      </c>
      <c r="H33">
        <f>IF('TRACKER - 20220622'!J37&lt;&gt;"",'TRACKER - 20220622'!J37,"")</f>
        <v>55898.100000000006</v>
      </c>
      <c r="I33" t="str">
        <f>IF('TRACKER - 20220622'!K36&lt;&gt;"",UPPER('TRACKER - 20220622'!K36),"")</f>
        <v>43728</v>
      </c>
      <c r="J33" t="str">
        <f>IF('TRACKER - 20220622'!L36&lt;&gt;"",UPPER('TRACKER - 20220622'!L36),"")</f>
        <v>43728</v>
      </c>
      <c r="K33" t="str">
        <f>IF('TRACKER - 20220622'!M36&lt;&gt;"",UPPER('TRACKER - 20220622'!M36),"")</f>
        <v/>
      </c>
      <c r="L33" t="str">
        <f>IF('TRACKER - 20220622'!N36&lt;&gt;"",UPPER('TRACKER - 20220622'!N36),"")</f>
        <v/>
      </c>
      <c r="M33" t="str">
        <f>IF('TRACKER - 20220622'!O36&lt;&gt;"",UPPER('TRACKER - 20220622'!O36),"")</f>
        <v/>
      </c>
      <c r="N33" t="str">
        <f>IF('TRACKER - 20220622'!P36&lt;&gt;"",UPPER('TRACKER - 20220622'!P36),"")</f>
        <v/>
      </c>
      <c r="O33" t="str">
        <f>IF('TRACKER - 20220622'!Q36&lt;&gt;"",UPPER('TRACKER - 20220622'!Q36),"")</f>
        <v>SALES DESK</v>
      </c>
      <c r="P33" t="str">
        <f>IF('TRACKER - 20220622'!R36&lt;&gt;"",UPPER('TRACKER - 20220622'!R36),"")</f>
        <v>CLIENT</v>
      </c>
      <c r="Q33" t="str">
        <f>IF('TRACKER - 20220622'!S36&lt;&gt;"",UPPER('TRACKER - 20220622'!S36),"")</f>
        <v/>
      </c>
      <c r="R33" t="str">
        <f>IF('TRACKER - 20220622'!T36&lt;&gt;"",UPPER('TRACKER - 20220622'!T36),"")</f>
        <v/>
      </c>
      <c r="S33" t="str">
        <f>IF('TRACKER - 20220622'!U36&lt;&gt;"",UPPER('TRACKER - 20220622'!U36),"")</f>
        <v/>
      </c>
      <c r="T33" t="str">
        <f>IF('TRACKER - 20220622'!V36&lt;&gt;"",UPPER('TRACKER - 20220622'!V36),"")</f>
        <v/>
      </c>
      <c r="U33" t="str">
        <f>IF('TRACKER - 20220622'!W36&lt;&gt;"",UPPER('TRACKER - 20220622'!W36),"")</f>
        <v/>
      </c>
      <c r="V33" t="str">
        <f>IF('TRACKER - 20220622'!X36&lt;&gt;"",UPPER('TRACKER - 20220622'!X36),"")</f>
        <v xml:space="preserve">29/09/20 [EBC] - TARGET LIVE R1 07/12 STILL LOOKING LIKE Q1 21 FOR FURTHER PROGRESS 
26/08/20 - [EBC] CURRENTLY THERE IS A WISH LIST OF REQUIREMENTS WHICH HAVE BEEN SPLIT BETWEEN EUROBASE AND LUMINOR.  THESE WILL NEED TO BE PRIORITISED, REVIEWED AND RE-ESTIMATED.  BEFORE THIS WORK CAN START AGREEMENT MANAGER AND COMMODITY SWAPS NEED TO BE HAVE BEEN DELIVERED AND LIVE. 
04/04/20 [EBC] START NOW LIKELY TO BE 2021 - HOWEVER DISCUSSION ON WHEN THIS WORK WOULD NEED TO BE RAISED AT STEERING. 
OUTLINE OF CONTENT DOES EXIST - NOW BEEN PUSHED BACK TO START AFTER R1 IS LIVE FOR LMR. END OF SEPT/OCT 2020
08/03/21 [EBC] GIVEN THE CURRENT PLANS FOR LUMINOR THESE ARE NOT LIKELY TO CONTINUE IN CURRENT FORM SO MARKING AS REJECTED. </v>
      </c>
      <c r="W33" t="str">
        <f>IF('TRACKER - 20220622'!Y36&lt;&gt;"",UPPER('TRACKER - 20220622'!Y36),"")</f>
        <v>43383.6</v>
      </c>
      <c r="X33" t="str">
        <f>IF('TRACKER - 20220622'!Z36&lt;&gt;"",UPPER('TRACKER - 20220622'!Z36),"")</f>
        <v>0</v>
      </c>
      <c r="Y33" t="str">
        <f>IF('TRACKER - 20220622'!AA36&lt;&gt;"",UPPER('TRACKER - 20220622'!AA36),"")</f>
        <v>36153</v>
      </c>
      <c r="Z33" t="str">
        <f>IF('TRACKER - 20220622'!AB36&lt;&gt;"",UPPER('TRACKER - 20220622'!AB36),"")</f>
        <v>0</v>
      </c>
      <c r="AA33" t="str">
        <f>IF('TRACKER - 20220622'!AC36&lt;&gt;"",UPPER('TRACKER - 20220622'!AC36),"")</f>
        <v>0</v>
      </c>
      <c r="AB33" t="str">
        <f>IF('TRACKER - 20220622'!AE36&lt;&gt;"",UPPER('TRACKER - 20220622'!AE36),"")</f>
        <v>0</v>
      </c>
      <c r="AC33" t="str">
        <f>IF('TRACKER - 20220622'!AF36&lt;&gt;"",UPPER('TRACKER - 20220622'!AF36),"")</f>
        <v>36153</v>
      </c>
      <c r="AD33" t="str">
        <f>IF('TRACKER - 20220622'!AG36&lt;&gt;"",UPPER('TRACKER - 20220622'!AG36),"")</f>
        <v>7230.6</v>
      </c>
      <c r="AE33" t="str">
        <f>IF('TRACKER - 20220622'!AH36&lt;&gt;"",UPPER('TRACKER - 20220622'!AH36),"")</f>
        <v>185.4</v>
      </c>
      <c r="AF33" t="str">
        <f>IF('TRACKER - 20220622'!AI36&lt;&gt;"",UPPER('TRACKER - 20220622'!AI36),"")</f>
        <v/>
      </c>
      <c r="AG33" t="str">
        <f>IF('TRACKER - 20220622'!AJ36&lt;&gt;"",UPPER('TRACKER - 20220622'!AJ36),"")</f>
        <v>0.2</v>
      </c>
      <c r="AH33" t="str">
        <f>IF('TRACKER - 20220622'!AK36&lt;&gt;"",UPPER('TRACKER - 20220622'!AK36),"")</f>
        <v/>
      </c>
      <c r="AI33" t="str">
        <f>IF('TRACKER - 20220622'!AL36&lt;&gt;"",UPPER('TRACKER - 20220622'!AL36),"")</f>
        <v>26</v>
      </c>
      <c r="AJ33" t="str">
        <f>IF('TRACKER - 20220622'!AM36&lt;&gt;"",UPPER('TRACKER - 20220622'!AM36),"")</f>
        <v>0</v>
      </c>
      <c r="AK33" t="str">
        <f>IF('TRACKER - 20220622'!AN36&lt;&gt;"",UPPER('TRACKER - 20220622'!AN36),"")</f>
        <v/>
      </c>
      <c r="AL33" t="str">
        <f>IF('TRACKER - 20220622'!AO36&lt;&gt;"",UPPER('TRACKER - 20220622'!AO36),"")</f>
        <v>0</v>
      </c>
      <c r="AM33" t="str">
        <f>IF('TRACKER - 20220622'!AP36&lt;&gt;"",UPPER('TRACKER - 20220622'!AP36),"")</f>
        <v>26</v>
      </c>
      <c r="AN33" t="str">
        <f>IF('TRACKER - 20220622'!AQ36&lt;&gt;"",UPPER('TRACKER - 20220622'!AQ36),"")</f>
        <v>5.2</v>
      </c>
      <c r="AO33" t="str">
        <f>IF('TRACKER - 20220622'!AR36&lt;&gt;"",UPPER('TRACKER - 20220622'!AR36),"")</f>
        <v>LMR</v>
      </c>
      <c r="AP33" t="str">
        <f>IF('TRACKER - 20220622'!AS36&lt;&gt;"",UPPER('TRACKER - 20220622'!AS36),"")</f>
        <v>RSC</v>
      </c>
      <c r="AQ33" t="str">
        <f>IF('TRACKER - 20220622'!AT36&lt;&gt;"",UPPER('TRACKER - 20220622'!AT36),"")</f>
        <v>Y</v>
      </c>
      <c r="AR33" t="str">
        <f>IF('TRACKER - 20220622'!AU36&lt;&gt;"",UPPER('TRACKER - 20220622'!AU36),"")</f>
        <v>185.4</v>
      </c>
      <c r="AS33" t="str">
        <f>IF('TRACKER - 20220622'!AV36&lt;&gt;"",UPPER('TRACKER - 20220622'!AV36),"")</f>
        <v/>
      </c>
      <c r="AT33" t="str">
        <f>IF('TRACKER - 20220622'!AW36&lt;&gt;"",UPPER('TRACKER - 20220622'!AW36),"")</f>
        <v>DESCR36</v>
      </c>
      <c r="AU33" t="str">
        <f>IF('TRACKER - 20220622'!AX36&lt;&gt;"",UPPER('TRACKER - 20220622'!AX36),"")</f>
        <v>REASON36</v>
      </c>
      <c r="AV33" t="str">
        <f>IF('TRACKER - 20220622'!BD37&lt;&gt;"",'TRACKER - 20220622'!BD37,"")</f>
        <v/>
      </c>
      <c r="AW33" t="str">
        <f>IF('TRACKER - 20220622'!BE37&lt;&gt;"",'TRACKER - 20220622'!BE37,"")</f>
        <v/>
      </c>
      <c r="AX33" t="str">
        <f>IF('TRACKER - 20220622'!BF37&lt;&gt;"",'TRACKER - 20220622'!BF37,"")</f>
        <v/>
      </c>
      <c r="AY33" t="str">
        <f>IF('TRACKER - 20220622'!BG37&lt;&gt;"",'TRACKER - 20220622'!BG37,"")</f>
        <v/>
      </c>
      <c r="AZ33" t="str">
        <f>IF('TRACKER - 20220622'!BH37&lt;&gt;"",'TRACKER - 20220622'!BH37,"")</f>
        <v/>
      </c>
      <c r="BA33" t="str">
        <f>IF('TRACKER - 20220622'!BI37&lt;&gt;"",'TRACKER - 20220622'!BI37,"")</f>
        <v/>
      </c>
      <c r="BB33" t="str">
        <f>IF('TRACKER - 20220622'!BJ37&lt;&gt;"",'TRACKER - 20220622'!BJ37,"")</f>
        <v/>
      </c>
      <c r="BC33" t="str">
        <f>IF('TRACKER - 20220622'!BK37&lt;&gt;"",'TRACKER - 20220622'!BK37,"")</f>
        <v/>
      </c>
      <c r="BD33" t="str">
        <f>IF('TRACKER - 20220622'!BL37&lt;&gt;"",'TRACKER - 20220622'!BL37,"")</f>
        <v/>
      </c>
      <c r="BE33" t="str">
        <f>IF('TRACKER - 20220622'!BM37&lt;&gt;"",'TRACKER - 20220622'!BM37,"")</f>
        <v/>
      </c>
      <c r="BF33" t="str">
        <f>IF('TRACKER - 20220622'!BN37&lt;&gt;"",'TRACKER - 20220622'!BN37,"")</f>
        <v/>
      </c>
      <c r="BG33" t="str">
        <f>IF('TRACKER - 20220622'!BO37&lt;&gt;"",'TRACKER - 20220622'!BO37,"")</f>
        <v/>
      </c>
    </row>
    <row r="34" spans="1:59">
      <c r="A34" t="str">
        <f>IF('TRACKER - 20220622'!A38&lt;&gt;"",UPPER('TRACKER - 20220622'!A38),"")</f>
        <v>LUMINOR</v>
      </c>
      <c r="B34" t="str">
        <f>IF('TRACKER - 20220622'!B38&lt;&gt;"",UPPER('TRACKER - 20220622'!B38),"")</f>
        <v>Y</v>
      </c>
      <c r="C34" t="str">
        <f>IF('TRACKER - 20220622'!D37&lt;&gt;"",UPPER('TRACKER - 20220622'!D37),"")</f>
        <v>12</v>
      </c>
      <c r="D34" t="str">
        <f>IF('TRACKER - 20220622'!F38&lt;&gt;"",UPPER('TRACKER - 20220622'!F38),"")</f>
        <v>LMR-RSC-2020-0001A</v>
      </c>
      <c r="E34" t="str">
        <f>IF('TRACKER - 20220622'!H38&lt;&gt;"",'TRACKER - 20220622'!H38,"")</f>
        <v xml:space="preserve">End of Day - Exention to existing RSC001 </v>
      </c>
      <c r="F34" t="str">
        <f t="shared" si="0"/>
        <v xml:space="preserve">LMR-RSC-2020-0001A End of Day - Exention to existing RSC001 </v>
      </c>
      <c r="G34" t="str">
        <f t="shared" si="1"/>
        <v xml:space="preserve">00012 - End of Day - Exention to existing RSC001 </v>
      </c>
      <c r="H34">
        <f>IF('TRACKER - 20220622'!J38&lt;&gt;"",'TRACKER - 20220622'!J38,"")</f>
        <v>11680.2</v>
      </c>
      <c r="I34" t="str">
        <f>IF('TRACKER - 20220622'!K37&lt;&gt;"",UPPER('TRACKER - 20220622'!K37),"")</f>
        <v>43728</v>
      </c>
      <c r="J34" t="str">
        <f>IF('TRACKER - 20220622'!L37&lt;&gt;"",UPPER('TRACKER - 20220622'!L37),"")</f>
        <v>43728</v>
      </c>
      <c r="K34" t="str">
        <f>IF('TRACKER - 20220622'!M37&lt;&gt;"",UPPER('TRACKER - 20220622'!M37),"")</f>
        <v/>
      </c>
      <c r="L34" t="str">
        <f>IF('TRACKER - 20220622'!N37&lt;&gt;"",UPPER('TRACKER - 20220622'!N37),"")</f>
        <v/>
      </c>
      <c r="M34" t="str">
        <f>IF('TRACKER - 20220622'!O37&lt;&gt;"",UPPER('TRACKER - 20220622'!O37),"")</f>
        <v/>
      </c>
      <c r="N34" t="str">
        <f>IF('TRACKER - 20220622'!P37&lt;&gt;"",UPPER('TRACKER - 20220622'!P37),"")</f>
        <v/>
      </c>
      <c r="O34" t="str">
        <f>IF('TRACKER - 20220622'!Q37&lt;&gt;"",UPPER('TRACKER - 20220622'!Q37),"")</f>
        <v>SALES DESK</v>
      </c>
      <c r="P34" t="str">
        <f>IF('TRACKER - 20220622'!R37&lt;&gt;"",UPPER('TRACKER - 20220622'!R37),"")</f>
        <v>CLIENT</v>
      </c>
      <c r="Q34" t="str">
        <f>IF('TRACKER - 20220622'!S37&lt;&gt;"",UPPER('TRACKER - 20220622'!S37),"")</f>
        <v/>
      </c>
      <c r="R34" t="str">
        <f>IF('TRACKER - 20220622'!T37&lt;&gt;"",UPPER('TRACKER - 20220622'!T37),"")</f>
        <v/>
      </c>
      <c r="S34" t="str">
        <f>IF('TRACKER - 20220622'!U37&lt;&gt;"",UPPER('TRACKER - 20220622'!U37),"")</f>
        <v/>
      </c>
      <c r="T34" t="str">
        <f>IF('TRACKER - 20220622'!V37&lt;&gt;"",UPPER('TRACKER - 20220622'!V37),"")</f>
        <v/>
      </c>
      <c r="U34" t="str">
        <f>IF('TRACKER - 20220622'!W37&lt;&gt;"",UPPER('TRACKER - 20220622'!W37),"")</f>
        <v/>
      </c>
      <c r="V34" t="str">
        <f>IF('TRACKER - 20220622'!X37&lt;&gt;"",UPPER('TRACKER - 20220622'!X37),"")</f>
        <v xml:space="preserve">29/09/20 [EBC] - TARGET LIVE R1 07/12 STILL LOOKING LIKE Q1 21 FOR FURTHER PROGRESS 
26/08/20 - [EBC] CURRENTLY THERE IS A WISH LIST OF REQUIREMENTS WHICH HAVE BEEN SPLIT BETWEEN EUROBASE AND LUMINOR.  THESE WILL NEED TO BE PRIORITISED, REVIEWED AND RE-ESTIMATED.  BEFORE THIS WORK CAN START AGREEMENT MANAGER AND COMMODITY SWAPS NEED TO BE HAVE BEEN DELIVERED AND LIVE. 
04/04/20 [EBC] START NOW LIKELY TO BE 2021 - HOWEVER DISCUSSION ON WHEN THIS WORK WOULD NEED TO BE RAISED AT STEERING. 
OUTLINE OF CONTENT DOES EXIST - NOW BEEN PUSHED BACK TO START AFTER R1 IS LIVE FOR LMR. END OF SEPT/OCT 2020
08/03/21 [EBC] GIVEN THE CURRENT PLANS FOR LUMINOR THESE ARE NOT LIKELY TO CONTINUE IN CURRENT FORM SO MARKING AS REJECTED. </v>
      </c>
      <c r="W34" t="str">
        <f>IF('TRACKER - 20220622'!Y37&lt;&gt;"",UPPER('TRACKER - 20220622'!Y37),"")</f>
        <v>55898.1</v>
      </c>
      <c r="X34" t="str">
        <f>IF('TRACKER - 20220622'!Z37&lt;&gt;"",UPPER('TRACKER - 20220622'!Z37),"")</f>
        <v>0</v>
      </c>
      <c r="Y34" t="str">
        <f>IF('TRACKER - 20220622'!AA37&lt;&gt;"",UPPER('TRACKER - 20220622'!AA37),"")</f>
        <v>46581.75</v>
      </c>
      <c r="Z34" t="str">
        <f>IF('TRACKER - 20220622'!AB37&lt;&gt;"",UPPER('TRACKER - 20220622'!AB37),"")</f>
        <v>0</v>
      </c>
      <c r="AA34" t="str">
        <f>IF('TRACKER - 20220622'!AC37&lt;&gt;"",UPPER('TRACKER - 20220622'!AC37),"")</f>
        <v>0</v>
      </c>
      <c r="AB34" t="str">
        <f>IF('TRACKER - 20220622'!AE37&lt;&gt;"",UPPER('TRACKER - 20220622'!AE37),"")</f>
        <v>0</v>
      </c>
      <c r="AC34" t="str">
        <f>IF('TRACKER - 20220622'!AF37&lt;&gt;"",UPPER('TRACKER - 20220622'!AF37),"")</f>
        <v>46581.75</v>
      </c>
      <c r="AD34" t="str">
        <f>IF('TRACKER - 20220622'!AG37&lt;&gt;"",UPPER('TRACKER - 20220622'!AG37),"")</f>
        <v>9316.35</v>
      </c>
      <c r="AE34" t="str">
        <f>IF('TRACKER - 20220622'!AH37&lt;&gt;"",UPPER('TRACKER - 20220622'!AH37),"")</f>
        <v>185.4</v>
      </c>
      <c r="AF34" t="str">
        <f>IF('TRACKER - 20220622'!AI37&lt;&gt;"",UPPER('TRACKER - 20220622'!AI37),"")</f>
        <v/>
      </c>
      <c r="AG34" t="str">
        <f>IF('TRACKER - 20220622'!AJ37&lt;&gt;"",UPPER('TRACKER - 20220622'!AJ37),"")</f>
        <v>0.2</v>
      </c>
      <c r="AH34" t="str">
        <f>IF('TRACKER - 20220622'!AK37&lt;&gt;"",UPPER('TRACKER - 20220622'!AK37),"")</f>
        <v/>
      </c>
      <c r="AI34" t="str">
        <f>IF('TRACKER - 20220622'!AL37&lt;&gt;"",UPPER('TRACKER - 20220622'!AL37),"")</f>
        <v>33.5</v>
      </c>
      <c r="AJ34" t="str">
        <f>IF('TRACKER - 20220622'!AM37&lt;&gt;"",UPPER('TRACKER - 20220622'!AM37),"")</f>
        <v>0</v>
      </c>
      <c r="AK34" t="str">
        <f>IF('TRACKER - 20220622'!AN37&lt;&gt;"",UPPER('TRACKER - 20220622'!AN37),"")</f>
        <v/>
      </c>
      <c r="AL34" t="str">
        <f>IF('TRACKER - 20220622'!AO37&lt;&gt;"",UPPER('TRACKER - 20220622'!AO37),"")</f>
        <v>0</v>
      </c>
      <c r="AM34" t="str">
        <f>IF('TRACKER - 20220622'!AP37&lt;&gt;"",UPPER('TRACKER - 20220622'!AP37),"")</f>
        <v>33.5</v>
      </c>
      <c r="AN34" t="str">
        <f>IF('TRACKER - 20220622'!AQ37&lt;&gt;"",UPPER('TRACKER - 20220622'!AQ37),"")</f>
        <v>6.7</v>
      </c>
      <c r="AO34" t="str">
        <f>IF('TRACKER - 20220622'!AR37&lt;&gt;"",UPPER('TRACKER - 20220622'!AR37),"")</f>
        <v>LMR</v>
      </c>
      <c r="AP34" t="str">
        <f>IF('TRACKER - 20220622'!AS37&lt;&gt;"",UPPER('TRACKER - 20220622'!AS37),"")</f>
        <v>RSC</v>
      </c>
      <c r="AQ34" t="str">
        <f>IF('TRACKER - 20220622'!AT37&lt;&gt;"",UPPER('TRACKER - 20220622'!AT37),"")</f>
        <v>Y</v>
      </c>
      <c r="AR34" t="str">
        <f>IF('TRACKER - 20220622'!AU37&lt;&gt;"",UPPER('TRACKER - 20220622'!AU37),"")</f>
        <v>185.4</v>
      </c>
      <c r="AS34" t="str">
        <f>IF('TRACKER - 20220622'!AV37&lt;&gt;"",UPPER('TRACKER - 20220622'!AV37),"")</f>
        <v/>
      </c>
      <c r="AT34" t="str">
        <f>IF('TRACKER - 20220622'!AW37&lt;&gt;"",UPPER('TRACKER - 20220622'!AW37),"")</f>
        <v>DESCR37</v>
      </c>
      <c r="AU34" t="str">
        <f>IF('TRACKER - 20220622'!AX37&lt;&gt;"",UPPER('TRACKER - 20220622'!AX37),"")</f>
        <v>REASON37</v>
      </c>
      <c r="AV34" t="str">
        <f>IF('TRACKER - 20220622'!BD38&lt;&gt;"",'TRACKER - 20220622'!BD38,"")</f>
        <v/>
      </c>
      <c r="AW34" t="str">
        <f>IF('TRACKER - 20220622'!BE38&lt;&gt;"",'TRACKER - 20220622'!BE38,"")</f>
        <v/>
      </c>
      <c r="AX34" t="str">
        <f>IF('TRACKER - 20220622'!BF38&lt;&gt;"",'TRACKER - 20220622'!BF38,"")</f>
        <v/>
      </c>
      <c r="AY34" t="str">
        <f>IF('TRACKER - 20220622'!BG38&lt;&gt;"",'TRACKER - 20220622'!BG38,"")</f>
        <v/>
      </c>
      <c r="AZ34" t="str">
        <f>IF('TRACKER - 20220622'!BH38&lt;&gt;"",'TRACKER - 20220622'!BH38,"")</f>
        <v/>
      </c>
      <c r="BA34" t="str">
        <f>IF('TRACKER - 20220622'!BI38&lt;&gt;"",'TRACKER - 20220622'!BI38,"")</f>
        <v/>
      </c>
      <c r="BB34" t="str">
        <f>IF('TRACKER - 20220622'!BJ38&lt;&gt;"",'TRACKER - 20220622'!BJ38,"")</f>
        <v/>
      </c>
      <c r="BC34" t="str">
        <f>IF('TRACKER - 20220622'!BK38&lt;&gt;"",'TRACKER - 20220622'!BK38,"")</f>
        <v/>
      </c>
      <c r="BD34" t="str">
        <f>IF('TRACKER - 20220622'!BL38&lt;&gt;"",'TRACKER - 20220622'!BL38,"")</f>
        <v/>
      </c>
      <c r="BE34" t="str">
        <f>IF('TRACKER - 20220622'!BM38&lt;&gt;"",'TRACKER - 20220622'!BM38,"")</f>
        <v/>
      </c>
      <c r="BF34" t="str">
        <f>IF('TRACKER - 20220622'!BN38&lt;&gt;"",'TRACKER - 20220622'!BN38,"")</f>
        <v/>
      </c>
      <c r="BG34" t="str">
        <f>IF('TRACKER - 20220622'!BO38&lt;&gt;"",'TRACKER - 20220622'!BO38,"")</f>
        <v/>
      </c>
    </row>
    <row r="35" spans="1:59">
      <c r="A35" t="str">
        <f>IF('TRACKER - 20220622'!A39&lt;&gt;"",UPPER('TRACKER - 20220622'!A39),"")</f>
        <v>LUMINOR</v>
      </c>
      <c r="B35" t="str">
        <f>IF('TRACKER - 20220622'!B39&lt;&gt;"",UPPER('TRACKER - 20220622'!B39),"")</f>
        <v>Y</v>
      </c>
      <c r="C35" t="str">
        <f>IF('TRACKER - 20220622'!D38&lt;&gt;"",UPPER('TRACKER - 20220622'!D38),"")</f>
        <v>1A</v>
      </c>
      <c r="D35" t="str">
        <f>IF('TRACKER - 20220622'!F39&lt;&gt;"",UPPER('TRACKER - 20220622'!F39),"")</f>
        <v>LMR-RSC-2020-00010</v>
      </c>
      <c r="E35" t="str">
        <f>IF('TRACKER - 20220622'!H39&lt;&gt;"",'TRACKER - 20220622'!H39,"")</f>
        <v>Additional Gaps - Gaps found during testing and demo's as part of D1 -D5B</v>
      </c>
      <c r="F35" t="str">
        <f t="shared" si="0"/>
        <v>LMR-RSC-2020-00010 Additional Gaps - Gaps found during testing and demo's as part of D1 -D5B</v>
      </c>
      <c r="G35" t="str">
        <f t="shared" si="1"/>
        <v>1A - Additional Gaps - Gaps found during testing and demo's as part of D1 -D5B</v>
      </c>
      <c r="H35">
        <f>IF('TRACKER - 20220622'!J39&lt;&gt;"",'TRACKER - 20220622'!J39,"")</f>
        <v>34067.25</v>
      </c>
      <c r="I35" t="str">
        <f>IF('TRACKER - 20220622'!K38&lt;&gt;"",UPPER('TRACKER - 20220622'!K38),"")</f>
        <v>43949</v>
      </c>
      <c r="J35" t="str">
        <f>IF('TRACKER - 20220622'!L38&lt;&gt;"",UPPER('TRACKER - 20220622'!L38),"")</f>
        <v>43945</v>
      </c>
      <c r="K35" t="str">
        <f>IF('TRACKER - 20220622'!M38&lt;&gt;"",UPPER('TRACKER - 20220622'!M38),"")</f>
        <v>43949</v>
      </c>
      <c r="L35" t="str">
        <f>IF('TRACKER - 20220622'!N38&lt;&gt;"",UPPER('TRACKER - 20220622'!N38),"")</f>
        <v>43678</v>
      </c>
      <c r="M35" t="str">
        <f>IF('TRACKER - 20220622'!O38&lt;&gt;"",UPPER('TRACKER - 20220622'!O38),"")</f>
        <v>43678</v>
      </c>
      <c r="N35" t="str">
        <f>IF('TRACKER - 20220622'!P38&lt;&gt;"",UPPER('TRACKER - 20220622'!P38),"")</f>
        <v>43678</v>
      </c>
      <c r="O35" t="str">
        <f>IF('TRACKER - 20220622'!Q38&lt;&gt;"",UPPER('TRACKER - 20220622'!Q38),"")</f>
        <v>SALES DESK</v>
      </c>
      <c r="P35" t="str">
        <f>IF('TRACKER - 20220622'!R38&lt;&gt;"",UPPER('TRACKER - 20220622'!R38),"")</f>
        <v>CLIENT</v>
      </c>
      <c r="Q35" t="str">
        <f>IF('TRACKER - 20220622'!S38&lt;&gt;"",UPPER('TRACKER - 20220622'!S38),"")</f>
        <v/>
      </c>
      <c r="R35" t="str">
        <f>IF('TRACKER - 20220622'!T38&lt;&gt;"",UPPER('TRACKER - 20220622'!T38),"")</f>
        <v/>
      </c>
      <c r="S35" t="str">
        <f>IF('TRACKER - 20220622'!U38&lt;&gt;"",UPPER('TRACKER - 20220622'!U38),"")</f>
        <v/>
      </c>
      <c r="T35" t="str">
        <f>IF('TRACKER - 20220622'!V38&lt;&gt;"",UPPER('TRACKER - 20220622'!V38),"")</f>
        <v/>
      </c>
      <c r="U35" t="str">
        <f>IF('TRACKER - 20220622'!W38&lt;&gt;"",UPPER('TRACKER - 20220622'!W38),"")</f>
        <v/>
      </c>
      <c r="V35" t="str">
        <f>IF('TRACKER - 20220622'!X38&lt;&gt;"",UPPER('TRACKER - 20220622'!X38),"")</f>
        <v>16/06/20 - [EBC] THIS WILL NOT PROGRESS BASED ON CURRENT DIRECTION FROM LMR
AGREEMENT WITH MATT THAT AS THIS IS AN EXTENSION THE DRAFT COULD BE SHARED WITH CUSTOMER AHEAD OF APPROVAL.</v>
      </c>
      <c r="W35" t="str">
        <f>IF('TRACKER - 20220622'!Y38&lt;&gt;"",UPPER('TRACKER - 20220622'!Y38),"")</f>
        <v>11680.2</v>
      </c>
      <c r="X35" t="str">
        <f>IF('TRACKER - 20220622'!Z38&lt;&gt;"",UPPER('TRACKER - 20220622'!Z38),"")</f>
        <v>0</v>
      </c>
      <c r="Y35" t="str">
        <f>IF('TRACKER - 20220622'!AA38&lt;&gt;"",UPPER('TRACKER - 20220622'!AA38),"")</f>
        <v>9733.5</v>
      </c>
      <c r="Z35" t="str">
        <f>IF('TRACKER - 20220622'!AB38&lt;&gt;"",UPPER('TRACKER - 20220622'!AB38),"")</f>
        <v>0</v>
      </c>
      <c r="AA35" t="str">
        <f>IF('TRACKER - 20220622'!AC38&lt;&gt;"",UPPER('TRACKER - 20220622'!AC38),"")</f>
        <v>0</v>
      </c>
      <c r="AB35" t="str">
        <f>IF('TRACKER - 20220622'!AE38&lt;&gt;"",UPPER('TRACKER - 20220622'!AE38),"")</f>
        <v>0</v>
      </c>
      <c r="AC35" t="str">
        <f>IF('TRACKER - 20220622'!AF38&lt;&gt;"",UPPER('TRACKER - 20220622'!AF38),"")</f>
        <v>9733.5</v>
      </c>
      <c r="AD35" t="str">
        <f>IF('TRACKER - 20220622'!AG38&lt;&gt;"",UPPER('TRACKER - 20220622'!AG38),"")</f>
        <v>1946.7</v>
      </c>
      <c r="AE35" t="str">
        <f>IF('TRACKER - 20220622'!AH38&lt;&gt;"",UPPER('TRACKER - 20220622'!AH38),"")</f>
        <v>185.4</v>
      </c>
      <c r="AF35" t="str">
        <f>IF('TRACKER - 20220622'!AI38&lt;&gt;"",UPPER('TRACKER - 20220622'!AI38),"")</f>
        <v/>
      </c>
      <c r="AG35" t="str">
        <f>IF('TRACKER - 20220622'!AJ38&lt;&gt;"",UPPER('TRACKER - 20220622'!AJ38),"")</f>
        <v>0.2</v>
      </c>
      <c r="AH35" t="str">
        <f>IF('TRACKER - 20220622'!AK38&lt;&gt;"",UPPER('TRACKER - 20220622'!AK38),"")</f>
        <v/>
      </c>
      <c r="AI35" t="str">
        <f>IF('TRACKER - 20220622'!AL38&lt;&gt;"",UPPER('TRACKER - 20220622'!AL38),"")</f>
        <v>7</v>
      </c>
      <c r="AJ35" t="str">
        <f>IF('TRACKER - 20220622'!AM38&lt;&gt;"",UPPER('TRACKER - 20220622'!AM38),"")</f>
        <v>0</v>
      </c>
      <c r="AK35" t="str">
        <f>IF('TRACKER - 20220622'!AN38&lt;&gt;"",UPPER('TRACKER - 20220622'!AN38),"")</f>
        <v/>
      </c>
      <c r="AL35" t="str">
        <f>IF('TRACKER - 20220622'!AO38&lt;&gt;"",UPPER('TRACKER - 20220622'!AO38),"")</f>
        <v>0</v>
      </c>
      <c r="AM35" t="str">
        <f>IF('TRACKER - 20220622'!AP38&lt;&gt;"",UPPER('TRACKER - 20220622'!AP38),"")</f>
        <v>7</v>
      </c>
      <c r="AN35" t="str">
        <f>IF('TRACKER - 20220622'!AQ38&lt;&gt;"",UPPER('TRACKER - 20220622'!AQ38),"")</f>
        <v>1.4</v>
      </c>
      <c r="AO35" t="str">
        <f>IF('TRACKER - 20220622'!AR38&lt;&gt;"",UPPER('TRACKER - 20220622'!AR38),"")</f>
        <v>LMR</v>
      </c>
      <c r="AP35" t="str">
        <f>IF('TRACKER - 20220622'!AS38&lt;&gt;"",UPPER('TRACKER - 20220622'!AS38),"")</f>
        <v>RSC</v>
      </c>
      <c r="AQ35" t="str">
        <f>IF('TRACKER - 20220622'!AT38&lt;&gt;"",UPPER('TRACKER - 20220622'!AT38),"")</f>
        <v>Y</v>
      </c>
      <c r="AR35" t="str">
        <f>IF('TRACKER - 20220622'!AU38&lt;&gt;"",UPPER('TRACKER - 20220622'!AU38),"")</f>
        <v>185.4</v>
      </c>
      <c r="AS35" t="str">
        <f>IF('TRACKER - 20220622'!AV38&lt;&gt;"",UPPER('TRACKER - 20220622'!AV38),"")</f>
        <v/>
      </c>
      <c r="AT35" t="str">
        <f>IF('TRACKER - 20220622'!AW38&lt;&gt;"",UPPER('TRACKER - 20220622'!AW38),"")</f>
        <v>DESCR38</v>
      </c>
      <c r="AU35" t="str">
        <f>IF('TRACKER - 20220622'!AX38&lt;&gt;"",UPPER('TRACKER - 20220622'!AX38),"")</f>
        <v>REASON38</v>
      </c>
      <c r="AV35" t="str">
        <f>IF('TRACKER - 20220622'!BD39&lt;&gt;"",'TRACKER - 20220622'!BD39,"")</f>
        <v/>
      </c>
      <c r="AW35" t="str">
        <f>IF('TRACKER - 20220622'!BE39&lt;&gt;"",'TRACKER - 20220622'!BE39,"")</f>
        <v/>
      </c>
      <c r="AX35" t="str">
        <f>IF('TRACKER - 20220622'!BF39&lt;&gt;"",'TRACKER - 20220622'!BF39,"")</f>
        <v/>
      </c>
      <c r="AY35" t="str">
        <f>IF('TRACKER - 20220622'!BG39&lt;&gt;"",'TRACKER - 20220622'!BG39,"")</f>
        <v/>
      </c>
      <c r="AZ35" t="str">
        <f>IF('TRACKER - 20220622'!BH39&lt;&gt;"",'TRACKER - 20220622'!BH39,"")</f>
        <v/>
      </c>
      <c r="BA35" t="str">
        <f>IF('TRACKER - 20220622'!BI39&lt;&gt;"",'TRACKER - 20220622'!BI39,"")</f>
        <v/>
      </c>
      <c r="BB35" t="str">
        <f>IF('TRACKER - 20220622'!BJ39&lt;&gt;"",'TRACKER - 20220622'!BJ39,"")</f>
        <v/>
      </c>
      <c r="BC35" t="str">
        <f>IF('TRACKER - 20220622'!BK39&lt;&gt;"",'TRACKER - 20220622'!BK39,"")</f>
        <v/>
      </c>
      <c r="BD35" t="str">
        <f>IF('TRACKER - 20220622'!BL39&lt;&gt;"",'TRACKER - 20220622'!BL39,"")</f>
        <v/>
      </c>
      <c r="BE35" t="str">
        <f>IF('TRACKER - 20220622'!BM39&lt;&gt;"",'TRACKER - 20220622'!BM39,"")</f>
        <v/>
      </c>
      <c r="BF35" t="str">
        <f>IF('TRACKER - 20220622'!BN39&lt;&gt;"",'TRACKER - 20220622'!BN39,"")</f>
        <v/>
      </c>
      <c r="BG35" t="str">
        <f>IF('TRACKER - 20220622'!BO39&lt;&gt;"",'TRACKER - 20220622'!BO39,"")</f>
        <v/>
      </c>
    </row>
    <row r="36" spans="1:59">
      <c r="A36" t="str">
        <f>IF('TRACKER - 20220622'!A52&lt;&gt;"",UPPER('TRACKER - 20220622'!A52),"")</f>
        <v>N26</v>
      </c>
      <c r="B36" t="str">
        <f>IF('TRACKER - 20220622'!B52&lt;&gt;"",UPPER('TRACKER - 20220622'!B52),"")</f>
        <v>Y</v>
      </c>
      <c r="C36" t="str">
        <f>IF('TRACKER - 20220622'!D39&lt;&gt;"",UPPER('TRACKER - 20220622'!D39),"")</f>
        <v>10</v>
      </c>
      <c r="D36" t="str">
        <f>IF('TRACKER - 20220622'!F52&lt;&gt;"",UPPER('TRACKER - 20220622'!F52),"")</f>
        <v>N26-RSC-2020-00003</v>
      </c>
      <c r="E36" t="str">
        <f>IF('TRACKER - 20220622'!H52&lt;&gt;"",'TRACKER - 20220622'!H52,"")</f>
        <v xml:space="preserve">RSC003 - Additional Data </v>
      </c>
      <c r="F36" t="str">
        <f t="shared" si="0"/>
        <v xml:space="preserve">N26-RSC-2020-00003 RSC003 - Additional Data </v>
      </c>
      <c r="G36" t="str">
        <f t="shared" si="1"/>
        <v xml:space="preserve">300010 - RSC003 - Additional Data </v>
      </c>
      <c r="H36">
        <f>IF('TRACKER - 20220622'!J52&lt;&gt;"",'TRACKER - 20220622'!J52,"")</f>
        <v>14696.415000000001</v>
      </c>
      <c r="I36" t="str">
        <f>IF('TRACKER - 20220622'!K39&lt;&gt;"",UPPER('TRACKER - 20220622'!K39),"")</f>
        <v>44080</v>
      </c>
      <c r="J36" t="str">
        <f>IF('TRACKER - 20220622'!L39&lt;&gt;"",UPPER('TRACKER - 20220622'!L39),"")</f>
        <v>43988</v>
      </c>
      <c r="K36" t="str">
        <f>IF('TRACKER - 20220622'!M39&lt;&gt;"",UPPER('TRACKER - 20220622'!M39),"")</f>
        <v>44080</v>
      </c>
      <c r="L36" t="str">
        <f>IF('TRACKER - 20220622'!N39&lt;&gt;"",UPPER('TRACKER - 20220622'!N39),"")</f>
        <v>43997</v>
      </c>
      <c r="M36" t="str">
        <f>IF('TRACKER - 20220622'!O39&lt;&gt;"",UPPER('TRACKER - 20220622'!O39),"")</f>
        <v>43998</v>
      </c>
      <c r="N36" t="str">
        <f>IF('TRACKER - 20220622'!P39&lt;&gt;"",UPPER('TRACKER - 20220622'!P39),"")</f>
        <v>43998</v>
      </c>
      <c r="O36" t="str">
        <f>IF('TRACKER - 20220622'!Q39&lt;&gt;"",UPPER('TRACKER - 20220622'!Q39),"")</f>
        <v>SALES DESK</v>
      </c>
      <c r="P36" t="str">
        <f>IF('TRACKER - 20220622'!R39&lt;&gt;"",UPPER('TRACKER - 20220622'!R39),"")</f>
        <v>CLIENT</v>
      </c>
      <c r="Q36" t="str">
        <f>IF('TRACKER - 20220622'!S39&lt;&gt;"",UPPER('TRACKER - 20220622'!S39),"")</f>
        <v/>
      </c>
      <c r="R36" t="str">
        <f>IF('TRACKER - 20220622'!T39&lt;&gt;"",UPPER('TRACKER - 20220622'!T39),"")</f>
        <v/>
      </c>
      <c r="S36" t="str">
        <f>IF('TRACKER - 20220622'!U39&lt;&gt;"",UPPER('TRACKER - 20220622'!U39),"")</f>
        <v/>
      </c>
      <c r="T36" t="str">
        <f>IF('TRACKER - 20220622'!V39&lt;&gt;"",UPPER('TRACKER - 20220622'!V39),"")</f>
        <v/>
      </c>
      <c r="U36" t="str">
        <f>IF('TRACKER - 20220622'!W39&lt;&gt;"",UPPER('TRACKER - 20220622'!W39),"")</f>
        <v/>
      </c>
      <c r="V36" t="str">
        <f>IF('TRACKER - 20220622'!X39&lt;&gt;"",UPPER('TRACKER - 20220622'!X39),"")</f>
        <v xml:space="preserve">04/08/20 - [EBC] DEV COMPLETED AND DELIVERED - ONLY TESTING BY CLIENT REMAINS OUTSTANDING.
16/06/20 - [EBC] RSC010 RESTARTED WITH SEVERAL ITERATIONS BEING DISCUSSED. VERSION REVIEWED BY BILL, JOE LOCKE &amp; JO NEWELL IN ABSENCE OF MATT T FOR SIGN OFF.  FINAL VERSION PROVIDED TO SRG JOHN, JOE &amp; PAUL SIGNED OFF FOR DISTRIBUTION.
30/04/20 - [EBC] LMR ARE LIKELY TO WANT TO COVER THIS WORK WITHIN SUPPORT COSTS UNDER ME005 DUE TO BUDGET CHALLENGES WITH NEW WORK.
28/04/20 - [EBC] -EARLY DRAFT CREATED AND SHARED  WITH LMR AS REQUIREMENTS ARE STILL UNCLEAR. ADDITIONAL ITEMS HAVE BEEN IDENTIFIED SINCE. </v>
      </c>
      <c r="W36" t="str">
        <f>IF('TRACKER - 20220622'!Y39&lt;&gt;"",UPPER('TRACKER - 20220622'!Y39),"")</f>
        <v>34067.25</v>
      </c>
      <c r="X36" t="str">
        <f>IF('TRACKER - 20220622'!Z39&lt;&gt;"",UPPER('TRACKER - 20220622'!Z39),"")</f>
        <v>4171.5</v>
      </c>
      <c r="Y36" t="str">
        <f>IF('TRACKER - 20220622'!AA39&lt;&gt;"",UPPER('TRACKER - 20220622'!AA39),"")</f>
        <v>15990.75</v>
      </c>
      <c r="Z36" t="str">
        <f>IF('TRACKER - 20220622'!AB39&lt;&gt;"",UPPER('TRACKER - 20220622'!AB39),"")</f>
        <v>5562</v>
      </c>
      <c r="AA36" t="str">
        <f>IF('TRACKER - 20220622'!AC39&lt;&gt;"",UPPER('TRACKER - 20220622'!AC39),"")</f>
        <v>4171.5</v>
      </c>
      <c r="AB36" t="str">
        <f>IF('TRACKER - 20220622'!AE39&lt;&gt;"",UPPER('TRACKER - 20220622'!AE39),"")</f>
        <v>4171.5</v>
      </c>
      <c r="AC36" t="str">
        <f>IF('TRACKER - 20220622'!AF39&lt;&gt;"",UPPER('TRACKER - 20220622'!AF39),"")</f>
        <v>34067.25</v>
      </c>
      <c r="AD36" t="str">
        <f>IF('TRACKER - 20220622'!AG39&lt;&gt;"",UPPER('TRACKER - 20220622'!AG39),"")</f>
        <v>0</v>
      </c>
      <c r="AE36" t="str">
        <f>IF('TRACKER - 20220622'!AH39&lt;&gt;"",UPPER('TRACKER - 20220622'!AH39),"")</f>
        <v>185.4</v>
      </c>
      <c r="AF36" t="str">
        <f>IF('TRACKER - 20220622'!AI39&lt;&gt;"",UPPER('TRACKER - 20220622'!AI39),"")</f>
        <v/>
      </c>
      <c r="AG36" t="str">
        <f>IF('TRACKER - 20220622'!AJ39&lt;&gt;"",UPPER('TRACKER - 20220622'!AJ39),"")</f>
        <v>0.2</v>
      </c>
      <c r="AH36" t="str">
        <f>IF('TRACKER - 20220622'!AK39&lt;&gt;"",UPPER('TRACKER - 20220622'!AK39),"")</f>
        <v>3</v>
      </c>
      <c r="AI36" t="str">
        <f>IF('TRACKER - 20220622'!AL39&lt;&gt;"",UPPER('TRACKER - 20220622'!AL39),"")</f>
        <v>11.5</v>
      </c>
      <c r="AJ36" t="str">
        <f>IF('TRACKER - 20220622'!AM39&lt;&gt;"",UPPER('TRACKER - 20220622'!AM39),"")</f>
        <v>4</v>
      </c>
      <c r="AK36" t="str">
        <f>IF('TRACKER - 20220622'!AN39&lt;&gt;"",UPPER('TRACKER - 20220622'!AN39),"")</f>
        <v>3</v>
      </c>
      <c r="AL36" t="str">
        <f>IF('TRACKER - 20220622'!AO39&lt;&gt;"",UPPER('TRACKER - 20220622'!AO39),"")</f>
        <v>3</v>
      </c>
      <c r="AM36" t="str">
        <f>IF('TRACKER - 20220622'!AP39&lt;&gt;"",UPPER('TRACKER - 20220622'!AP39),"")</f>
        <v>24.5</v>
      </c>
      <c r="AN36" t="str">
        <f>IF('TRACKER - 20220622'!AQ39&lt;&gt;"",UPPER('TRACKER - 20220622'!AQ39),"")</f>
        <v>0</v>
      </c>
      <c r="AO36" t="str">
        <f>IF('TRACKER - 20220622'!AR39&lt;&gt;"",UPPER('TRACKER - 20220622'!AR39),"")</f>
        <v>LMR</v>
      </c>
      <c r="AP36" t="str">
        <f>IF('TRACKER - 20220622'!AS39&lt;&gt;"",UPPER('TRACKER - 20220622'!AS39),"")</f>
        <v>RSC</v>
      </c>
      <c r="AQ36" t="str">
        <f>IF('TRACKER - 20220622'!AT39&lt;&gt;"",UPPER('TRACKER - 20220622'!AT39),"")</f>
        <v>Y</v>
      </c>
      <c r="AR36" t="str">
        <f>IF('TRACKER - 20220622'!AU39&lt;&gt;"",UPPER('TRACKER - 20220622'!AU39),"")</f>
        <v>185.4</v>
      </c>
      <c r="AS36" t="str">
        <f>IF('TRACKER - 20220622'!AV39&lt;&gt;"",UPPER('TRACKER - 20220622'!AV39),"")</f>
        <v/>
      </c>
      <c r="AT36" t="str">
        <f>IF('TRACKER - 20220622'!AW39&lt;&gt;"",UPPER('TRACKER - 20220622'!AW39),"")</f>
        <v>DESCR39</v>
      </c>
      <c r="AU36" t="str">
        <f>IF('TRACKER - 20220622'!AX39&lt;&gt;"",UPPER('TRACKER - 20220622'!AX39),"")</f>
        <v>REASON39</v>
      </c>
      <c r="AV36" t="str">
        <f>IF('TRACKER - 20220622'!BD52&lt;&gt;"",'TRACKER - 20220622'!BD52,"")</f>
        <v/>
      </c>
      <c r="AW36" t="str">
        <f>IF('TRACKER - 20220622'!BE52&lt;&gt;"",'TRACKER - 20220622'!BE52,"")</f>
        <v/>
      </c>
      <c r="AX36" t="str">
        <f>IF('TRACKER - 20220622'!BF52&lt;&gt;"",'TRACKER - 20220622'!BF52,"")</f>
        <v/>
      </c>
      <c r="AY36" t="str">
        <f>IF('TRACKER - 20220622'!BG52&lt;&gt;"",'TRACKER - 20220622'!BG52,"")</f>
        <v/>
      </c>
      <c r="AZ36" t="str">
        <f>IF('TRACKER - 20220622'!BH52&lt;&gt;"",'TRACKER - 20220622'!BH52,"")</f>
        <v/>
      </c>
      <c r="BA36" t="str">
        <f>IF('TRACKER - 20220622'!BI52&lt;&gt;"",'TRACKER - 20220622'!BI52,"")</f>
        <v/>
      </c>
      <c r="BB36" t="str">
        <f>IF('TRACKER - 20220622'!BJ52&lt;&gt;"",'TRACKER - 20220622'!BJ52,"")</f>
        <v/>
      </c>
      <c r="BC36" t="str">
        <f>IF('TRACKER - 20220622'!BK52&lt;&gt;"",'TRACKER - 20220622'!BK52,"")</f>
        <v/>
      </c>
      <c r="BD36" t="str">
        <f>IF('TRACKER - 20220622'!BL52&lt;&gt;"",'TRACKER - 20220622'!BL52,"")</f>
        <v/>
      </c>
      <c r="BE36" t="str">
        <f>IF('TRACKER - 20220622'!BM52&lt;&gt;"",'TRACKER - 20220622'!BM52,"")</f>
        <v/>
      </c>
      <c r="BF36" t="str">
        <f>IF('TRACKER - 20220622'!BN52&lt;&gt;"",'TRACKER - 20220622'!BN52,"")</f>
        <v/>
      </c>
      <c r="BG36" t="str">
        <f>IF('TRACKER - 20220622'!BO52&lt;&gt;"",'TRACKER - 20220622'!BO52,"")</f>
        <v/>
      </c>
    </row>
    <row r="37" spans="1:59">
      <c r="A37" t="str">
        <f>IF('TRACKER - 20220622'!A53&lt;&gt;"",UPPER('TRACKER - 20220622'!A53),"")</f>
        <v>N26</v>
      </c>
      <c r="B37" t="str">
        <f>IF('TRACKER - 20220622'!B53&lt;&gt;"",UPPER('TRACKER - 20220622'!B53),"")</f>
        <v>Y</v>
      </c>
      <c r="C37" t="str">
        <f>IF('TRACKER - 20220622'!D40&lt;&gt;"",UPPER('TRACKER - 20220622'!D40),"")</f>
        <v>13</v>
      </c>
      <c r="D37" t="str">
        <f>IF('TRACKER - 20220622'!F53&lt;&gt;"",UPPER('TRACKER - 20220622'!F53),"")</f>
        <v>N26-RSC-2020-00004</v>
      </c>
      <c r="E37" t="str">
        <f>IF('TRACKER - 20220622'!H53&lt;&gt;"",'TRACKER - 20220622'!H53,"")</f>
        <v>RSC004 - Amazon Cloud</v>
      </c>
      <c r="F37" t="str">
        <f t="shared" si="0"/>
        <v>N26-RSC-2020-00004 RSC004 - Amazon Cloud</v>
      </c>
      <c r="G37" t="str">
        <f t="shared" si="1"/>
        <v>00013 - RSC004 - Amazon Cloud</v>
      </c>
      <c r="H37">
        <f>IF('TRACKER - 20220622'!J53&lt;&gt;"",'TRACKER - 20220622'!J53,"")</f>
        <v>15000</v>
      </c>
      <c r="I37" t="str">
        <f>IF('TRACKER - 20220622'!K40&lt;&gt;"",UPPER('TRACKER - 20220622'!K40),"")</f>
        <v/>
      </c>
      <c r="J37" t="str">
        <f>IF('TRACKER - 20220622'!L40&lt;&gt;"",UPPER('TRACKER - 20220622'!L40),"")</f>
        <v/>
      </c>
      <c r="K37" t="str">
        <f>IF('TRACKER - 20220622'!M40&lt;&gt;"",UPPER('TRACKER - 20220622'!M40),"")</f>
        <v/>
      </c>
      <c r="L37" t="str">
        <f>IF('TRACKER - 20220622'!N40&lt;&gt;"",UPPER('TRACKER - 20220622'!N40),"")</f>
        <v/>
      </c>
      <c r="M37" t="str">
        <f>IF('TRACKER - 20220622'!O40&lt;&gt;"",UPPER('TRACKER - 20220622'!O40),"")</f>
        <v>44323</v>
      </c>
      <c r="N37" t="str">
        <f>IF('TRACKER - 20220622'!P40&lt;&gt;"",UPPER('TRACKER - 20220622'!P40),"")</f>
        <v>44323</v>
      </c>
      <c r="O37" t="str">
        <f>IF('TRACKER - 20220622'!Q40&lt;&gt;"",UPPER('TRACKER - 20220622'!Q40),"")</f>
        <v>AGREEMENTS</v>
      </c>
      <c r="P37" t="str">
        <f>IF('TRACKER - 20220622'!R40&lt;&gt;"",UPPER('TRACKER - 20220622'!R40),"")</f>
        <v>CLIENT</v>
      </c>
      <c r="Q37" t="str">
        <f>IF('TRACKER - 20220622'!S40&lt;&gt;"",UPPER('TRACKER - 20220622'!S40),"")</f>
        <v/>
      </c>
      <c r="R37" t="str">
        <f>IF('TRACKER - 20220622'!T40&lt;&gt;"",UPPER('TRACKER - 20220622'!T40),"")</f>
        <v/>
      </c>
      <c r="S37" t="str">
        <f>IF('TRACKER - 20220622'!U40&lt;&gt;"",UPPER('TRACKER - 20220622'!U40),"")</f>
        <v/>
      </c>
      <c r="T37" t="str">
        <f>IF('TRACKER - 20220622'!V40&lt;&gt;"",UPPER('TRACKER - 20220622'!V40),"")</f>
        <v/>
      </c>
      <c r="U37" t="str">
        <f>IF('TRACKER - 20220622'!W40&lt;&gt;"",UPPER('TRACKER - 20220622'!W40),"")</f>
        <v/>
      </c>
      <c r="V37" t="str">
        <f>IF('TRACKER - 20220622'!X40&lt;&gt;"",UPPER('TRACKER - 20220622'!X40),"")</f>
        <v xml:space="preserve">
07/05/21 [EBC] APPROVED BY PAUL BRYSON FOR ESTIMATES TO SENT.
26/04/21 [EBC] WRITING OF EACH ISSUE COMPLETE, FINAL ESTIMATE IN PROGRESS. 4 DRAFTS SHARED TO GET FEEDBACK FROM LMR TO ENSURE SOLUTION IS CORRECT </v>
      </c>
      <c r="W37" t="str">
        <f>IF('TRACKER - 20220622'!Y40&lt;&gt;"",UPPER('TRACKER - 20220622'!Y40),"")</f>
        <v>164820.6</v>
      </c>
      <c r="X37" t="str">
        <f>IF('TRACKER - 20220622'!Z40&lt;&gt;"",UPPER('TRACKER - 20220622'!Z40),"")</f>
        <v>0</v>
      </c>
      <c r="Y37" t="str">
        <f>IF('TRACKER - 20220622'!AA40&lt;&gt;"",UPPER('TRACKER - 20220622'!AA40),"")</f>
        <v>164820.6</v>
      </c>
      <c r="Z37" t="str">
        <f>IF('TRACKER - 20220622'!AB40&lt;&gt;"",UPPER('TRACKER - 20220622'!AB40),"")</f>
        <v>0</v>
      </c>
      <c r="AA37" t="str">
        <f>IF('TRACKER - 20220622'!AC40&lt;&gt;"",UPPER('TRACKER - 20220622'!AC40),"")</f>
        <v>0</v>
      </c>
      <c r="AB37" t="str">
        <f>IF('TRACKER - 20220622'!AE40&lt;&gt;"",UPPER('TRACKER - 20220622'!AE40),"")</f>
        <v>0</v>
      </c>
      <c r="AC37" t="str">
        <f>IF('TRACKER - 20220622'!AF40&lt;&gt;"",UPPER('TRACKER - 20220622'!AF40),"")</f>
        <v>164820.6</v>
      </c>
      <c r="AD37" t="str">
        <f>IF('TRACKER - 20220622'!AG40&lt;&gt;"",UPPER('TRACKER - 20220622'!AG40),"")</f>
        <v>0</v>
      </c>
      <c r="AE37" t="str">
        <f>IF('TRACKER - 20220622'!AH40&lt;&gt;"",UPPER('TRACKER - 20220622'!AH40),"")</f>
        <v>185.4</v>
      </c>
      <c r="AF37" t="str">
        <f>IF('TRACKER - 20220622'!AI40&lt;&gt;"",UPPER('TRACKER - 20220622'!AI40),"")</f>
        <v>0</v>
      </c>
      <c r="AG37" t="str">
        <f>IF('TRACKER - 20220622'!AJ40&lt;&gt;"",UPPER('TRACKER - 20220622'!AJ40),"")</f>
        <v>0.2</v>
      </c>
      <c r="AH37" t="str">
        <f>IF('TRACKER - 20220622'!AK40&lt;&gt;"",UPPER('TRACKER - 20220622'!AK40),"")</f>
        <v>0</v>
      </c>
      <c r="AI37" t="str">
        <f>IF('TRACKER - 20220622'!AL40&lt;&gt;"",UPPER('TRACKER - 20220622'!AL40),"")</f>
        <v>118.533333333333</v>
      </c>
      <c r="AJ37" t="str">
        <f>IF('TRACKER - 20220622'!AM40&lt;&gt;"",UPPER('TRACKER - 20220622'!AM40),"")</f>
        <v/>
      </c>
      <c r="AK37" t="str">
        <f>IF('TRACKER - 20220622'!AN40&lt;&gt;"",UPPER('TRACKER - 20220622'!AN40),"")</f>
        <v/>
      </c>
      <c r="AL37" t="str">
        <f>IF('TRACKER - 20220622'!AO40&lt;&gt;"",UPPER('TRACKER - 20220622'!AO40),"")</f>
        <v/>
      </c>
      <c r="AM37" t="str">
        <f>IF('TRACKER - 20220622'!AP40&lt;&gt;"",UPPER('TRACKER - 20220622'!AP40),"")</f>
        <v/>
      </c>
      <c r="AN37" t="str">
        <f>IF('TRACKER - 20220622'!AQ40&lt;&gt;"",UPPER('TRACKER - 20220622'!AQ40),"")</f>
        <v/>
      </c>
      <c r="AO37" t="str">
        <f>IF('TRACKER - 20220622'!AR40&lt;&gt;"",UPPER('TRACKER - 20220622'!AR40),"")</f>
        <v/>
      </c>
      <c r="AP37" t="str">
        <f>IF('TRACKER - 20220622'!AS40&lt;&gt;"",UPPER('TRACKER - 20220622'!AS40),"")</f>
        <v/>
      </c>
      <c r="AQ37" t="str">
        <f>IF('TRACKER - 20220622'!AT40&lt;&gt;"",UPPER('TRACKER - 20220622'!AT40),"")</f>
        <v/>
      </c>
      <c r="AR37" t="str">
        <f>IF('TRACKER - 20220622'!AU40&lt;&gt;"",UPPER('TRACKER - 20220622'!AU40),"")</f>
        <v/>
      </c>
      <c r="AS37" t="str">
        <f>IF('TRACKER - 20220622'!AV40&lt;&gt;"",UPPER('TRACKER - 20220622'!AV40),"")</f>
        <v/>
      </c>
      <c r="AT37" t="str">
        <f>IF('TRACKER - 20220622'!AW40&lt;&gt;"",UPPER('TRACKER - 20220622'!AW40),"")</f>
        <v/>
      </c>
      <c r="AU37" t="str">
        <f>IF('TRACKER - 20220622'!AX40&lt;&gt;"",UPPER('TRACKER - 20220622'!AX40),"")</f>
        <v/>
      </c>
      <c r="AV37" t="str">
        <f>IF('TRACKER - 20220622'!BD53&lt;&gt;"",'TRACKER - 20220622'!BD53,"")</f>
        <v/>
      </c>
      <c r="AW37" t="str">
        <f>IF('TRACKER - 20220622'!BE53&lt;&gt;"",'TRACKER - 20220622'!BE53,"")</f>
        <v/>
      </c>
      <c r="AX37" t="str">
        <f>IF('TRACKER - 20220622'!BF53&lt;&gt;"",'TRACKER - 20220622'!BF53,"")</f>
        <v/>
      </c>
      <c r="AY37" t="str">
        <f>IF('TRACKER - 20220622'!BG53&lt;&gt;"",'TRACKER - 20220622'!BG53,"")</f>
        <v/>
      </c>
      <c r="AZ37" t="str">
        <f>IF('TRACKER - 20220622'!BH53&lt;&gt;"",'TRACKER - 20220622'!BH53,"")</f>
        <v/>
      </c>
      <c r="BA37" t="str">
        <f>IF('TRACKER - 20220622'!BI53&lt;&gt;"",'TRACKER - 20220622'!BI53,"")</f>
        <v/>
      </c>
      <c r="BB37" t="str">
        <f>IF('TRACKER - 20220622'!BJ53&lt;&gt;"",'TRACKER - 20220622'!BJ53,"")</f>
        <v/>
      </c>
      <c r="BC37" t="str">
        <f>IF('TRACKER - 20220622'!BK53&lt;&gt;"",'TRACKER - 20220622'!BK53,"")</f>
        <v/>
      </c>
      <c r="BD37" t="str">
        <f>IF('TRACKER - 20220622'!BL53&lt;&gt;"",'TRACKER - 20220622'!BL53,"")</f>
        <v/>
      </c>
      <c r="BE37" t="str">
        <f>IF('TRACKER - 20220622'!BM53&lt;&gt;"",'TRACKER - 20220622'!BM53,"")</f>
        <v/>
      </c>
      <c r="BF37" t="str">
        <f>IF('TRACKER - 20220622'!BN53&lt;&gt;"",'TRACKER - 20220622'!BN53,"")</f>
        <v/>
      </c>
      <c r="BG37" t="str">
        <f>IF('TRACKER - 20220622'!BO53&lt;&gt;"",'TRACKER - 20220622'!BO53,"")</f>
        <v/>
      </c>
    </row>
    <row r="38" spans="1:59">
      <c r="A38" t="str">
        <f>IF('TRACKER - 20220622'!A54&lt;&gt;"",UPPER('TRACKER - 20220622'!A54),"")</f>
        <v>N26</v>
      </c>
      <c r="B38" t="str">
        <f>IF('TRACKER - 20220622'!B54&lt;&gt;"",UPPER('TRACKER - 20220622'!B54),"")</f>
        <v>Y</v>
      </c>
      <c r="C38" t="str">
        <f>IF('TRACKER - 20220622'!D41&lt;&gt;"",UPPER('TRACKER - 20220622'!D41),"")</f>
        <v>13.1</v>
      </c>
      <c r="D38" t="str">
        <f>IF('TRACKER - 20220622'!F54&lt;&gt;"",UPPER('TRACKER - 20220622'!F54),"")</f>
        <v>N26-RSC-2021-00005</v>
      </c>
      <c r="E38" t="str">
        <f>IF('TRACKER - 20220622'!H54&lt;&gt;"",'TRACKER - 20220622'!H54,"")</f>
        <v>Report CSV</v>
      </c>
      <c r="F38" t="str">
        <f t="shared" si="0"/>
        <v>N26-RSC-2021-00005 Report CSV</v>
      </c>
      <c r="G38" t="str">
        <f t="shared" si="1"/>
        <v>000013 - Report CSV</v>
      </c>
      <c r="H38">
        <f>IF('TRACKER - 20220622'!J54&lt;&gt;"",'TRACKER - 20220622'!J54,"")</f>
        <v>2515.4550000000004</v>
      </c>
      <c r="I38" t="str">
        <f>IF('TRACKER - 20220622'!K41&lt;&gt;"",UPPER('TRACKER - 20220622'!K41),"")</f>
        <v>44323</v>
      </c>
      <c r="J38" t="str">
        <f>IF('TRACKER - 20220622'!L41&lt;&gt;"",UPPER('TRACKER - 20220622'!L41),"")</f>
        <v>44306</v>
      </c>
      <c r="K38" t="str">
        <f>IF('TRACKER - 20220622'!M41&lt;&gt;"",UPPER('TRACKER - 20220622'!M41),"")</f>
        <v/>
      </c>
      <c r="L38" t="str">
        <f>IF('TRACKER - 20220622'!N41&lt;&gt;"",UPPER('TRACKER - 20220622'!N41),"")</f>
        <v>44309</v>
      </c>
      <c r="M38" t="str">
        <f>IF('TRACKER - 20220622'!O41&lt;&gt;"",UPPER('TRACKER - 20220622'!O41),"")</f>
        <v>44323</v>
      </c>
      <c r="N38" t="str">
        <f>IF('TRACKER - 20220622'!P41&lt;&gt;"",UPPER('TRACKER - 20220622'!P41),"")</f>
        <v>44323</v>
      </c>
      <c r="O38" t="str">
        <f>IF('TRACKER - 20220622'!Q41&lt;&gt;"",UPPER('TRACKER - 20220622'!Q41),"")</f>
        <v>AGREEMENTS</v>
      </c>
      <c r="P38" t="str">
        <f>IF('TRACKER - 20220622'!R41&lt;&gt;"",UPPER('TRACKER - 20220622'!R41),"")</f>
        <v>CLIENT</v>
      </c>
      <c r="Q38" t="str">
        <f>IF('TRACKER - 20220622'!S41&lt;&gt;"",UPPER('TRACKER - 20220622'!S41),"")</f>
        <v/>
      </c>
      <c r="R38" t="str">
        <f>IF('TRACKER - 20220622'!T41&lt;&gt;"",UPPER('TRACKER - 20220622'!T41),"")</f>
        <v/>
      </c>
      <c r="S38" t="str">
        <f>IF('TRACKER - 20220622'!U41&lt;&gt;"",UPPER('TRACKER - 20220622'!U41),"")</f>
        <v/>
      </c>
      <c r="T38" t="str">
        <f>IF('TRACKER - 20220622'!V41&lt;&gt;"",UPPER('TRACKER - 20220622'!V41),"")</f>
        <v/>
      </c>
      <c r="U38" t="str">
        <f>IF('TRACKER - 20220622'!W41&lt;&gt;"",UPPER('TRACKER - 20220622'!W41),"")</f>
        <v/>
      </c>
      <c r="V38" t="str">
        <f>IF('TRACKER - 20220622'!X41&lt;&gt;"",UPPER('TRACKER - 20220622'!X41),"")</f>
        <v xml:space="preserve">07/05/21 [EBC] APPROVED BY PAUL BRYSON FOR ESTIMATES TO SENT.
04/05/21 [EBC] SOLUTION AGREED
26/04/21 [EBC] WRITTEN AND DRAFT SHARED WITH LMR. 
20/04/21 [EBC] LMR APPROVED CREATION OF RSC FOR ITEMS MARKED OK IN AM OUTSTANDING ISSUE/BREAKDOWN TAB. FINAL COMMERCIALS AND REVISED PLAN FOR END OF APRIL </v>
      </c>
      <c r="W38" t="str">
        <f>IF('TRACKER - 20220622'!Y41&lt;&gt;"",UPPER('TRACKER - 20220622'!Y41),"")</f>
        <v>0</v>
      </c>
      <c r="X38" t="str">
        <f>IF('TRACKER - 20220622'!Z41&lt;&gt;"",UPPER('TRACKER - 20220622'!Z41),"")</f>
        <v>0</v>
      </c>
      <c r="Y38" t="str">
        <f>IF('TRACKER - 20220622'!AA41&lt;&gt;"",UPPER('TRACKER - 20220622'!AA41),"")</f>
        <v>0</v>
      </c>
      <c r="Z38" t="str">
        <f>IF('TRACKER - 20220622'!AB41&lt;&gt;"",UPPER('TRACKER - 20220622'!AB41),"")</f>
        <v>0</v>
      </c>
      <c r="AA38" t="str">
        <f>IF('TRACKER - 20220622'!AC41&lt;&gt;"",UPPER('TRACKER - 20220622'!AC41),"")</f>
        <v>0</v>
      </c>
      <c r="AB38" t="str">
        <f>IF('TRACKER - 20220622'!AE41&lt;&gt;"",UPPER('TRACKER - 20220622'!AE41),"")</f>
        <v>0</v>
      </c>
      <c r="AC38" t="str">
        <f>IF('TRACKER - 20220622'!AF41&lt;&gt;"",UPPER('TRACKER - 20220622'!AF41),"")</f>
        <v>0</v>
      </c>
      <c r="AD38" t="str">
        <f>IF('TRACKER - 20220622'!AG41&lt;&gt;"",UPPER('TRACKER - 20220622'!AG41),"")</f>
        <v>0</v>
      </c>
      <c r="AE38" t="str">
        <f>IF('TRACKER - 20220622'!AH41&lt;&gt;"",UPPER('TRACKER - 20220622'!AH41),"")</f>
        <v>185.4</v>
      </c>
      <c r="AF38" t="str">
        <f>IF('TRACKER - 20220622'!AI41&lt;&gt;"",UPPER('TRACKER - 20220622'!AI41),"")</f>
        <v/>
      </c>
      <c r="AG38" t="str">
        <f>IF('TRACKER - 20220622'!AJ41&lt;&gt;"",UPPER('TRACKER - 20220622'!AJ41),"")</f>
        <v>0.2</v>
      </c>
      <c r="AH38" t="str">
        <f>IF('TRACKER - 20220622'!AK41&lt;&gt;"",UPPER('TRACKER - 20220622'!AK41),"")</f>
        <v>0</v>
      </c>
      <c r="AI38" t="str">
        <f>IF('TRACKER - 20220622'!AL41&lt;&gt;"",UPPER('TRACKER - 20220622'!AL41),"")</f>
        <v>0</v>
      </c>
      <c r="AJ38" t="str">
        <f>IF('TRACKER - 20220622'!AM41&lt;&gt;"",UPPER('TRACKER - 20220622'!AM41),"")</f>
        <v>0</v>
      </c>
      <c r="AK38" t="str">
        <f>IF('TRACKER - 20220622'!AN41&lt;&gt;"",UPPER('TRACKER - 20220622'!AN41),"")</f>
        <v>0</v>
      </c>
      <c r="AL38" t="str">
        <f>IF('TRACKER - 20220622'!AO41&lt;&gt;"",UPPER('TRACKER - 20220622'!AO41),"")</f>
        <v>0</v>
      </c>
      <c r="AM38" t="str">
        <f>IF('TRACKER - 20220622'!AP41&lt;&gt;"",UPPER('TRACKER - 20220622'!AP41),"")</f>
        <v>0</v>
      </c>
      <c r="AN38" t="str">
        <f>IF('TRACKER - 20220622'!AQ41&lt;&gt;"",UPPER('TRACKER - 20220622'!AQ41),"")</f>
        <v>0</v>
      </c>
      <c r="AO38" t="str">
        <f>IF('TRACKER - 20220622'!AR41&lt;&gt;"",UPPER('TRACKER - 20220622'!AR41),"")</f>
        <v>LMR</v>
      </c>
      <c r="AP38" t="str">
        <f>IF('TRACKER - 20220622'!AS41&lt;&gt;"",UPPER('TRACKER - 20220622'!AS41),"")</f>
        <v>RSC</v>
      </c>
      <c r="AQ38" t="str">
        <f>IF('TRACKER - 20220622'!AT41&lt;&gt;"",UPPER('TRACKER - 20220622'!AT41),"")</f>
        <v>Y</v>
      </c>
      <c r="AR38" t="str">
        <f>IF('TRACKER - 20220622'!AU41&lt;&gt;"",UPPER('TRACKER - 20220622'!AU41),"")</f>
        <v>185.4</v>
      </c>
      <c r="AS38" t="str">
        <f>IF('TRACKER - 20220622'!AV41&lt;&gt;"",UPPER('TRACKER - 20220622'!AV41),"")</f>
        <v/>
      </c>
      <c r="AT38" t="str">
        <f>IF('TRACKER - 20220622'!AW41&lt;&gt;"",UPPER('TRACKER - 20220622'!AW41),"")</f>
        <v>DESCR41</v>
      </c>
      <c r="AU38" t="str">
        <f>IF('TRACKER - 20220622'!AX41&lt;&gt;"",UPPER('TRACKER - 20220622'!AX41),"")</f>
        <v>REASON41</v>
      </c>
      <c r="AV38" t="str">
        <f>IF('TRACKER - 20220622'!BD54&lt;&gt;"",'TRACKER - 20220622'!BD54,"")</f>
        <v/>
      </c>
      <c r="AW38" t="str">
        <f>IF('TRACKER - 20220622'!BE54&lt;&gt;"",'TRACKER - 20220622'!BE54,"")</f>
        <v/>
      </c>
      <c r="AX38" t="str">
        <f>IF('TRACKER - 20220622'!BF54&lt;&gt;"",'TRACKER - 20220622'!BF54,"")</f>
        <v/>
      </c>
      <c r="AY38" t="str">
        <f>IF('TRACKER - 20220622'!BG54&lt;&gt;"",'TRACKER - 20220622'!BG54,"")</f>
        <v/>
      </c>
      <c r="AZ38" t="str">
        <f>IF('TRACKER - 20220622'!BH54&lt;&gt;"",'TRACKER - 20220622'!BH54,"")</f>
        <v/>
      </c>
      <c r="BA38" t="str">
        <f>IF('TRACKER - 20220622'!BI54&lt;&gt;"",'TRACKER - 20220622'!BI54,"")</f>
        <v/>
      </c>
      <c r="BB38" t="str">
        <f>IF('TRACKER - 20220622'!BJ54&lt;&gt;"",'TRACKER - 20220622'!BJ54,"")</f>
        <v/>
      </c>
      <c r="BC38" t="str">
        <f>IF('TRACKER - 20220622'!BK54&lt;&gt;"",'TRACKER - 20220622'!BK54,"")</f>
        <v/>
      </c>
      <c r="BD38" t="str">
        <f>IF('TRACKER - 20220622'!BL54&lt;&gt;"",'TRACKER - 20220622'!BL54,"")</f>
        <v/>
      </c>
      <c r="BE38" t="str">
        <f>IF('TRACKER - 20220622'!BM54&lt;&gt;"",'TRACKER - 20220622'!BM54,"")</f>
        <v/>
      </c>
      <c r="BF38" t="str">
        <f>IF('TRACKER - 20220622'!BN54&lt;&gt;"",'TRACKER - 20220622'!BN54,"")</f>
        <v/>
      </c>
      <c r="BG38" t="str">
        <f>IF('TRACKER - 20220622'!BO54&lt;&gt;"",'TRACKER - 20220622'!BO54,"")</f>
        <v/>
      </c>
    </row>
    <row r="39" spans="1:59">
      <c r="A39" t="str">
        <f>IF('TRACKER - 20220622'!A55&lt;&gt;"",UPPER('TRACKER - 20220622'!A55),"")</f>
        <v>PRODUCT BACKLOG</v>
      </c>
      <c r="B39" t="str">
        <f>IF('TRACKER - 20220622'!B55&lt;&gt;"",UPPER('TRACKER - 20220622'!B55),"")</f>
        <v>N</v>
      </c>
      <c r="C39" t="str">
        <f>IF('TRACKER - 20220622'!D42&lt;&gt;"",UPPER('TRACKER - 20220622'!D42),"")</f>
        <v>13.2</v>
      </c>
      <c r="D39" t="str">
        <f>IF('TRACKER - 20220622'!F55&lt;&gt;"",UPPER('TRACKER - 20220622'!F55),"")</f>
        <v>PRD-BLG-2020-00014</v>
      </c>
      <c r="E39" t="str">
        <f>IF('TRACKER - 20220622'!H55&lt;&gt;"",'TRACKER - 20220622'!H55,"")</f>
        <v>RMB Charting - Configuration</v>
      </c>
      <c r="F39" t="str">
        <f t="shared" si="0"/>
        <v>PRD-BLG-2020-00014 RMB Charting - Configuration</v>
      </c>
      <c r="G39" t="str">
        <f t="shared" si="1"/>
        <v>00013 - RMB Charting - Configuration</v>
      </c>
      <c r="H39">
        <f>IF('TRACKER - 20220622'!J55&lt;&gt;"",'TRACKER - 20220622'!J55,"")</f>
        <v>0</v>
      </c>
      <c r="I39" t="str">
        <f>IF('TRACKER - 20220622'!K42&lt;&gt;"",UPPER('TRACKER - 20220622'!K42),"")</f>
        <v>44323</v>
      </c>
      <c r="J39" t="str">
        <f>IF('TRACKER - 20220622'!L42&lt;&gt;"",UPPER('TRACKER - 20220622'!L42),"")</f>
        <v>44306</v>
      </c>
      <c r="K39" t="str">
        <f>IF('TRACKER - 20220622'!M42&lt;&gt;"",UPPER('TRACKER - 20220622'!M42),"")</f>
        <v/>
      </c>
      <c r="L39" t="str">
        <f>IF('TRACKER - 20220622'!N42&lt;&gt;"",UPPER('TRACKER - 20220622'!N42),"")</f>
        <v/>
      </c>
      <c r="M39" t="str">
        <f>IF('TRACKER - 20220622'!O42&lt;&gt;"",UPPER('TRACKER - 20220622'!O42),"")</f>
        <v>44323</v>
      </c>
      <c r="N39" t="str">
        <f>IF('TRACKER - 20220622'!P42&lt;&gt;"",UPPER('TRACKER - 20220622'!P42),"")</f>
        <v>44323</v>
      </c>
      <c r="O39" t="str">
        <f>IF('TRACKER - 20220622'!Q42&lt;&gt;"",UPPER('TRACKER - 20220622'!Q42),"")</f>
        <v>AGREEMENTS</v>
      </c>
      <c r="P39" t="str">
        <f>IF('TRACKER - 20220622'!R42&lt;&gt;"",UPPER('TRACKER - 20220622'!R42),"")</f>
        <v>CLIENT</v>
      </c>
      <c r="Q39" t="str">
        <f>IF('TRACKER - 20220622'!S42&lt;&gt;"",UPPER('TRACKER - 20220622'!S42),"")</f>
        <v/>
      </c>
      <c r="R39" t="str">
        <f>IF('TRACKER - 20220622'!T42&lt;&gt;"",UPPER('TRACKER - 20220622'!T42),"")</f>
        <v/>
      </c>
      <c r="S39" t="str">
        <f>IF('TRACKER - 20220622'!U42&lt;&gt;"",UPPER('TRACKER - 20220622'!U42),"")</f>
        <v/>
      </c>
      <c r="T39" t="str">
        <f>IF('TRACKER - 20220622'!V42&lt;&gt;"",UPPER('TRACKER - 20220622'!V42),"")</f>
        <v/>
      </c>
      <c r="U39" t="str">
        <f>IF('TRACKER - 20220622'!W42&lt;&gt;"",UPPER('TRACKER - 20220622'!W42),"")</f>
        <v/>
      </c>
      <c r="V39" t="str">
        <f>IF('TRACKER - 20220622'!X42&lt;&gt;"",UPPER('TRACKER - 20220622'!X42),"")</f>
        <v xml:space="preserve">07/05/21 [EBC] APPROVED BY PAUL BRYSON FOR ESTIMATES TO SENT.
04/05/21 [EBC] FURTHER DISCUSSION ON SOLUTION REQUIRED
26/04/21 [EBC] NEEDS FURTHER DISCUSSION WITH LMR
20/04/21 [EBC] LMR APPROVED CREATION OF RSC FOR ITEMS MARKED OK IN AM OUTSTANDING ISSUE/BREAKDOWN TAB. FINAL COMMERCIALS AND REVISED PLAN FOR END OF APRIL </v>
      </c>
      <c r="W39" t="str">
        <f>IF('TRACKER - 20220622'!Y42&lt;&gt;"",UPPER('TRACKER - 20220622'!Y42),"")</f>
        <v>0</v>
      </c>
      <c r="X39" t="str">
        <f>IF('TRACKER - 20220622'!Z42&lt;&gt;"",UPPER('TRACKER - 20220622'!Z42),"")</f>
        <v>0</v>
      </c>
      <c r="Y39" t="str">
        <f>IF('TRACKER - 20220622'!AA42&lt;&gt;"",UPPER('TRACKER - 20220622'!AA42),"")</f>
        <v>0</v>
      </c>
      <c r="Z39" t="str">
        <f>IF('TRACKER - 20220622'!AB42&lt;&gt;"",UPPER('TRACKER - 20220622'!AB42),"")</f>
        <v>0</v>
      </c>
      <c r="AA39" t="str">
        <f>IF('TRACKER - 20220622'!AC42&lt;&gt;"",UPPER('TRACKER - 20220622'!AC42),"")</f>
        <v>0</v>
      </c>
      <c r="AB39" t="str">
        <f>IF('TRACKER - 20220622'!AE42&lt;&gt;"",UPPER('TRACKER - 20220622'!AE42),"")</f>
        <v>0</v>
      </c>
      <c r="AC39" t="str">
        <f>IF('TRACKER - 20220622'!AF42&lt;&gt;"",UPPER('TRACKER - 20220622'!AF42),"")</f>
        <v>0</v>
      </c>
      <c r="AD39" t="str">
        <f>IF('TRACKER - 20220622'!AG42&lt;&gt;"",UPPER('TRACKER - 20220622'!AG42),"")</f>
        <v>0</v>
      </c>
      <c r="AE39" t="str">
        <f>IF('TRACKER - 20220622'!AH42&lt;&gt;"",UPPER('TRACKER - 20220622'!AH42),"")</f>
        <v>185.4</v>
      </c>
      <c r="AF39" t="str">
        <f>IF('TRACKER - 20220622'!AI42&lt;&gt;"",UPPER('TRACKER - 20220622'!AI42),"")</f>
        <v/>
      </c>
      <c r="AG39" t="str">
        <f>IF('TRACKER - 20220622'!AJ42&lt;&gt;"",UPPER('TRACKER - 20220622'!AJ42),"")</f>
        <v>0.2</v>
      </c>
      <c r="AH39" t="str">
        <f>IF('TRACKER - 20220622'!AK42&lt;&gt;"",UPPER('TRACKER - 20220622'!AK42),"")</f>
        <v>0</v>
      </c>
      <c r="AI39" t="str">
        <f>IF('TRACKER - 20220622'!AL42&lt;&gt;"",UPPER('TRACKER - 20220622'!AL42),"")</f>
        <v/>
      </c>
      <c r="AJ39" t="str">
        <f>IF('TRACKER - 20220622'!AM42&lt;&gt;"",UPPER('TRACKER - 20220622'!AM42),"")</f>
        <v/>
      </c>
      <c r="AK39" t="str">
        <f>IF('TRACKER - 20220622'!AN42&lt;&gt;"",UPPER('TRACKER - 20220622'!AN42),"")</f>
        <v/>
      </c>
      <c r="AL39" t="str">
        <f>IF('TRACKER - 20220622'!AO42&lt;&gt;"",UPPER('TRACKER - 20220622'!AO42),"")</f>
        <v/>
      </c>
      <c r="AM39" t="str">
        <f>IF('TRACKER - 20220622'!AP42&lt;&gt;"",UPPER('TRACKER - 20220622'!AP42),"")</f>
        <v>0</v>
      </c>
      <c r="AN39" t="str">
        <f>IF('TRACKER - 20220622'!AQ42&lt;&gt;"",UPPER('TRACKER - 20220622'!AQ42),"")</f>
        <v>0</v>
      </c>
      <c r="AO39" t="str">
        <f>IF('TRACKER - 20220622'!AR42&lt;&gt;"",UPPER('TRACKER - 20220622'!AR42),"")</f>
        <v>LMR</v>
      </c>
      <c r="AP39" t="str">
        <f>IF('TRACKER - 20220622'!AS42&lt;&gt;"",UPPER('TRACKER - 20220622'!AS42),"")</f>
        <v>RSC</v>
      </c>
      <c r="AQ39" t="str">
        <f>IF('TRACKER - 20220622'!AT42&lt;&gt;"",UPPER('TRACKER - 20220622'!AT42),"")</f>
        <v>Y</v>
      </c>
      <c r="AR39" t="str">
        <f>IF('TRACKER - 20220622'!AU42&lt;&gt;"",UPPER('TRACKER - 20220622'!AU42),"")</f>
        <v>185.4</v>
      </c>
      <c r="AS39" t="str">
        <f>IF('TRACKER - 20220622'!AV42&lt;&gt;"",UPPER('TRACKER - 20220622'!AV42),"")</f>
        <v/>
      </c>
      <c r="AT39" t="str">
        <f>IF('TRACKER - 20220622'!AW42&lt;&gt;"",UPPER('TRACKER - 20220622'!AW42),"")</f>
        <v>DESCR42</v>
      </c>
      <c r="AU39" t="str">
        <f>IF('TRACKER - 20220622'!AX42&lt;&gt;"",UPPER('TRACKER - 20220622'!AX42),"")</f>
        <v>REASON42</v>
      </c>
      <c r="AV39" t="str">
        <f>IF('TRACKER - 20220622'!BD55&lt;&gt;"",'TRACKER - 20220622'!BD55,"")</f>
        <v/>
      </c>
      <c r="AW39" t="str">
        <f>IF('TRACKER - 20220622'!BE55&lt;&gt;"",'TRACKER - 20220622'!BE55,"")</f>
        <v/>
      </c>
      <c r="AX39" t="str">
        <f>IF('TRACKER - 20220622'!BF55&lt;&gt;"",'TRACKER - 20220622'!BF55,"")</f>
        <v/>
      </c>
      <c r="AY39" t="str">
        <f>IF('TRACKER - 20220622'!BG55&lt;&gt;"",'TRACKER - 20220622'!BG55,"")</f>
        <v/>
      </c>
      <c r="AZ39" t="str">
        <f>IF('TRACKER - 20220622'!BH55&lt;&gt;"",'TRACKER - 20220622'!BH55,"")</f>
        <v/>
      </c>
      <c r="BA39" t="str">
        <f>IF('TRACKER - 20220622'!BI55&lt;&gt;"",'TRACKER - 20220622'!BI55,"")</f>
        <v/>
      </c>
      <c r="BB39" t="str">
        <f>IF('TRACKER - 20220622'!BJ55&lt;&gt;"",'TRACKER - 20220622'!BJ55,"")</f>
        <v/>
      </c>
      <c r="BC39" t="str">
        <f>IF('TRACKER - 20220622'!BK55&lt;&gt;"",'TRACKER - 20220622'!BK55,"")</f>
        <v/>
      </c>
      <c r="BD39" t="str">
        <f>IF('TRACKER - 20220622'!BL55&lt;&gt;"",'TRACKER - 20220622'!BL55,"")</f>
        <v/>
      </c>
      <c r="BE39" t="str">
        <f>IF('TRACKER - 20220622'!BM55&lt;&gt;"",'TRACKER - 20220622'!BM55,"")</f>
        <v/>
      </c>
      <c r="BF39" t="str">
        <f>IF('TRACKER - 20220622'!BN55&lt;&gt;"",'TRACKER - 20220622'!BN55,"")</f>
        <v/>
      </c>
      <c r="BG39" t="str">
        <f>IF('TRACKER - 20220622'!BO55&lt;&gt;"",'TRACKER - 20220622'!BO55,"")</f>
        <v/>
      </c>
    </row>
    <row r="40" spans="1:59">
      <c r="A40" t="str">
        <f>IF('TRACKER - 20220622'!A56&lt;&gt;"",UPPER('TRACKER - 20220622'!A56),"")</f>
        <v>PRODUCT BACKLOG</v>
      </c>
      <c r="B40" t="str">
        <f>IF('TRACKER - 20220622'!B56&lt;&gt;"",UPPER('TRACKER - 20220622'!B56),"")</f>
        <v>N</v>
      </c>
      <c r="C40" t="str">
        <f>IF('TRACKER - 20220622'!D43&lt;&gt;"",UPPER('TRACKER - 20220622'!D43),"")</f>
        <v>13.3</v>
      </c>
      <c r="D40" t="str">
        <f>IF('TRACKER - 20220622'!F56&lt;&gt;"",UPPER('TRACKER - 20220622'!F56),"")</f>
        <v>PRD-BLG-2020-00015</v>
      </c>
      <c r="E40" t="str">
        <f>IF('TRACKER - 20220622'!H56&lt;&gt;"",'TRACKER - 20220622'!H56,"")</f>
        <v>RMB News Feeds -  Configuration</v>
      </c>
      <c r="F40" t="str">
        <f t="shared" si="0"/>
        <v>PRD-BLG-2020-00015 RMB News Feeds -  Configuration</v>
      </c>
      <c r="G40" t="str">
        <f t="shared" si="1"/>
        <v>000013 - RMB News Feeds -  Configuration</v>
      </c>
      <c r="H40">
        <f>IF('TRACKER - 20220622'!J56&lt;&gt;"",'TRACKER - 20220622'!J56,"")</f>
        <v>0</v>
      </c>
      <c r="I40" t="str">
        <f>IF('TRACKER - 20220622'!K43&lt;&gt;"",UPPER('TRACKER - 20220622'!K43),"")</f>
        <v>44323</v>
      </c>
      <c r="J40" t="str">
        <f>IF('TRACKER - 20220622'!L43&lt;&gt;"",UPPER('TRACKER - 20220622'!L43),"")</f>
        <v>44306</v>
      </c>
      <c r="K40" t="str">
        <f>IF('TRACKER - 20220622'!M43&lt;&gt;"",UPPER('TRACKER - 20220622'!M43),"")</f>
        <v/>
      </c>
      <c r="L40" t="str">
        <f>IF('TRACKER - 20220622'!N43&lt;&gt;"",UPPER('TRACKER - 20220622'!N43),"")</f>
        <v>44309</v>
      </c>
      <c r="M40" t="str">
        <f>IF('TRACKER - 20220622'!O43&lt;&gt;"",UPPER('TRACKER - 20220622'!O43),"")</f>
        <v>44323</v>
      </c>
      <c r="N40" t="str">
        <f>IF('TRACKER - 20220622'!P43&lt;&gt;"",UPPER('TRACKER - 20220622'!P43),"")</f>
        <v>44323</v>
      </c>
      <c r="O40" t="str">
        <f>IF('TRACKER - 20220622'!Q43&lt;&gt;"",UPPER('TRACKER - 20220622'!Q43),"")</f>
        <v>AGREEMENTS</v>
      </c>
      <c r="P40" t="str">
        <f>IF('TRACKER - 20220622'!R43&lt;&gt;"",UPPER('TRACKER - 20220622'!R43),"")</f>
        <v>CLIENT</v>
      </c>
      <c r="Q40" t="str">
        <f>IF('TRACKER - 20220622'!S43&lt;&gt;"",UPPER('TRACKER - 20220622'!S43),"")</f>
        <v/>
      </c>
      <c r="R40" t="str">
        <f>IF('TRACKER - 20220622'!T43&lt;&gt;"",UPPER('TRACKER - 20220622'!T43),"")</f>
        <v/>
      </c>
      <c r="S40" t="str">
        <f>IF('TRACKER - 20220622'!U43&lt;&gt;"",UPPER('TRACKER - 20220622'!U43),"")</f>
        <v/>
      </c>
      <c r="T40" t="str">
        <f>IF('TRACKER - 20220622'!V43&lt;&gt;"",UPPER('TRACKER - 20220622'!V43),"")</f>
        <v/>
      </c>
      <c r="U40" t="str">
        <f>IF('TRACKER - 20220622'!W43&lt;&gt;"",UPPER('TRACKER - 20220622'!W43),"")</f>
        <v/>
      </c>
      <c r="V40" t="str">
        <f>IF('TRACKER - 20220622'!X43&lt;&gt;"",UPPER('TRACKER - 20220622'!X43),"")</f>
        <v xml:space="preserve">07/05/21 [EBC] APPROVED BY PAUL BRYSON FOR ESTIMATES TO SENT.
04/05/21 [EBC] SOLUTION AGREED
26/04/21 [EBC] NEEDS FURTHER DISCUSSION WITH LMR
20/04/21 [EBC] LMR APPROVED CREATION OF RSC FOR ITEMS MARKED OK IN AM OUTSTANDING ISSUE/BREAKDOWN TAB. FINAL COMMERCIALS AND REVISED PLAN FOR END OF APRIL </v>
      </c>
      <c r="W40" t="str">
        <f>IF('TRACKER - 20220622'!Y43&lt;&gt;"",UPPER('TRACKER - 20220622'!Y43),"")</f>
        <v>0</v>
      </c>
      <c r="X40" t="str">
        <f>IF('TRACKER - 20220622'!Z43&lt;&gt;"",UPPER('TRACKER - 20220622'!Z43),"")</f>
        <v>0</v>
      </c>
      <c r="Y40" t="str">
        <f>IF('TRACKER - 20220622'!AA43&lt;&gt;"",UPPER('TRACKER - 20220622'!AA43),"")</f>
        <v>0</v>
      </c>
      <c r="Z40" t="str">
        <f>IF('TRACKER - 20220622'!AB43&lt;&gt;"",UPPER('TRACKER - 20220622'!AB43),"")</f>
        <v>0</v>
      </c>
      <c r="AA40" t="str">
        <f>IF('TRACKER - 20220622'!AC43&lt;&gt;"",UPPER('TRACKER - 20220622'!AC43),"")</f>
        <v>0</v>
      </c>
      <c r="AB40" t="str">
        <f>IF('TRACKER - 20220622'!AE43&lt;&gt;"",UPPER('TRACKER - 20220622'!AE43),"")</f>
        <v>0</v>
      </c>
      <c r="AC40" t="str">
        <f>IF('TRACKER - 20220622'!AF43&lt;&gt;"",UPPER('TRACKER - 20220622'!AF43),"")</f>
        <v>0</v>
      </c>
      <c r="AD40" t="str">
        <f>IF('TRACKER - 20220622'!AG43&lt;&gt;"",UPPER('TRACKER - 20220622'!AG43),"")</f>
        <v>0</v>
      </c>
      <c r="AE40" t="str">
        <f>IF('TRACKER - 20220622'!AH43&lt;&gt;"",UPPER('TRACKER - 20220622'!AH43),"")</f>
        <v>185.4</v>
      </c>
      <c r="AF40" t="str">
        <f>IF('TRACKER - 20220622'!AI43&lt;&gt;"",UPPER('TRACKER - 20220622'!AI43),"")</f>
        <v/>
      </c>
      <c r="AG40" t="str">
        <f>IF('TRACKER - 20220622'!AJ43&lt;&gt;"",UPPER('TRACKER - 20220622'!AJ43),"")</f>
        <v>0.2</v>
      </c>
      <c r="AH40" t="str">
        <f>IF('TRACKER - 20220622'!AK43&lt;&gt;"",UPPER('TRACKER - 20220622'!AK43),"")</f>
        <v>0</v>
      </c>
      <c r="AI40" t="str">
        <f>IF('TRACKER - 20220622'!AL43&lt;&gt;"",UPPER('TRACKER - 20220622'!AL43),"")</f>
        <v>0</v>
      </c>
      <c r="AJ40" t="str">
        <f>IF('TRACKER - 20220622'!AM43&lt;&gt;"",UPPER('TRACKER - 20220622'!AM43),"")</f>
        <v>0</v>
      </c>
      <c r="AK40" t="str">
        <f>IF('TRACKER - 20220622'!AN43&lt;&gt;"",UPPER('TRACKER - 20220622'!AN43),"")</f>
        <v>0</v>
      </c>
      <c r="AL40" t="str">
        <f>IF('TRACKER - 20220622'!AO43&lt;&gt;"",UPPER('TRACKER - 20220622'!AO43),"")</f>
        <v>0</v>
      </c>
      <c r="AM40" t="str">
        <f>IF('TRACKER - 20220622'!AP43&lt;&gt;"",UPPER('TRACKER - 20220622'!AP43),"")</f>
        <v>0</v>
      </c>
      <c r="AN40" t="str">
        <f>IF('TRACKER - 20220622'!AQ43&lt;&gt;"",UPPER('TRACKER - 20220622'!AQ43),"")</f>
        <v>0</v>
      </c>
      <c r="AO40" t="str">
        <f>IF('TRACKER - 20220622'!AR43&lt;&gt;"",UPPER('TRACKER - 20220622'!AR43),"")</f>
        <v>LMR</v>
      </c>
      <c r="AP40" t="str">
        <f>IF('TRACKER - 20220622'!AS43&lt;&gt;"",UPPER('TRACKER - 20220622'!AS43),"")</f>
        <v>RSC</v>
      </c>
      <c r="AQ40" t="str">
        <f>IF('TRACKER - 20220622'!AT43&lt;&gt;"",UPPER('TRACKER - 20220622'!AT43),"")</f>
        <v>Y</v>
      </c>
      <c r="AR40" t="str">
        <f>IF('TRACKER - 20220622'!AU43&lt;&gt;"",UPPER('TRACKER - 20220622'!AU43),"")</f>
        <v>185.4</v>
      </c>
      <c r="AS40" t="str">
        <f>IF('TRACKER - 20220622'!AV43&lt;&gt;"",UPPER('TRACKER - 20220622'!AV43),"")</f>
        <v/>
      </c>
      <c r="AT40" t="str">
        <f>IF('TRACKER - 20220622'!AW43&lt;&gt;"",UPPER('TRACKER - 20220622'!AW43),"")</f>
        <v>DESCR43</v>
      </c>
      <c r="AU40" t="str">
        <f>IF('TRACKER - 20220622'!AX43&lt;&gt;"",UPPER('TRACKER - 20220622'!AX43),"")</f>
        <v>REASON43</v>
      </c>
      <c r="AV40" t="str">
        <f>IF('TRACKER - 20220622'!BD56&lt;&gt;"",'TRACKER - 20220622'!BD56,"")</f>
        <v/>
      </c>
      <c r="AW40" t="str">
        <f>IF('TRACKER - 20220622'!BE56&lt;&gt;"",'TRACKER - 20220622'!BE56,"")</f>
        <v/>
      </c>
      <c r="AX40" t="str">
        <f>IF('TRACKER - 20220622'!BF56&lt;&gt;"",'TRACKER - 20220622'!BF56,"")</f>
        <v/>
      </c>
      <c r="AY40" t="str">
        <f>IF('TRACKER - 20220622'!BG56&lt;&gt;"",'TRACKER - 20220622'!BG56,"")</f>
        <v/>
      </c>
      <c r="AZ40" t="str">
        <f>IF('TRACKER - 20220622'!BH56&lt;&gt;"",'TRACKER - 20220622'!BH56,"")</f>
        <v/>
      </c>
      <c r="BA40" t="str">
        <f>IF('TRACKER - 20220622'!BI56&lt;&gt;"",'TRACKER - 20220622'!BI56,"")</f>
        <v/>
      </c>
      <c r="BB40" t="str">
        <f>IF('TRACKER - 20220622'!BJ56&lt;&gt;"",'TRACKER - 20220622'!BJ56,"")</f>
        <v/>
      </c>
      <c r="BC40" t="str">
        <f>IF('TRACKER - 20220622'!BK56&lt;&gt;"",'TRACKER - 20220622'!BK56,"")</f>
        <v/>
      </c>
      <c r="BD40" t="str">
        <f>IF('TRACKER - 20220622'!BL56&lt;&gt;"",'TRACKER - 20220622'!BL56,"")</f>
        <v/>
      </c>
      <c r="BE40" t="str">
        <f>IF('TRACKER - 20220622'!BM56&lt;&gt;"",'TRACKER - 20220622'!BM56,"")</f>
        <v/>
      </c>
      <c r="BF40" t="str">
        <f>IF('TRACKER - 20220622'!BN56&lt;&gt;"",'TRACKER - 20220622'!BN56,"")</f>
        <v/>
      </c>
      <c r="BG40" t="str">
        <f>IF('TRACKER - 20220622'!BO56&lt;&gt;"",'TRACKER - 20220622'!BO56,"")</f>
        <v/>
      </c>
    </row>
    <row r="41" spans="1:59">
      <c r="A41" t="str">
        <f>IF('TRACKER - 20220622'!A57&lt;&gt;"",UPPER('TRACKER - 20220622'!A57),"")</f>
        <v>PRODUCT BACKLOG</v>
      </c>
      <c r="B41" t="str">
        <f>IF('TRACKER - 20220622'!B57&lt;&gt;"",UPPER('TRACKER - 20220622'!B57),"")</f>
        <v>N</v>
      </c>
      <c r="C41" t="str">
        <f>IF('TRACKER - 20220622'!D44&lt;&gt;"",UPPER('TRACKER - 20220622'!D44),"")</f>
        <v>13.4</v>
      </c>
      <c r="D41" t="str">
        <f>IF('TRACKER - 20220622'!F57&lt;&gt;"",UPPER('TRACKER - 20220622'!F57),"")</f>
        <v>PRD-BLG-2020-33245</v>
      </c>
      <c r="E41" t="str">
        <f>IF('TRACKER - 20220622'!H57&lt;&gt;"",'TRACKER - 20220622'!H57,"")</f>
        <v>Deal Type Group Filters</v>
      </c>
      <c r="F41" t="str">
        <f t="shared" si="0"/>
        <v>PRD-BLG-2020-33245 Deal Type Group Filters</v>
      </c>
      <c r="G41" t="str">
        <f t="shared" si="1"/>
        <v>00013 - Deal Type Group Filters</v>
      </c>
      <c r="H41">
        <f>IF('TRACKER - 20220622'!J57&lt;&gt;"",'TRACKER - 20220622'!J57,"")</f>
        <v>0</v>
      </c>
      <c r="I41" t="str">
        <f>IF('TRACKER - 20220622'!K44&lt;&gt;"",UPPER('TRACKER - 20220622'!K44),"")</f>
        <v>44323</v>
      </c>
      <c r="J41" t="str">
        <f>IF('TRACKER - 20220622'!L44&lt;&gt;"",UPPER('TRACKER - 20220622'!L44),"")</f>
        <v>44306</v>
      </c>
      <c r="K41" t="str">
        <f>IF('TRACKER - 20220622'!M44&lt;&gt;"",UPPER('TRACKER - 20220622'!M44),"")</f>
        <v/>
      </c>
      <c r="L41" t="str">
        <f>IF('TRACKER - 20220622'!N44&lt;&gt;"",UPPER('TRACKER - 20220622'!N44),"")</f>
        <v>44309</v>
      </c>
      <c r="M41" t="str">
        <f>IF('TRACKER - 20220622'!O44&lt;&gt;"",UPPER('TRACKER - 20220622'!O44),"")</f>
        <v>44323</v>
      </c>
      <c r="N41" t="str">
        <f>IF('TRACKER - 20220622'!P44&lt;&gt;"",UPPER('TRACKER - 20220622'!P44),"")</f>
        <v>44323</v>
      </c>
      <c r="O41" t="str">
        <f>IF('TRACKER - 20220622'!Q44&lt;&gt;"",UPPER('TRACKER - 20220622'!Q44),"")</f>
        <v>AGREEMENTS</v>
      </c>
      <c r="P41" t="str">
        <f>IF('TRACKER - 20220622'!R44&lt;&gt;"",UPPER('TRACKER - 20220622'!R44),"")</f>
        <v>CLIENT</v>
      </c>
      <c r="Q41" t="str">
        <f>IF('TRACKER - 20220622'!S44&lt;&gt;"",UPPER('TRACKER - 20220622'!S44),"")</f>
        <v/>
      </c>
      <c r="R41" t="str">
        <f>IF('TRACKER - 20220622'!T44&lt;&gt;"",UPPER('TRACKER - 20220622'!T44),"")</f>
        <v/>
      </c>
      <c r="S41" t="str">
        <f>IF('TRACKER - 20220622'!U44&lt;&gt;"",UPPER('TRACKER - 20220622'!U44),"")</f>
        <v/>
      </c>
      <c r="T41" t="str">
        <f>IF('TRACKER - 20220622'!V44&lt;&gt;"",UPPER('TRACKER - 20220622'!V44),"")</f>
        <v/>
      </c>
      <c r="U41" t="str">
        <f>IF('TRACKER - 20220622'!W44&lt;&gt;"",UPPER('TRACKER - 20220622'!W44),"")</f>
        <v/>
      </c>
      <c r="V41" t="str">
        <f>IF('TRACKER - 20220622'!X44&lt;&gt;"",UPPER('TRACKER - 20220622'!X44),"")</f>
        <v xml:space="preserve">07/05/21 [EBC] APPROVED BY PAUL BRYSON FOR ESTIMATES TO SENT.
04/05/21 [EBC] SOLUTION AGREED
26/04/21 [EBC] NEEDS FURTHER DISCUSSION WITH LMR
20/04/21 [EBC] LMR APPROVED CREATION OF RSC FOR ITEMS MARKED OK IN AM OUTSTANDING IS
SUE/BREAKDOWN TAB. FINAL COMMERCIALS AND REVISED PLAN FOR END OF APRIL </v>
      </c>
      <c r="W41" t="str">
        <f>IF('TRACKER - 20220622'!Y44&lt;&gt;"",UPPER('TRACKER - 20220622'!Y44),"")</f>
        <v>0</v>
      </c>
      <c r="X41" t="str">
        <f>IF('TRACKER - 20220622'!Z44&lt;&gt;"",UPPER('TRACKER - 20220622'!Z44),"")</f>
        <v>0</v>
      </c>
      <c r="Y41" t="str">
        <f>IF('TRACKER - 20220622'!AA44&lt;&gt;"",UPPER('TRACKER - 20220622'!AA44),"")</f>
        <v>0</v>
      </c>
      <c r="Z41" t="str">
        <f>IF('TRACKER - 20220622'!AB44&lt;&gt;"",UPPER('TRACKER - 20220622'!AB44),"")</f>
        <v>0</v>
      </c>
      <c r="AA41" t="str">
        <f>IF('TRACKER - 20220622'!AC44&lt;&gt;"",UPPER('TRACKER - 20220622'!AC44),"")</f>
        <v>0</v>
      </c>
      <c r="AB41" t="str">
        <f>IF('TRACKER - 20220622'!AE44&lt;&gt;"",UPPER('TRACKER - 20220622'!AE44),"")</f>
        <v>0</v>
      </c>
      <c r="AC41" t="str">
        <f>IF('TRACKER - 20220622'!AF44&lt;&gt;"",UPPER('TRACKER - 20220622'!AF44),"")</f>
        <v>0</v>
      </c>
      <c r="AD41" t="str">
        <f>IF('TRACKER - 20220622'!AG44&lt;&gt;"",UPPER('TRACKER - 20220622'!AG44),"")</f>
        <v>0</v>
      </c>
      <c r="AE41" t="str">
        <f>IF('TRACKER - 20220622'!AH44&lt;&gt;"",UPPER('TRACKER - 20220622'!AH44),"")</f>
        <v>185.4</v>
      </c>
      <c r="AF41" t="str">
        <f>IF('TRACKER - 20220622'!AI44&lt;&gt;"",UPPER('TRACKER - 20220622'!AI44),"")</f>
        <v/>
      </c>
      <c r="AG41" t="str">
        <f>IF('TRACKER - 20220622'!AJ44&lt;&gt;"",UPPER('TRACKER - 20220622'!AJ44),"")</f>
        <v>0.2</v>
      </c>
      <c r="AH41" t="str">
        <f>IF('TRACKER - 20220622'!AK44&lt;&gt;"",UPPER('TRACKER - 20220622'!AK44),"")</f>
        <v>0</v>
      </c>
      <c r="AI41" t="str">
        <f>IF('TRACKER - 20220622'!AL44&lt;&gt;"",UPPER('TRACKER - 20220622'!AL44),"")</f>
        <v>0</v>
      </c>
      <c r="AJ41" t="str">
        <f>IF('TRACKER - 20220622'!AM44&lt;&gt;"",UPPER('TRACKER - 20220622'!AM44),"")</f>
        <v/>
      </c>
      <c r="AK41" t="str">
        <f>IF('TRACKER - 20220622'!AN44&lt;&gt;"",UPPER('TRACKER - 20220622'!AN44),"")</f>
        <v/>
      </c>
      <c r="AL41" t="str">
        <f>IF('TRACKER - 20220622'!AO44&lt;&gt;"",UPPER('TRACKER - 20220622'!AO44),"")</f>
        <v/>
      </c>
      <c r="AM41" t="str">
        <f>IF('TRACKER - 20220622'!AP44&lt;&gt;"",UPPER('TRACKER - 20220622'!AP44),"")</f>
        <v>0</v>
      </c>
      <c r="AN41" t="str">
        <f>IF('TRACKER - 20220622'!AQ44&lt;&gt;"",UPPER('TRACKER - 20220622'!AQ44),"")</f>
        <v>0</v>
      </c>
      <c r="AO41" t="str">
        <f>IF('TRACKER - 20220622'!AR44&lt;&gt;"",UPPER('TRACKER - 20220622'!AR44),"")</f>
        <v>LMR</v>
      </c>
      <c r="AP41" t="str">
        <f>IF('TRACKER - 20220622'!AS44&lt;&gt;"",UPPER('TRACKER - 20220622'!AS44),"")</f>
        <v>RSC</v>
      </c>
      <c r="AQ41" t="str">
        <f>IF('TRACKER - 20220622'!AT44&lt;&gt;"",UPPER('TRACKER - 20220622'!AT44),"")</f>
        <v>Y</v>
      </c>
      <c r="AR41" t="str">
        <f>IF('TRACKER - 20220622'!AU44&lt;&gt;"",UPPER('TRACKER - 20220622'!AU44),"")</f>
        <v>185.4</v>
      </c>
      <c r="AS41" t="str">
        <f>IF('TRACKER - 20220622'!AV44&lt;&gt;"",UPPER('TRACKER - 20220622'!AV44),"")</f>
        <v/>
      </c>
      <c r="AT41" t="str">
        <f>IF('TRACKER - 20220622'!AW44&lt;&gt;"",UPPER('TRACKER - 20220622'!AW44),"")</f>
        <v>DESCR44</v>
      </c>
      <c r="AU41" t="str">
        <f>IF('TRACKER - 20220622'!AX44&lt;&gt;"",UPPER('TRACKER - 20220622'!AX44),"")</f>
        <v>REASON44</v>
      </c>
      <c r="AV41" t="str">
        <f>IF('TRACKER - 20220622'!BD57&lt;&gt;"",'TRACKER - 20220622'!BD57,"")</f>
        <v/>
      </c>
      <c r="AW41" t="str">
        <f>IF('TRACKER - 20220622'!BE57&lt;&gt;"",'TRACKER - 20220622'!BE57,"")</f>
        <v/>
      </c>
      <c r="AX41" t="str">
        <f>IF('TRACKER - 20220622'!BF57&lt;&gt;"",'TRACKER - 20220622'!BF57,"")</f>
        <v/>
      </c>
      <c r="AY41" t="str">
        <f>IF('TRACKER - 20220622'!BG57&lt;&gt;"",'TRACKER - 20220622'!BG57,"")</f>
        <v/>
      </c>
      <c r="AZ41" t="str">
        <f>IF('TRACKER - 20220622'!BH57&lt;&gt;"",'TRACKER - 20220622'!BH57,"")</f>
        <v/>
      </c>
      <c r="BA41" t="str">
        <f>IF('TRACKER - 20220622'!BI57&lt;&gt;"",'TRACKER - 20220622'!BI57,"")</f>
        <v/>
      </c>
      <c r="BB41" t="str">
        <f>IF('TRACKER - 20220622'!BJ57&lt;&gt;"",'TRACKER - 20220622'!BJ57,"")</f>
        <v/>
      </c>
      <c r="BC41" t="str">
        <f>IF('TRACKER - 20220622'!BK57&lt;&gt;"",'TRACKER - 20220622'!BK57,"")</f>
        <v/>
      </c>
      <c r="BD41" t="str">
        <f>IF('TRACKER - 20220622'!BL57&lt;&gt;"",'TRACKER - 20220622'!BL57,"")</f>
        <v/>
      </c>
      <c r="BE41" t="str">
        <f>IF('TRACKER - 20220622'!BM57&lt;&gt;"",'TRACKER - 20220622'!BM57,"")</f>
        <v/>
      </c>
      <c r="BF41" t="str">
        <f>IF('TRACKER - 20220622'!BN57&lt;&gt;"",'TRACKER - 20220622'!BN57,"")</f>
        <v/>
      </c>
      <c r="BG41" t="str">
        <f>IF('TRACKER - 20220622'!BO57&lt;&gt;"",'TRACKER - 20220622'!BO57,"")</f>
        <v/>
      </c>
    </row>
    <row r="42" spans="1:59">
      <c r="A42" t="str">
        <f>IF('TRACKER - 20220622'!A58&lt;&gt;"",UPPER('TRACKER - 20220622'!A58),"")</f>
        <v>PRODUCT BACKLOG</v>
      </c>
      <c r="B42" t="str">
        <f>IF('TRACKER - 20220622'!B58&lt;&gt;"",UPPER('TRACKER - 20220622'!B58),"")</f>
        <v>N</v>
      </c>
      <c r="C42" t="str">
        <f>IF('TRACKER - 20220622'!D45&lt;&gt;"",UPPER('TRACKER - 20220622'!D45),"")</f>
        <v>13.5</v>
      </c>
      <c r="D42" t="str">
        <f>IF('TRACKER - 20220622'!F58&lt;&gt;"",UPPER('TRACKER - 20220622'!F58),"")</f>
        <v>PRD-BLG-2020-33252</v>
      </c>
      <c r="E42" t="str">
        <f>IF('TRACKER - 20220622'!H58&lt;&gt;"",'TRACKER - 20220622'!H58,"")</f>
        <v>Relational Gateway Views and Reports</v>
      </c>
      <c r="F42" t="str">
        <f t="shared" si="0"/>
        <v>PRD-BLG-2020-33252 Relational Gateway Views and Reports</v>
      </c>
      <c r="G42" t="str">
        <f t="shared" si="1"/>
        <v>00014 - Relational Gateway Views and Reports</v>
      </c>
      <c r="H42">
        <f>IF('TRACKER - 20220622'!J58&lt;&gt;"",'TRACKER - 20220622'!J58,"")</f>
        <v>0</v>
      </c>
      <c r="I42" t="str">
        <f>IF('TRACKER - 20220622'!K45&lt;&gt;"",UPPER('TRACKER - 20220622'!K45),"")</f>
        <v>44323</v>
      </c>
      <c r="J42" t="str">
        <f>IF('TRACKER - 20220622'!L45&lt;&gt;"",UPPER('TRACKER - 20220622'!L45),"")</f>
        <v>44306</v>
      </c>
      <c r="K42" t="str">
        <f>IF('TRACKER - 20220622'!M45&lt;&gt;"",UPPER('TRACKER - 20220622'!M45),"")</f>
        <v/>
      </c>
      <c r="L42" t="str">
        <f>IF('TRACKER - 20220622'!N45&lt;&gt;"",UPPER('TRACKER - 20220622'!N45),"")</f>
        <v/>
      </c>
      <c r="M42" t="str">
        <f>IF('TRACKER - 20220622'!O45&lt;&gt;"",UPPER('TRACKER - 20220622'!O45),"")</f>
        <v>44323</v>
      </c>
      <c r="N42" t="str">
        <f>IF('TRACKER - 20220622'!P45&lt;&gt;"",UPPER('TRACKER - 20220622'!P45),"")</f>
        <v>44323</v>
      </c>
      <c r="O42" t="str">
        <f>IF('TRACKER - 20220622'!Q45&lt;&gt;"",UPPER('TRACKER - 20220622'!Q45),"")</f>
        <v>AGREEMENTS</v>
      </c>
      <c r="P42" t="str">
        <f>IF('TRACKER - 20220622'!R45&lt;&gt;"",UPPER('TRACKER - 20220622'!R45),"")</f>
        <v>CLIENT</v>
      </c>
      <c r="Q42" t="str">
        <f>IF('TRACKER - 20220622'!S45&lt;&gt;"",UPPER('TRACKER - 20220622'!S45),"")</f>
        <v/>
      </c>
      <c r="R42" t="str">
        <f>IF('TRACKER - 20220622'!T45&lt;&gt;"",UPPER('TRACKER - 20220622'!T45),"")</f>
        <v/>
      </c>
      <c r="S42" t="str">
        <f>IF('TRACKER - 20220622'!U45&lt;&gt;"",UPPER('TRACKER - 20220622'!U45),"")</f>
        <v/>
      </c>
      <c r="T42" t="str">
        <f>IF('TRACKER - 20220622'!V45&lt;&gt;"",UPPER('TRACKER - 20220622'!V45),"")</f>
        <v/>
      </c>
      <c r="U42" t="str">
        <f>IF('TRACKER - 20220622'!W45&lt;&gt;"",UPPER('TRACKER - 20220622'!W45),"")</f>
        <v/>
      </c>
      <c r="V42" t="str">
        <f>IF('TRACKER - 20220622'!X45&lt;&gt;"",UPPER('TRACKER - 20220622'!X45),"")</f>
        <v xml:space="preserve">07/05/21 [EBC] APPROVED BY PAUL BRYSON FOR ESTIMATES TO SENT.
26/04/21 [EBC ] RSC CREATED - ESTIMATE TO COMPLETE
20/04/21 [EBC] LMR APPROVED CREATION OF RSC FOR ITEMS MARKED OK IN AM OUTSTANDING ISSUE/BREAKDOWN TAB. FINAL COMMERCIALS AND REVISED PLAN FOR END OF APRIL </v>
      </c>
      <c r="W42" t="str">
        <f>IF('TRACKER - 20220622'!Y45&lt;&gt;"",UPPER('TRACKER - 20220622'!Y45),"")</f>
        <v>0</v>
      </c>
      <c r="X42" t="str">
        <f>IF('TRACKER - 20220622'!Z45&lt;&gt;"",UPPER('TRACKER - 20220622'!Z45),"")</f>
        <v>0</v>
      </c>
      <c r="Y42" t="str">
        <f>IF('TRACKER - 20220622'!AA45&lt;&gt;"",UPPER('TRACKER - 20220622'!AA45),"")</f>
        <v>0</v>
      </c>
      <c r="Z42" t="str">
        <f>IF('TRACKER - 20220622'!AB45&lt;&gt;"",UPPER('TRACKER - 20220622'!AB45),"")</f>
        <v>0</v>
      </c>
      <c r="AA42" t="str">
        <f>IF('TRACKER - 20220622'!AC45&lt;&gt;"",UPPER('TRACKER - 20220622'!AC45),"")</f>
        <v>0</v>
      </c>
      <c r="AB42" t="str">
        <f>IF('TRACKER - 20220622'!AE45&lt;&gt;"",UPPER('TRACKER - 20220622'!AE45),"")</f>
        <v>0</v>
      </c>
      <c r="AC42" t="str">
        <f>IF('TRACKER - 20220622'!AF45&lt;&gt;"",UPPER('TRACKER - 20220622'!AF45),"")</f>
        <v>0</v>
      </c>
      <c r="AD42" t="str">
        <f>IF('TRACKER - 20220622'!AG45&lt;&gt;"",UPPER('TRACKER - 20220622'!AG45),"")</f>
        <v>0</v>
      </c>
      <c r="AE42" t="str">
        <f>IF('TRACKER - 20220622'!AH45&lt;&gt;"",UPPER('TRACKER - 20220622'!AH45),"")</f>
        <v>185.4</v>
      </c>
      <c r="AF42" t="str">
        <f>IF('TRACKER - 20220622'!AI45&lt;&gt;"",UPPER('TRACKER - 20220622'!AI45),"")</f>
        <v/>
      </c>
      <c r="AG42" t="str">
        <f>IF('TRACKER - 20220622'!AJ45&lt;&gt;"",UPPER('TRACKER - 20220622'!AJ45),"")</f>
        <v>0.2</v>
      </c>
      <c r="AH42" t="str">
        <f>IF('TRACKER - 20220622'!AK45&lt;&gt;"",UPPER('TRACKER - 20220622'!AK45),"")</f>
        <v>0</v>
      </c>
      <c r="AI42" t="str">
        <f>IF('TRACKER - 20220622'!AL45&lt;&gt;"",UPPER('TRACKER - 20220622'!AL45),"")</f>
        <v/>
      </c>
      <c r="AJ42" t="str">
        <f>IF('TRACKER - 20220622'!AM45&lt;&gt;"",UPPER('TRACKER - 20220622'!AM45),"")</f>
        <v/>
      </c>
      <c r="AK42" t="str">
        <f>IF('TRACKER - 20220622'!AN45&lt;&gt;"",UPPER('TRACKER - 20220622'!AN45),"")</f>
        <v/>
      </c>
      <c r="AL42" t="str">
        <f>IF('TRACKER - 20220622'!AO45&lt;&gt;"",UPPER('TRACKER - 20220622'!AO45),"")</f>
        <v/>
      </c>
      <c r="AM42" t="str">
        <f>IF('TRACKER - 20220622'!AP45&lt;&gt;"",UPPER('TRACKER - 20220622'!AP45),"")</f>
        <v>0</v>
      </c>
      <c r="AN42" t="str">
        <f>IF('TRACKER - 20220622'!AQ45&lt;&gt;"",UPPER('TRACKER - 20220622'!AQ45),"")</f>
        <v>0</v>
      </c>
      <c r="AO42" t="str">
        <f>IF('TRACKER - 20220622'!AR45&lt;&gt;"",UPPER('TRACKER - 20220622'!AR45),"")</f>
        <v>LMR</v>
      </c>
      <c r="AP42" t="str">
        <f>IF('TRACKER - 20220622'!AS45&lt;&gt;"",UPPER('TRACKER - 20220622'!AS45),"")</f>
        <v>RSC</v>
      </c>
      <c r="AQ42" t="str">
        <f>IF('TRACKER - 20220622'!AT45&lt;&gt;"",UPPER('TRACKER - 20220622'!AT45),"")</f>
        <v>Y</v>
      </c>
      <c r="AR42" t="str">
        <f>IF('TRACKER - 20220622'!AU45&lt;&gt;"",UPPER('TRACKER - 20220622'!AU45),"")</f>
        <v>185.4</v>
      </c>
      <c r="AS42" t="str">
        <f>IF('TRACKER - 20220622'!AV45&lt;&gt;"",UPPER('TRACKER - 20220622'!AV45),"")</f>
        <v/>
      </c>
      <c r="AT42" t="str">
        <f>IF('TRACKER - 20220622'!AW45&lt;&gt;"",UPPER('TRACKER - 20220622'!AW45),"")</f>
        <v>DESCR45</v>
      </c>
      <c r="AU42" t="str">
        <f>IF('TRACKER - 20220622'!AX45&lt;&gt;"",UPPER('TRACKER - 20220622'!AX45),"")</f>
        <v>REASON45</v>
      </c>
      <c r="AV42" t="str">
        <f>IF('TRACKER - 20220622'!BD58&lt;&gt;"",'TRACKER - 20220622'!BD58,"")</f>
        <v/>
      </c>
      <c r="AW42" t="str">
        <f>IF('TRACKER - 20220622'!BE58&lt;&gt;"",'TRACKER - 20220622'!BE58,"")</f>
        <v/>
      </c>
      <c r="AX42" t="str">
        <f>IF('TRACKER - 20220622'!BF58&lt;&gt;"",'TRACKER - 20220622'!BF58,"")</f>
        <v/>
      </c>
      <c r="AY42" t="str">
        <f>IF('TRACKER - 20220622'!BG58&lt;&gt;"",'TRACKER - 20220622'!BG58,"")</f>
        <v/>
      </c>
      <c r="AZ42" t="str">
        <f>IF('TRACKER - 20220622'!BH58&lt;&gt;"",'TRACKER - 20220622'!BH58,"")</f>
        <v/>
      </c>
      <c r="BA42" t="str">
        <f>IF('TRACKER - 20220622'!BI58&lt;&gt;"",'TRACKER - 20220622'!BI58,"")</f>
        <v/>
      </c>
      <c r="BB42" t="str">
        <f>IF('TRACKER - 20220622'!BJ58&lt;&gt;"",'TRACKER - 20220622'!BJ58,"")</f>
        <v/>
      </c>
      <c r="BC42" t="str">
        <f>IF('TRACKER - 20220622'!BK58&lt;&gt;"",'TRACKER - 20220622'!BK58,"")</f>
        <v/>
      </c>
      <c r="BD42" t="str">
        <f>IF('TRACKER - 20220622'!BL58&lt;&gt;"",'TRACKER - 20220622'!BL58,"")</f>
        <v/>
      </c>
      <c r="BE42" t="str">
        <f>IF('TRACKER - 20220622'!BM58&lt;&gt;"",'TRACKER - 20220622'!BM58,"")</f>
        <v/>
      </c>
      <c r="BF42" t="str">
        <f>IF('TRACKER - 20220622'!BN58&lt;&gt;"",'TRACKER - 20220622'!BN58,"")</f>
        <v/>
      </c>
      <c r="BG42" t="str">
        <f>IF('TRACKER - 20220622'!BO58&lt;&gt;"",'TRACKER - 20220622'!BO58,"")</f>
        <v/>
      </c>
    </row>
    <row r="43" spans="1:59">
      <c r="A43" t="str">
        <f>IF('TRACKER - 20220622'!A59&lt;&gt;"",UPPER('TRACKER - 20220622'!A59),"")</f>
        <v>PRODUCT BACKLOG</v>
      </c>
      <c r="B43" t="str">
        <f>IF('TRACKER - 20220622'!B59&lt;&gt;"",UPPER('TRACKER - 20220622'!B59),"")</f>
        <v>N</v>
      </c>
      <c r="C43" t="str">
        <f>IF('TRACKER - 20220622'!D46&lt;&gt;"",UPPER('TRACKER - 20220622'!D46),"")</f>
        <v>13.6</v>
      </c>
      <c r="D43" t="str">
        <f>IF('TRACKER - 20220622'!F59&lt;&gt;"",UPPER('TRACKER - 20220622'!F59),"")</f>
        <v>PRD-BLG-2020-00003</v>
      </c>
      <c r="E43" t="str">
        <f>IF('TRACKER - 20220622'!H59&lt;&gt;"",'TRACKER - 20220622'!H59,"")</f>
        <v>User Interface</v>
      </c>
      <c r="F43" t="str">
        <f t="shared" si="0"/>
        <v>PRD-BLG-2020-00003 User Interface</v>
      </c>
      <c r="G43" t="str">
        <f t="shared" si="1"/>
        <v>00014 - User Interface</v>
      </c>
      <c r="H43">
        <f>IF('TRACKER - 20220622'!J59&lt;&gt;"",'TRACKER - 20220622'!J59,"")</f>
        <v>0</v>
      </c>
      <c r="I43" t="str">
        <f>IF('TRACKER - 20220622'!K46&lt;&gt;"",UPPER('TRACKER - 20220622'!K46),"")</f>
        <v>44323</v>
      </c>
      <c r="J43" t="str">
        <f>IF('TRACKER - 20220622'!L46&lt;&gt;"",UPPER('TRACKER - 20220622'!L46),"")</f>
        <v>44306</v>
      </c>
      <c r="K43" t="str">
        <f>IF('TRACKER - 20220622'!M46&lt;&gt;"",UPPER('TRACKER - 20220622'!M46),"")</f>
        <v/>
      </c>
      <c r="L43" t="str">
        <f>IF('TRACKER - 20220622'!N46&lt;&gt;"",UPPER('TRACKER - 20220622'!N46),"")</f>
        <v/>
      </c>
      <c r="M43" t="str">
        <f>IF('TRACKER - 20220622'!O46&lt;&gt;"",UPPER('TRACKER - 20220622'!O46),"")</f>
        <v/>
      </c>
      <c r="N43" t="str">
        <f>IF('TRACKER - 20220622'!P46&lt;&gt;"",UPPER('TRACKER - 20220622'!P46),"")</f>
        <v>44323</v>
      </c>
      <c r="O43" t="str">
        <f>IF('TRACKER - 20220622'!Q46&lt;&gt;"",UPPER('TRACKER - 20220622'!Q46),"")</f>
        <v>AGREEMENTS</v>
      </c>
      <c r="P43" t="str">
        <f>IF('TRACKER - 20220622'!R46&lt;&gt;"",UPPER('TRACKER - 20220622'!R46),"")</f>
        <v>CLIENT</v>
      </c>
      <c r="Q43" t="str">
        <f>IF('TRACKER - 20220622'!S46&lt;&gt;"",UPPER('TRACKER - 20220622'!S46),"")</f>
        <v/>
      </c>
      <c r="R43" t="str">
        <f>IF('TRACKER - 20220622'!T46&lt;&gt;"",UPPER('TRACKER - 20220622'!T46),"")</f>
        <v/>
      </c>
      <c r="S43" t="str">
        <f>IF('TRACKER - 20220622'!U46&lt;&gt;"",UPPER('TRACKER - 20220622'!U46),"")</f>
        <v/>
      </c>
      <c r="T43" t="str">
        <f>IF('TRACKER - 20220622'!V46&lt;&gt;"",UPPER('TRACKER - 20220622'!V46),"")</f>
        <v/>
      </c>
      <c r="U43" t="str">
        <f>IF('TRACKER - 20220622'!W46&lt;&gt;"",UPPER('TRACKER - 20220622'!W46),"")</f>
        <v/>
      </c>
      <c r="V43" t="str">
        <f>IF('TRACKER - 20220622'!X46&lt;&gt;"",UPPER('TRACKER - 20220622'!X46),"")</f>
        <v xml:space="preserve">26/04/21 [EBC ] RSC CREATED - ESTIMATE TO COMPLETE
20/04/21 [EBC] LMR APPROVED CREATION OF RSC FOR ITEMS MARKED OK IN AM OUTSTANDING ISSUE/BREAKDOWN TAB. FINAL COMMERCIALS AND REVISED PLAN FOR END OF APRIL </v>
      </c>
      <c r="W43" t="str">
        <f>IF('TRACKER - 20220622'!Y46&lt;&gt;"",UPPER('TRACKER - 20220622'!Y46),"")</f>
        <v>0</v>
      </c>
      <c r="X43" t="str">
        <f>IF('TRACKER - 20220622'!Z46&lt;&gt;"",UPPER('TRACKER - 20220622'!Z46),"")</f>
        <v>0</v>
      </c>
      <c r="Y43" t="str">
        <f>IF('TRACKER - 20220622'!AA46&lt;&gt;"",UPPER('TRACKER - 20220622'!AA46),"")</f>
        <v>0</v>
      </c>
      <c r="Z43" t="str">
        <f>IF('TRACKER - 20220622'!AB46&lt;&gt;"",UPPER('TRACKER - 20220622'!AB46),"")</f>
        <v>0</v>
      </c>
      <c r="AA43" t="str">
        <f>IF('TRACKER - 20220622'!AC46&lt;&gt;"",UPPER('TRACKER - 20220622'!AC46),"")</f>
        <v>0</v>
      </c>
      <c r="AB43" t="str">
        <f>IF('TRACKER - 20220622'!AE46&lt;&gt;"",UPPER('TRACKER - 20220622'!AE46),"")</f>
        <v>0</v>
      </c>
      <c r="AC43" t="str">
        <f>IF('TRACKER - 20220622'!AF46&lt;&gt;"",UPPER('TRACKER - 20220622'!AF46),"")</f>
        <v>0</v>
      </c>
      <c r="AD43" t="str">
        <f>IF('TRACKER - 20220622'!AG46&lt;&gt;"",UPPER('TRACKER - 20220622'!AG46),"")</f>
        <v>0</v>
      </c>
      <c r="AE43" t="str">
        <f>IF('TRACKER - 20220622'!AH46&lt;&gt;"",UPPER('TRACKER - 20220622'!AH46),"")</f>
        <v>185.4</v>
      </c>
      <c r="AF43" t="str">
        <f>IF('TRACKER - 20220622'!AI46&lt;&gt;"",UPPER('TRACKER - 20220622'!AI46),"")</f>
        <v/>
      </c>
      <c r="AG43" t="str">
        <f>IF('TRACKER - 20220622'!AJ46&lt;&gt;"",UPPER('TRACKER - 20220622'!AJ46),"")</f>
        <v>0.2</v>
      </c>
      <c r="AH43" t="str">
        <f>IF('TRACKER - 20220622'!AK46&lt;&gt;"",UPPER('TRACKER - 20220622'!AK46),"")</f>
        <v>0</v>
      </c>
      <c r="AI43" t="str">
        <f>IF('TRACKER - 20220622'!AL46&lt;&gt;"",UPPER('TRACKER - 20220622'!AL46),"")</f>
        <v/>
      </c>
      <c r="AJ43" t="str">
        <f>IF('TRACKER - 20220622'!AM46&lt;&gt;"",UPPER('TRACKER - 20220622'!AM46),"")</f>
        <v/>
      </c>
      <c r="AK43" t="str">
        <f>IF('TRACKER - 20220622'!AN46&lt;&gt;"",UPPER('TRACKER - 20220622'!AN46),"")</f>
        <v/>
      </c>
      <c r="AL43" t="str">
        <f>IF('TRACKER - 20220622'!AO46&lt;&gt;"",UPPER('TRACKER - 20220622'!AO46),"")</f>
        <v/>
      </c>
      <c r="AM43" t="str">
        <f>IF('TRACKER - 20220622'!AP46&lt;&gt;"",UPPER('TRACKER - 20220622'!AP46),"")</f>
        <v>0</v>
      </c>
      <c r="AN43" t="str">
        <f>IF('TRACKER - 20220622'!AQ46&lt;&gt;"",UPPER('TRACKER - 20220622'!AQ46),"")</f>
        <v>0</v>
      </c>
      <c r="AO43" t="str">
        <f>IF('TRACKER - 20220622'!AR46&lt;&gt;"",UPPER('TRACKER - 20220622'!AR46),"")</f>
        <v>LMR</v>
      </c>
      <c r="AP43" t="str">
        <f>IF('TRACKER - 20220622'!AS46&lt;&gt;"",UPPER('TRACKER - 20220622'!AS46),"")</f>
        <v>RSC</v>
      </c>
      <c r="AQ43" t="str">
        <f>IF('TRACKER - 20220622'!AT46&lt;&gt;"",UPPER('TRACKER - 20220622'!AT46),"")</f>
        <v>Y</v>
      </c>
      <c r="AR43" t="str">
        <f>IF('TRACKER - 20220622'!AU46&lt;&gt;"",UPPER('TRACKER - 20220622'!AU46),"")</f>
        <v>185.4</v>
      </c>
      <c r="AS43" t="str">
        <f>IF('TRACKER - 20220622'!AV46&lt;&gt;"",UPPER('TRACKER - 20220622'!AV46),"")</f>
        <v/>
      </c>
      <c r="AT43" t="str">
        <f>IF('TRACKER - 20220622'!AW46&lt;&gt;"",UPPER('TRACKER - 20220622'!AW46),"")</f>
        <v>DESCR46</v>
      </c>
      <c r="AU43" t="str">
        <f>IF('TRACKER - 20220622'!AX46&lt;&gt;"",UPPER('TRACKER - 20220622'!AX46),"")</f>
        <v>REASON46</v>
      </c>
      <c r="AV43" t="str">
        <f>IF('TRACKER - 20220622'!BD59&lt;&gt;"",'TRACKER - 20220622'!BD59,"")</f>
        <v/>
      </c>
      <c r="AW43" t="str">
        <f>IF('TRACKER - 20220622'!BE59&lt;&gt;"",'TRACKER - 20220622'!BE59,"")</f>
        <v/>
      </c>
      <c r="AX43" t="str">
        <f>IF('TRACKER - 20220622'!BF59&lt;&gt;"",'TRACKER - 20220622'!BF59,"")</f>
        <v/>
      </c>
      <c r="AY43" t="str">
        <f>IF('TRACKER - 20220622'!BG59&lt;&gt;"",'TRACKER - 20220622'!BG59,"")</f>
        <v/>
      </c>
      <c r="AZ43" t="str">
        <f>IF('TRACKER - 20220622'!BH59&lt;&gt;"",'TRACKER - 20220622'!BH59,"")</f>
        <v/>
      </c>
      <c r="BA43" t="str">
        <f>IF('TRACKER - 20220622'!BI59&lt;&gt;"",'TRACKER - 20220622'!BI59,"")</f>
        <v/>
      </c>
      <c r="BB43" t="str">
        <f>IF('TRACKER - 20220622'!BJ59&lt;&gt;"",'TRACKER - 20220622'!BJ59,"")</f>
        <v/>
      </c>
      <c r="BC43" t="str">
        <f>IF('TRACKER - 20220622'!BK59&lt;&gt;"",'TRACKER - 20220622'!BK59,"")</f>
        <v/>
      </c>
      <c r="BD43" t="str">
        <f>IF('TRACKER - 20220622'!BL59&lt;&gt;"",'TRACKER - 20220622'!BL59,"")</f>
        <v/>
      </c>
      <c r="BE43" t="str">
        <f>IF('TRACKER - 20220622'!BM59&lt;&gt;"",'TRACKER - 20220622'!BM59,"")</f>
        <v/>
      </c>
      <c r="BF43" t="str">
        <f>IF('TRACKER - 20220622'!BN59&lt;&gt;"",'TRACKER - 20220622'!BN59,"")</f>
        <v/>
      </c>
      <c r="BG43" t="str">
        <f>IF('TRACKER - 20220622'!BO59&lt;&gt;"",'TRACKER - 20220622'!BO59,"")</f>
        <v/>
      </c>
    </row>
    <row r="44" spans="1:59">
      <c r="A44" t="str">
        <f>IF('TRACKER - 20220622'!A60&lt;&gt;"",UPPER('TRACKER - 20220622'!A60),"")</f>
        <v>PRODUCT BACKLOG</v>
      </c>
      <c r="B44" t="str">
        <f>IF('TRACKER - 20220622'!B60&lt;&gt;"",UPPER('TRACKER - 20220622'!B60),"")</f>
        <v>N</v>
      </c>
      <c r="C44" t="str">
        <f>IF('TRACKER - 20220622'!D47&lt;&gt;"",UPPER('TRACKER - 20220622'!D47),"")</f>
        <v>13.7</v>
      </c>
      <c r="D44" t="str">
        <f>IF('TRACKER - 20220622'!F60&lt;&gt;"",UPPER('TRACKER - 20220622'!F60),"")</f>
        <v>PRD-BLG-2020-00011</v>
      </c>
      <c r="E44" t="str">
        <f>IF('TRACKER - 20220622'!H60&lt;&gt;"",'TRACKER - 20220622'!H60,"")</f>
        <v>CLS Now</v>
      </c>
      <c r="F44" t="str">
        <f t="shared" si="0"/>
        <v>PRD-BLG-2020-00011 CLS Now</v>
      </c>
      <c r="G44" t="str">
        <f t="shared" si="1"/>
        <v>000014 - CLS Now</v>
      </c>
      <c r="H44">
        <f>IF('TRACKER - 20220622'!J60&lt;&gt;"",'TRACKER - 20220622'!J60,"")</f>
        <v>0</v>
      </c>
      <c r="I44" t="str">
        <f>IF('TRACKER - 20220622'!K47&lt;&gt;"",UPPER('TRACKER - 20220622'!K47),"")</f>
        <v>44323</v>
      </c>
      <c r="J44" t="str">
        <f>IF('TRACKER - 20220622'!L47&lt;&gt;"",UPPER('TRACKER - 20220622'!L47),"")</f>
        <v>44306</v>
      </c>
      <c r="K44" t="str">
        <f>IF('TRACKER - 20220622'!M47&lt;&gt;"",UPPER('TRACKER - 20220622'!M47),"")</f>
        <v/>
      </c>
      <c r="L44" t="str">
        <f>IF('TRACKER - 20220622'!N47&lt;&gt;"",UPPER('TRACKER - 20220622'!N47),"")</f>
        <v>44309</v>
      </c>
      <c r="M44" t="str">
        <f>IF('TRACKER - 20220622'!O47&lt;&gt;"",UPPER('TRACKER - 20220622'!O47),"")</f>
        <v>44323</v>
      </c>
      <c r="N44" t="str">
        <f>IF('TRACKER - 20220622'!P47&lt;&gt;"",UPPER('TRACKER - 20220622'!P47),"")</f>
        <v>44323</v>
      </c>
      <c r="O44" t="str">
        <f>IF('TRACKER - 20220622'!Q47&lt;&gt;"",UPPER('TRACKER - 20220622'!Q47),"")</f>
        <v>AGREEMENTS</v>
      </c>
      <c r="P44" t="str">
        <f>IF('TRACKER - 20220622'!R47&lt;&gt;"",UPPER('TRACKER - 20220622'!R47),"")</f>
        <v>CLIENT</v>
      </c>
      <c r="Q44" t="str">
        <f>IF('TRACKER - 20220622'!S47&lt;&gt;"",UPPER('TRACKER - 20220622'!S47),"")</f>
        <v/>
      </c>
      <c r="R44" t="str">
        <f>IF('TRACKER - 20220622'!T47&lt;&gt;"",UPPER('TRACKER - 20220622'!T47),"")</f>
        <v/>
      </c>
      <c r="S44" t="str">
        <f>IF('TRACKER - 20220622'!U47&lt;&gt;"",UPPER('TRACKER - 20220622'!U47),"")</f>
        <v/>
      </c>
      <c r="T44" t="str">
        <f>IF('TRACKER - 20220622'!V47&lt;&gt;"",UPPER('TRACKER - 20220622'!V47),"")</f>
        <v/>
      </c>
      <c r="U44" t="str">
        <f>IF('TRACKER - 20220622'!W47&lt;&gt;"",UPPER('TRACKER - 20220622'!W47),"")</f>
        <v/>
      </c>
      <c r="V44" t="str">
        <f>IF('TRACKER - 20220622'!X47&lt;&gt;"",UPPER('TRACKER - 20220622'!X47),"")</f>
        <v xml:space="preserve">07/05/21 [EBC] APPROVED BY PAUL BRYSON FOR ESTIMATES TO SENT.
04/05/21 [EBC] SOLUTION AGREED
26/04/21 [EBC] CALL WITH LMR - ESTIMATE KNOWN, RSC TO CREATE
20/04/21 [EBC] LMR APPROVED CREATION OF RSC FOR ITEMS MARKED OK IN AM OUTSTANDING ISSUE/BREAKDOWN TAB. FINAL COMMERCIALS AND REVISED PLAN FOR END OF APRIL </v>
      </c>
      <c r="W44" t="str">
        <f>IF('TRACKER - 20220622'!Y47&lt;&gt;"",UPPER('TRACKER - 20220622'!Y47),"")</f>
        <v>0</v>
      </c>
      <c r="X44" t="str">
        <f>IF('TRACKER - 20220622'!Z47&lt;&gt;"",UPPER('TRACKER - 20220622'!Z47),"")</f>
        <v>0</v>
      </c>
      <c r="Y44" t="str">
        <f>IF('TRACKER - 20220622'!AA47&lt;&gt;"",UPPER('TRACKER - 20220622'!AA47),"")</f>
        <v>0</v>
      </c>
      <c r="Z44" t="str">
        <f>IF('TRACKER - 20220622'!AB47&lt;&gt;"",UPPER('TRACKER - 20220622'!AB47),"")</f>
        <v>0</v>
      </c>
      <c r="AA44" t="str">
        <f>IF('TRACKER - 20220622'!AC47&lt;&gt;"",UPPER('TRACKER - 20220622'!AC47),"")</f>
        <v>0</v>
      </c>
      <c r="AB44" t="str">
        <f>IF('TRACKER - 20220622'!AE47&lt;&gt;"",UPPER('TRACKER - 20220622'!AE47),"")</f>
        <v>0</v>
      </c>
      <c r="AC44" t="str">
        <f>IF('TRACKER - 20220622'!AF47&lt;&gt;"",UPPER('TRACKER - 20220622'!AF47),"")</f>
        <v>0</v>
      </c>
      <c r="AD44" t="str">
        <f>IF('TRACKER - 20220622'!AG47&lt;&gt;"",UPPER('TRACKER - 20220622'!AG47),"")</f>
        <v>0</v>
      </c>
      <c r="AE44" t="str">
        <f>IF('TRACKER - 20220622'!AH47&lt;&gt;"",UPPER('TRACKER - 20220622'!AH47),"")</f>
        <v>185.4</v>
      </c>
      <c r="AF44" t="str">
        <f>IF('TRACKER - 20220622'!AI47&lt;&gt;"",UPPER('TRACKER - 20220622'!AI47),"")</f>
        <v/>
      </c>
      <c r="AG44" t="str">
        <f>IF('TRACKER - 20220622'!AJ47&lt;&gt;"",UPPER('TRACKER - 20220622'!AJ47),"")</f>
        <v>0.2</v>
      </c>
      <c r="AH44" t="str">
        <f>IF('TRACKER - 20220622'!AK47&lt;&gt;"",UPPER('TRACKER - 20220622'!AK47),"")</f>
        <v>0</v>
      </c>
      <c r="AI44" t="str">
        <f>IF('TRACKER - 20220622'!AL47&lt;&gt;"",UPPER('TRACKER - 20220622'!AL47),"")</f>
        <v>0</v>
      </c>
      <c r="AJ44" t="str">
        <f>IF('TRACKER - 20220622'!AM47&lt;&gt;"",UPPER('TRACKER - 20220622'!AM47),"")</f>
        <v>0</v>
      </c>
      <c r="AK44" t="str">
        <f>IF('TRACKER - 20220622'!AN47&lt;&gt;"",UPPER('TRACKER - 20220622'!AN47),"")</f>
        <v>0</v>
      </c>
      <c r="AL44" t="str">
        <f>IF('TRACKER - 20220622'!AO47&lt;&gt;"",UPPER('TRACKER - 20220622'!AO47),"")</f>
        <v>0</v>
      </c>
      <c r="AM44" t="str">
        <f>IF('TRACKER - 20220622'!AP47&lt;&gt;"",UPPER('TRACKER - 20220622'!AP47),"")</f>
        <v>0</v>
      </c>
      <c r="AN44" t="str">
        <f>IF('TRACKER - 20220622'!AQ47&lt;&gt;"",UPPER('TRACKER - 20220622'!AQ47),"")</f>
        <v>0</v>
      </c>
      <c r="AO44" t="str">
        <f>IF('TRACKER - 20220622'!AR47&lt;&gt;"",UPPER('TRACKER - 20220622'!AR47),"")</f>
        <v>LMR</v>
      </c>
      <c r="AP44" t="str">
        <f>IF('TRACKER - 20220622'!AS47&lt;&gt;"",UPPER('TRACKER - 20220622'!AS47),"")</f>
        <v>RSC</v>
      </c>
      <c r="AQ44" t="str">
        <f>IF('TRACKER - 20220622'!AT47&lt;&gt;"",UPPER('TRACKER - 20220622'!AT47),"")</f>
        <v>Y</v>
      </c>
      <c r="AR44" t="str">
        <f>IF('TRACKER - 20220622'!AU47&lt;&gt;"",UPPER('TRACKER - 20220622'!AU47),"")</f>
        <v>185.4</v>
      </c>
      <c r="AS44" t="str">
        <f>IF('TRACKER - 20220622'!AV47&lt;&gt;"",UPPER('TRACKER - 20220622'!AV47),"")</f>
        <v/>
      </c>
      <c r="AT44" t="str">
        <f>IF('TRACKER - 20220622'!AW47&lt;&gt;"",UPPER('TRACKER - 20220622'!AW47),"")</f>
        <v>DESCR47</v>
      </c>
      <c r="AU44" t="str">
        <f>IF('TRACKER - 20220622'!AX47&lt;&gt;"",UPPER('TRACKER - 20220622'!AX47),"")</f>
        <v>REASON47</v>
      </c>
      <c r="AV44" t="str">
        <f>IF('TRACKER - 20220622'!BD60&lt;&gt;"",'TRACKER - 20220622'!BD60,"")</f>
        <v/>
      </c>
      <c r="AW44" t="str">
        <f>IF('TRACKER - 20220622'!BE60&lt;&gt;"",'TRACKER - 20220622'!BE60,"")</f>
        <v/>
      </c>
      <c r="AX44" t="str">
        <f>IF('TRACKER - 20220622'!BF60&lt;&gt;"",'TRACKER - 20220622'!BF60,"")</f>
        <v/>
      </c>
      <c r="AY44" t="str">
        <f>IF('TRACKER - 20220622'!BG60&lt;&gt;"",'TRACKER - 20220622'!BG60,"")</f>
        <v/>
      </c>
      <c r="AZ44" t="str">
        <f>IF('TRACKER - 20220622'!BH60&lt;&gt;"",'TRACKER - 20220622'!BH60,"")</f>
        <v/>
      </c>
      <c r="BA44" t="str">
        <f>IF('TRACKER - 20220622'!BI60&lt;&gt;"",'TRACKER - 20220622'!BI60,"")</f>
        <v/>
      </c>
      <c r="BB44" t="str">
        <f>IF('TRACKER - 20220622'!BJ60&lt;&gt;"",'TRACKER - 20220622'!BJ60,"")</f>
        <v/>
      </c>
      <c r="BC44" t="str">
        <f>IF('TRACKER - 20220622'!BK60&lt;&gt;"",'TRACKER - 20220622'!BK60,"")</f>
        <v/>
      </c>
      <c r="BD44" t="str">
        <f>IF('TRACKER - 20220622'!BL60&lt;&gt;"",'TRACKER - 20220622'!BL60,"")</f>
        <v/>
      </c>
      <c r="BE44" t="str">
        <f>IF('TRACKER - 20220622'!BM60&lt;&gt;"",'TRACKER - 20220622'!BM60,"")</f>
        <v/>
      </c>
      <c r="BF44" t="str">
        <f>IF('TRACKER - 20220622'!BN60&lt;&gt;"",'TRACKER - 20220622'!BN60,"")</f>
        <v/>
      </c>
      <c r="BG44" t="str">
        <f>IF('TRACKER - 20220622'!BO60&lt;&gt;"",'TRACKER - 20220622'!BO60,"")</f>
        <v/>
      </c>
    </row>
    <row r="45" spans="1:59">
      <c r="A45" t="str">
        <f>IF('TRACKER - 20220622'!A61&lt;&gt;"",UPPER('TRACKER - 20220622'!A61),"")</f>
        <v>PRODUCT BACKLOG</v>
      </c>
      <c r="B45" t="str">
        <f>IF('TRACKER - 20220622'!B61&lt;&gt;"",UPPER('TRACKER - 20220622'!B61),"")</f>
        <v>N</v>
      </c>
      <c r="C45" t="str">
        <f>IF('TRACKER - 20220622'!D48&lt;&gt;"",UPPER('TRACKER - 20220622'!D48),"")</f>
        <v>13.8</v>
      </c>
      <c r="D45" t="str">
        <f>IF('TRACKER - 20220622'!F61&lt;&gt;"",UPPER('TRACKER - 20220622'!F61),"")</f>
        <v>PRD-BLG-2020-00012</v>
      </c>
      <c r="E45" t="str">
        <f>IF('TRACKER - 20220622'!H61&lt;&gt;"",'TRACKER - 20220622'!H61,"")</f>
        <v>Neg Instrument Shorting</v>
      </c>
      <c r="F45" t="str">
        <f t="shared" si="0"/>
        <v>PRD-BLG-2020-00012 Neg Instrument Shorting</v>
      </c>
      <c r="G45" t="str">
        <f t="shared" si="1"/>
        <v>000014 - Neg Instrument Shorting</v>
      </c>
      <c r="H45">
        <f>IF('TRACKER - 20220622'!J61&lt;&gt;"",'TRACKER - 20220622'!J61,"")</f>
        <v>0</v>
      </c>
      <c r="I45" t="str">
        <f>IF('TRACKER - 20220622'!K48&lt;&gt;"",UPPER('TRACKER - 20220622'!K48),"")</f>
        <v>44323</v>
      </c>
      <c r="J45" t="str">
        <f>IF('TRACKER - 20220622'!L48&lt;&gt;"",UPPER('TRACKER - 20220622'!L48),"")</f>
        <v>44306</v>
      </c>
      <c r="K45" t="str">
        <f>IF('TRACKER - 20220622'!M48&lt;&gt;"",UPPER('TRACKER - 20220622'!M48),"")</f>
        <v/>
      </c>
      <c r="L45" t="str">
        <f>IF('TRACKER - 20220622'!N48&lt;&gt;"",UPPER('TRACKER - 20220622'!N48),"")</f>
        <v>44309</v>
      </c>
      <c r="M45" t="str">
        <f>IF('TRACKER - 20220622'!O48&lt;&gt;"",UPPER('TRACKER - 20220622'!O48),"")</f>
        <v>44323</v>
      </c>
      <c r="N45" t="str">
        <f>IF('TRACKER - 20220622'!P48&lt;&gt;"",UPPER('TRACKER - 20220622'!P48),"")</f>
        <v>44323</v>
      </c>
      <c r="O45" t="str">
        <f>IF('TRACKER - 20220622'!Q48&lt;&gt;"",UPPER('TRACKER - 20220622'!Q48),"")</f>
        <v>AGREEMENTS</v>
      </c>
      <c r="P45" t="str">
        <f>IF('TRACKER - 20220622'!R48&lt;&gt;"",UPPER('TRACKER - 20220622'!R48),"")</f>
        <v>CLIENT</v>
      </c>
      <c r="Q45" t="str">
        <f>IF('TRACKER - 20220622'!S48&lt;&gt;"",UPPER('TRACKER - 20220622'!S48),"")</f>
        <v/>
      </c>
      <c r="R45" t="str">
        <f>IF('TRACKER - 20220622'!T48&lt;&gt;"",UPPER('TRACKER - 20220622'!T48),"")</f>
        <v/>
      </c>
      <c r="S45" t="str">
        <f>IF('TRACKER - 20220622'!U48&lt;&gt;"",UPPER('TRACKER - 20220622'!U48),"")</f>
        <v/>
      </c>
      <c r="T45" t="str">
        <f>IF('TRACKER - 20220622'!V48&lt;&gt;"",UPPER('TRACKER - 20220622'!V48),"")</f>
        <v/>
      </c>
      <c r="U45" t="str">
        <f>IF('TRACKER - 20220622'!W48&lt;&gt;"",UPPER('TRACKER - 20220622'!W48),"")</f>
        <v/>
      </c>
      <c r="V45" t="str">
        <f>IF('TRACKER - 20220622'!X48&lt;&gt;"",UPPER('TRACKER - 20220622'!X48),"")</f>
        <v xml:space="preserve">04/05/21 [EBC] SOLUTION AGREED
26/04/21 [EBC] CALL WITH LMR - ESTIMATE KNOWN, RSC TO CREATE
20/04/21 [EBC] LMR APPROVED CREATION OF RSC FOR ITEMS MARKED OK IN AM OUTSTANDING ISSUE/BREAKDOWN TAB. FINAL COMMERCIALS AND REVISED PLAN FOR END OF APRIL </v>
      </c>
      <c r="W45" t="str">
        <f>IF('TRACKER - 20220622'!Y48&lt;&gt;"",UPPER('TRACKER - 20220622'!Y48),"")</f>
        <v>0</v>
      </c>
      <c r="X45" t="str">
        <f>IF('TRACKER - 20220622'!Z48&lt;&gt;"",UPPER('TRACKER - 20220622'!Z48),"")</f>
        <v>0</v>
      </c>
      <c r="Y45" t="str">
        <f>IF('TRACKER - 20220622'!AA48&lt;&gt;"",UPPER('TRACKER - 20220622'!AA48),"")</f>
        <v>0</v>
      </c>
      <c r="Z45" t="str">
        <f>IF('TRACKER - 20220622'!AB48&lt;&gt;"",UPPER('TRACKER - 20220622'!AB48),"")</f>
        <v>0</v>
      </c>
      <c r="AA45" t="str">
        <f>IF('TRACKER - 20220622'!AC48&lt;&gt;"",UPPER('TRACKER - 20220622'!AC48),"")</f>
        <v>0</v>
      </c>
      <c r="AB45" t="str">
        <f>IF('TRACKER - 20220622'!AE48&lt;&gt;"",UPPER('TRACKER - 20220622'!AE48),"")</f>
        <v>0</v>
      </c>
      <c r="AC45" t="str">
        <f>IF('TRACKER - 20220622'!AF48&lt;&gt;"",UPPER('TRACKER - 20220622'!AF48),"")</f>
        <v>0</v>
      </c>
      <c r="AD45" t="str">
        <f>IF('TRACKER - 20220622'!AG48&lt;&gt;"",UPPER('TRACKER - 20220622'!AG48),"")</f>
        <v>0</v>
      </c>
      <c r="AE45" t="str">
        <f>IF('TRACKER - 20220622'!AH48&lt;&gt;"",UPPER('TRACKER - 20220622'!AH48),"")</f>
        <v>185.4</v>
      </c>
      <c r="AF45" t="str">
        <f>IF('TRACKER - 20220622'!AI48&lt;&gt;"",UPPER('TRACKER - 20220622'!AI48),"")</f>
        <v/>
      </c>
      <c r="AG45" t="str">
        <f>IF('TRACKER - 20220622'!AJ48&lt;&gt;"",UPPER('TRACKER - 20220622'!AJ48),"")</f>
        <v>0.2</v>
      </c>
      <c r="AH45" t="str">
        <f>IF('TRACKER - 20220622'!AK48&lt;&gt;"",UPPER('TRACKER - 20220622'!AK48),"")</f>
        <v>0</v>
      </c>
      <c r="AI45" t="str">
        <f>IF('TRACKER - 20220622'!AL48&lt;&gt;"",UPPER('TRACKER - 20220622'!AL48),"")</f>
        <v>0</v>
      </c>
      <c r="AJ45" t="str">
        <f>IF('TRACKER - 20220622'!AM48&lt;&gt;"",UPPER('TRACKER - 20220622'!AM48),"")</f>
        <v>0</v>
      </c>
      <c r="AK45" t="str">
        <f>IF('TRACKER - 20220622'!AN48&lt;&gt;"",UPPER('TRACKER - 20220622'!AN48),"")</f>
        <v>0</v>
      </c>
      <c r="AL45" t="str">
        <f>IF('TRACKER - 20220622'!AO48&lt;&gt;"",UPPER('TRACKER - 20220622'!AO48),"")</f>
        <v>0</v>
      </c>
      <c r="AM45" t="str">
        <f>IF('TRACKER - 20220622'!AP48&lt;&gt;"",UPPER('TRACKER - 20220622'!AP48),"")</f>
        <v>0</v>
      </c>
      <c r="AN45" t="str">
        <f>IF('TRACKER - 20220622'!AQ48&lt;&gt;"",UPPER('TRACKER - 20220622'!AQ48),"")</f>
        <v>0</v>
      </c>
      <c r="AO45" t="str">
        <f>IF('TRACKER - 20220622'!AR48&lt;&gt;"",UPPER('TRACKER - 20220622'!AR48),"")</f>
        <v>LMR</v>
      </c>
      <c r="AP45" t="str">
        <f>IF('TRACKER - 20220622'!AS48&lt;&gt;"",UPPER('TRACKER - 20220622'!AS48),"")</f>
        <v>RSC</v>
      </c>
      <c r="AQ45" t="str">
        <f>IF('TRACKER - 20220622'!AT48&lt;&gt;"",UPPER('TRACKER - 20220622'!AT48),"")</f>
        <v>Y</v>
      </c>
      <c r="AR45" t="str">
        <f>IF('TRACKER - 20220622'!AU48&lt;&gt;"",UPPER('TRACKER - 20220622'!AU48),"")</f>
        <v>185.4</v>
      </c>
      <c r="AS45" t="str">
        <f>IF('TRACKER - 20220622'!AV48&lt;&gt;"",UPPER('TRACKER - 20220622'!AV48),"")</f>
        <v/>
      </c>
      <c r="AT45" t="str">
        <f>IF('TRACKER - 20220622'!AW48&lt;&gt;"",UPPER('TRACKER - 20220622'!AW48),"")</f>
        <v>DESCR48</v>
      </c>
      <c r="AU45" t="str">
        <f>IF('TRACKER - 20220622'!AX48&lt;&gt;"",UPPER('TRACKER - 20220622'!AX48),"")</f>
        <v>REASON48</v>
      </c>
      <c r="AV45" t="str">
        <f>IF('TRACKER - 20220622'!BD61&lt;&gt;"",'TRACKER - 20220622'!BD61,"")</f>
        <v/>
      </c>
      <c r="AW45" t="str">
        <f>IF('TRACKER - 20220622'!BE61&lt;&gt;"",'TRACKER - 20220622'!BE61,"")</f>
        <v/>
      </c>
      <c r="AX45" t="str">
        <f>IF('TRACKER - 20220622'!BF61&lt;&gt;"",'TRACKER - 20220622'!BF61,"")</f>
        <v/>
      </c>
      <c r="AY45" t="str">
        <f>IF('TRACKER - 20220622'!BG61&lt;&gt;"",'TRACKER - 20220622'!BG61,"")</f>
        <v/>
      </c>
      <c r="AZ45" t="str">
        <f>IF('TRACKER - 20220622'!BH61&lt;&gt;"",'TRACKER - 20220622'!BH61,"")</f>
        <v/>
      </c>
      <c r="BA45" t="str">
        <f>IF('TRACKER - 20220622'!BI61&lt;&gt;"",'TRACKER - 20220622'!BI61,"")</f>
        <v/>
      </c>
      <c r="BB45" t="str">
        <f>IF('TRACKER - 20220622'!BJ61&lt;&gt;"",'TRACKER - 20220622'!BJ61,"")</f>
        <v/>
      </c>
      <c r="BC45" t="str">
        <f>IF('TRACKER - 20220622'!BK61&lt;&gt;"",'TRACKER - 20220622'!BK61,"")</f>
        <v/>
      </c>
      <c r="BD45" t="str">
        <f>IF('TRACKER - 20220622'!BL61&lt;&gt;"",'TRACKER - 20220622'!BL61,"")</f>
        <v/>
      </c>
      <c r="BE45" t="str">
        <f>IF('TRACKER - 20220622'!BM61&lt;&gt;"",'TRACKER - 20220622'!BM61,"")</f>
        <v/>
      </c>
      <c r="BF45" t="str">
        <f>IF('TRACKER - 20220622'!BN61&lt;&gt;"",'TRACKER - 20220622'!BN61,"")</f>
        <v/>
      </c>
      <c r="BG45" t="str">
        <f>IF('TRACKER - 20220622'!BO61&lt;&gt;"",'TRACKER - 20220622'!BO61,"")</f>
        <v/>
      </c>
    </row>
    <row r="46" spans="1:59">
      <c r="A46" t="str">
        <f>IF('TRACKER - 20220622'!A62&lt;&gt;"",UPPER('TRACKER - 20220622'!A62),"")</f>
        <v>PRODUCT BACKLOG</v>
      </c>
      <c r="B46" t="str">
        <f>IF('TRACKER - 20220622'!B62&lt;&gt;"",UPPER('TRACKER - 20220622'!B62),"")</f>
        <v>N</v>
      </c>
      <c r="C46" t="str">
        <f>IF('TRACKER - 20220622'!D49&lt;&gt;"",UPPER('TRACKER - 20220622'!D49),"")</f>
        <v>13.9</v>
      </c>
      <c r="D46" t="str">
        <f>IF('TRACKER - 20220622'!F62&lt;&gt;"",UPPER('TRACKER - 20220622'!F62),"")</f>
        <v>PRD-BLG-2020-00014</v>
      </c>
      <c r="E46" t="str">
        <f>IF('TRACKER - 20220622'!H62&lt;&gt;"",'TRACKER - 20220622'!H62,"")</f>
        <v>eTrader Mid Rate Spot Panel</v>
      </c>
      <c r="F46" t="str">
        <f t="shared" si="0"/>
        <v>PRD-BLG-2020-00014 eTrader Mid Rate Spot Panel</v>
      </c>
      <c r="G46" t="str">
        <f t="shared" si="1"/>
        <v>000014 - eTrader Mid Rate Spot Panel</v>
      </c>
      <c r="H46">
        <f>IF('TRACKER - 20220622'!J62&lt;&gt;"",'TRACKER - 20220622'!J62,"")</f>
        <v>0</v>
      </c>
      <c r="I46" t="str">
        <f>IF('TRACKER - 20220622'!K49&lt;&gt;"",UPPER('TRACKER - 20220622'!K49),"")</f>
        <v>44323</v>
      </c>
      <c r="J46" t="str">
        <f>IF('TRACKER - 20220622'!L49&lt;&gt;"",UPPER('TRACKER - 20220622'!L49),"")</f>
        <v>44306</v>
      </c>
      <c r="K46" t="str">
        <f>IF('TRACKER - 20220622'!M49&lt;&gt;"",UPPER('TRACKER - 20220622'!M49),"")</f>
        <v/>
      </c>
      <c r="L46" t="str">
        <f>IF('TRACKER - 20220622'!N49&lt;&gt;"",UPPER('TRACKER - 20220622'!N49),"")</f>
        <v/>
      </c>
      <c r="M46" t="str">
        <f>IF('TRACKER - 20220622'!O49&lt;&gt;"",UPPER('TRACKER - 20220622'!O49),"")</f>
        <v>44323</v>
      </c>
      <c r="N46" t="str">
        <f>IF('TRACKER - 20220622'!P49&lt;&gt;"",UPPER('TRACKER - 20220622'!P49),"")</f>
        <v>44323</v>
      </c>
      <c r="O46" t="str">
        <f>IF('TRACKER - 20220622'!Q49&lt;&gt;"",UPPER('TRACKER - 20220622'!Q49),"")</f>
        <v>AGREEMENTS</v>
      </c>
      <c r="P46" t="str">
        <f>IF('TRACKER - 20220622'!R49&lt;&gt;"",UPPER('TRACKER - 20220622'!R49),"")</f>
        <v>CLIENT</v>
      </c>
      <c r="Q46" t="str">
        <f>IF('TRACKER - 20220622'!S49&lt;&gt;"",UPPER('TRACKER - 20220622'!S49),"")</f>
        <v/>
      </c>
      <c r="R46" t="str">
        <f>IF('TRACKER - 20220622'!T49&lt;&gt;"",UPPER('TRACKER - 20220622'!T49),"")</f>
        <v/>
      </c>
      <c r="S46" t="str">
        <f>IF('TRACKER - 20220622'!U49&lt;&gt;"",UPPER('TRACKER - 20220622'!U49),"")</f>
        <v/>
      </c>
      <c r="T46" t="str">
        <f>IF('TRACKER - 20220622'!V49&lt;&gt;"",UPPER('TRACKER - 20220622'!V49),"")</f>
        <v/>
      </c>
      <c r="U46" t="str">
        <f>IF('TRACKER - 20220622'!W49&lt;&gt;"",UPPER('TRACKER - 20220622'!W49),"")</f>
        <v/>
      </c>
      <c r="V46" t="str">
        <f>IF('TRACKER - 20220622'!X49&lt;&gt;"",UPPER('TRACKER - 20220622'!X49),"")</f>
        <v xml:space="preserve">07/05/21 [EBC] APPROVED BY PAUL BRYSON FOR ESTIMATES TO SENT.
04/05/21 [EBC] SOLUTION AGREED
26/04/21 [EBC] CALL WITH LMR - ESTIMATE KNOWN, RSC TO CREATE
20/04/21 [EBC] LMR APPROVED CREATION OF RSC FOR ITEMS MARKED OK IN AM OUTSTANDING ISSUE/BREAKDOWN TAB. FINAL COMMERCIALS AND REVISED PLAN FOR END OF APRIL </v>
      </c>
      <c r="W46" t="str">
        <f>IF('TRACKER - 20220622'!Y49&lt;&gt;"",UPPER('TRACKER - 20220622'!Y49),"")</f>
        <v>0</v>
      </c>
      <c r="X46" t="str">
        <f>IF('TRACKER - 20220622'!Z49&lt;&gt;"",UPPER('TRACKER - 20220622'!Z49),"")</f>
        <v>0</v>
      </c>
      <c r="Y46" t="str">
        <f>IF('TRACKER - 20220622'!AA49&lt;&gt;"",UPPER('TRACKER - 20220622'!AA49),"")</f>
        <v>0</v>
      </c>
      <c r="Z46" t="str">
        <f>IF('TRACKER - 20220622'!AB49&lt;&gt;"",UPPER('TRACKER - 20220622'!AB49),"")</f>
        <v>0</v>
      </c>
      <c r="AA46" t="str">
        <f>IF('TRACKER - 20220622'!AC49&lt;&gt;"",UPPER('TRACKER - 20220622'!AC49),"")</f>
        <v>0</v>
      </c>
      <c r="AB46" t="str">
        <f>IF('TRACKER - 20220622'!AE49&lt;&gt;"",UPPER('TRACKER - 20220622'!AE49),"")</f>
        <v>0</v>
      </c>
      <c r="AC46" t="str">
        <f>IF('TRACKER - 20220622'!AF49&lt;&gt;"",UPPER('TRACKER - 20220622'!AF49),"")</f>
        <v>0</v>
      </c>
      <c r="AD46" t="str">
        <f>IF('TRACKER - 20220622'!AG49&lt;&gt;"",UPPER('TRACKER - 20220622'!AG49),"")</f>
        <v>0</v>
      </c>
      <c r="AE46" t="str">
        <f>IF('TRACKER - 20220622'!AH49&lt;&gt;"",UPPER('TRACKER - 20220622'!AH49),"")</f>
        <v>185.4</v>
      </c>
      <c r="AF46" t="str">
        <f>IF('TRACKER - 20220622'!AI49&lt;&gt;"",UPPER('TRACKER - 20220622'!AI49),"")</f>
        <v/>
      </c>
      <c r="AG46" t="str">
        <f>IF('TRACKER - 20220622'!AJ49&lt;&gt;"",UPPER('TRACKER - 20220622'!AJ49),"")</f>
        <v>0.2</v>
      </c>
      <c r="AH46" t="str">
        <f>IF('TRACKER - 20220622'!AK49&lt;&gt;"",UPPER('TRACKER - 20220622'!AK49),"")</f>
        <v>0</v>
      </c>
      <c r="AI46" t="str">
        <f>IF('TRACKER - 20220622'!AL49&lt;&gt;"",UPPER('TRACKER - 20220622'!AL49),"")</f>
        <v>0</v>
      </c>
      <c r="AJ46" t="str">
        <f>IF('TRACKER - 20220622'!AM49&lt;&gt;"",UPPER('TRACKER - 20220622'!AM49),"")</f>
        <v>0</v>
      </c>
      <c r="AK46" t="str">
        <f>IF('TRACKER - 20220622'!AN49&lt;&gt;"",UPPER('TRACKER - 20220622'!AN49),"")</f>
        <v>0</v>
      </c>
      <c r="AL46" t="str">
        <f>IF('TRACKER - 20220622'!AO49&lt;&gt;"",UPPER('TRACKER - 20220622'!AO49),"")</f>
        <v>0</v>
      </c>
      <c r="AM46" t="str">
        <f>IF('TRACKER - 20220622'!AP49&lt;&gt;"",UPPER('TRACKER - 20220622'!AP49),"")</f>
        <v>0</v>
      </c>
      <c r="AN46" t="str">
        <f>IF('TRACKER - 20220622'!AQ49&lt;&gt;"",UPPER('TRACKER - 20220622'!AQ49),"")</f>
        <v>0</v>
      </c>
      <c r="AO46" t="str">
        <f>IF('TRACKER - 20220622'!AR49&lt;&gt;"",UPPER('TRACKER - 20220622'!AR49),"")</f>
        <v>LMR</v>
      </c>
      <c r="AP46" t="str">
        <f>IF('TRACKER - 20220622'!AS49&lt;&gt;"",UPPER('TRACKER - 20220622'!AS49),"")</f>
        <v>RSC</v>
      </c>
      <c r="AQ46" t="str">
        <f>IF('TRACKER - 20220622'!AT49&lt;&gt;"",UPPER('TRACKER - 20220622'!AT49),"")</f>
        <v>Y</v>
      </c>
      <c r="AR46" t="str">
        <f>IF('TRACKER - 20220622'!AU49&lt;&gt;"",UPPER('TRACKER - 20220622'!AU49),"")</f>
        <v>185.4</v>
      </c>
      <c r="AS46" t="str">
        <f>IF('TRACKER - 20220622'!AV49&lt;&gt;"",UPPER('TRACKER - 20220622'!AV49),"")</f>
        <v/>
      </c>
      <c r="AT46" t="str">
        <f>IF('TRACKER - 20220622'!AW49&lt;&gt;"",UPPER('TRACKER - 20220622'!AW49),"")</f>
        <v>DESCR49</v>
      </c>
      <c r="AU46" t="str">
        <f>IF('TRACKER - 20220622'!AX49&lt;&gt;"",UPPER('TRACKER - 20220622'!AX49),"")</f>
        <v>REASON49</v>
      </c>
      <c r="AV46" t="str">
        <f>IF('TRACKER - 20220622'!BD62&lt;&gt;"",'TRACKER - 20220622'!BD62,"")</f>
        <v/>
      </c>
      <c r="AW46" t="str">
        <f>IF('TRACKER - 20220622'!BE62&lt;&gt;"",'TRACKER - 20220622'!BE62,"")</f>
        <v/>
      </c>
      <c r="AX46" t="str">
        <f>IF('TRACKER - 20220622'!BF62&lt;&gt;"",'TRACKER - 20220622'!BF62,"")</f>
        <v/>
      </c>
      <c r="AY46" t="str">
        <f>IF('TRACKER - 20220622'!BG62&lt;&gt;"",'TRACKER - 20220622'!BG62,"")</f>
        <v/>
      </c>
      <c r="AZ46" t="str">
        <f>IF('TRACKER - 20220622'!BH62&lt;&gt;"",'TRACKER - 20220622'!BH62,"")</f>
        <v/>
      </c>
      <c r="BA46" t="str">
        <f>IF('TRACKER - 20220622'!BI62&lt;&gt;"",'TRACKER - 20220622'!BI62,"")</f>
        <v/>
      </c>
      <c r="BB46" t="str">
        <f>IF('TRACKER - 20220622'!BJ62&lt;&gt;"",'TRACKER - 20220622'!BJ62,"")</f>
        <v/>
      </c>
      <c r="BC46" t="str">
        <f>IF('TRACKER - 20220622'!BK62&lt;&gt;"",'TRACKER - 20220622'!BK62,"")</f>
        <v/>
      </c>
      <c r="BD46" t="str">
        <f>IF('TRACKER - 20220622'!BL62&lt;&gt;"",'TRACKER - 20220622'!BL62,"")</f>
        <v/>
      </c>
      <c r="BE46" t="str">
        <f>IF('TRACKER - 20220622'!BM62&lt;&gt;"",'TRACKER - 20220622'!BM62,"")</f>
        <v/>
      </c>
      <c r="BF46" t="str">
        <f>IF('TRACKER - 20220622'!BN62&lt;&gt;"",'TRACKER - 20220622'!BN62,"")</f>
        <v/>
      </c>
      <c r="BG46" t="str">
        <f>IF('TRACKER - 20220622'!BO62&lt;&gt;"",'TRACKER - 20220622'!BO62,"")</f>
        <v/>
      </c>
    </row>
    <row r="47" spans="1:59">
      <c r="A47" t="str">
        <f>IF('TRACKER - 20220622'!A63&lt;&gt;"",UPPER('TRACKER - 20220622'!A63),"")</f>
        <v>PRODUCT BACKLOG</v>
      </c>
      <c r="B47" t="str">
        <f>IF('TRACKER - 20220622'!B63&lt;&gt;"",UPPER('TRACKER - 20220622'!B63),"")</f>
        <v>N</v>
      </c>
      <c r="C47" t="str">
        <f>IF('TRACKER - 20220622'!D50&lt;&gt;"",UPPER('TRACKER - 20220622'!D50),"")</f>
        <v>14</v>
      </c>
      <c r="D47" t="str">
        <f>IF('TRACKER - 20220622'!F63&lt;&gt;"",UPPER('TRACKER - 20220622'!F63),"")</f>
        <v>PRD-BLG-2020-00002</v>
      </c>
      <c r="E47" t="str">
        <f>IF('TRACKER - 20220622'!H63&lt;&gt;"",'TRACKER - 20220622'!H63,"")</f>
        <v>Intraday liquidity</v>
      </c>
      <c r="F47" t="str">
        <f t="shared" si="0"/>
        <v>PRD-BLG-2020-00002 Intraday liquidity</v>
      </c>
      <c r="G47" t="str">
        <f t="shared" si="1"/>
        <v>100014 - Intraday liquidity</v>
      </c>
      <c r="H47">
        <f>IF('TRACKER - 20220622'!J63&lt;&gt;"",'TRACKER - 20220622'!J63,"")</f>
        <v>0</v>
      </c>
      <c r="I47" t="str">
        <f>IF('TRACKER - 20220622'!K50&lt;&gt;"",UPPER('TRACKER - 20220622'!K50),"")</f>
        <v>44334</v>
      </c>
      <c r="J47" t="str">
        <f>IF('TRACKER - 20220622'!L50&lt;&gt;"",UPPER('TRACKER - 20220622'!L50),"")</f>
        <v>44324</v>
      </c>
      <c r="K47" t="str">
        <f>IF('TRACKER - 20220622'!M50&lt;&gt;"",UPPER('TRACKER - 20220622'!M50),"")</f>
        <v>44326</v>
      </c>
      <c r="L47" t="str">
        <f>IF('TRACKER - 20220622'!N50&lt;&gt;"",UPPER('TRACKER - 20220622'!N50),"")</f>
        <v>44327</v>
      </c>
      <c r="M47" t="str">
        <f>IF('TRACKER - 20220622'!O50&lt;&gt;"",UPPER('TRACKER - 20220622'!O50),"")</f>
        <v/>
      </c>
      <c r="N47" t="str">
        <f>IF('TRACKER - 20220622'!P50&lt;&gt;"",UPPER('TRACKER - 20220622'!P50),"")</f>
        <v>44334</v>
      </c>
      <c r="O47" t="str">
        <f>IF('TRACKER - 20220622'!Q50&lt;&gt;"",UPPER('TRACKER - 20220622'!Q50),"")</f>
        <v>PLATFORM</v>
      </c>
      <c r="P47" t="str">
        <f>IF('TRACKER - 20220622'!R50&lt;&gt;"",UPPER('TRACKER - 20220622'!R50),"")</f>
        <v>CLIENT</v>
      </c>
      <c r="Q47" t="str">
        <f>IF('TRACKER - 20220622'!S50&lt;&gt;"",UPPER('TRACKER - 20220622'!S50),"")</f>
        <v/>
      </c>
      <c r="R47" t="str">
        <f>IF('TRACKER - 20220622'!T50&lt;&gt;"",UPPER('TRACKER - 20220622'!T50),"")</f>
        <v/>
      </c>
      <c r="S47" t="str">
        <f>IF('TRACKER - 20220622'!U50&lt;&gt;"",UPPER('TRACKER - 20220622'!U50),"")</f>
        <v/>
      </c>
      <c r="T47" t="str">
        <f>IF('TRACKER - 20220622'!V50&lt;&gt;"",UPPER('TRACKER - 20220622'!V50),"")</f>
        <v/>
      </c>
      <c r="U47" t="str">
        <f>IF('TRACKER - 20220622'!W50&lt;&gt;"",UPPER('TRACKER - 20220622'!W50),"")</f>
        <v/>
      </c>
      <c r="V47" t="str">
        <f>IF('TRACKER - 20220622'!X50&lt;&gt;"",UPPER('TRACKER - 20220622'!X50),"")</f>
        <v>0805/21 [EBC] REVIEWED INTERNALLY AND ESTIMATED. PASSED FOR REVIEW BY PRODUCT</v>
      </c>
      <c r="W47" t="str">
        <f>IF('TRACKER - 20220622'!Y50&lt;&gt;"",UPPER('TRACKER - 20220622'!Y50),"")</f>
        <v>8343</v>
      </c>
      <c r="X47" t="str">
        <f>IF('TRACKER - 20220622'!Z50&lt;&gt;"",UPPER('TRACKER - 20220622'!Z50),"")</f>
        <v>0</v>
      </c>
      <c r="Y47" t="str">
        <f>IF('TRACKER - 20220622'!AA50&lt;&gt;"",UPPER('TRACKER - 20220622'!AA50),"")</f>
        <v>5562</v>
      </c>
      <c r="Z47" t="str">
        <f>IF('TRACKER - 20220622'!AB50&lt;&gt;"",UPPER('TRACKER - 20220622'!AB50),"")</f>
        <v>1390.5</v>
      </c>
      <c r="AA47" t="str">
        <f>IF('TRACKER - 20220622'!AC50&lt;&gt;"",UPPER('TRACKER - 20220622'!AC50),"")</f>
        <v>1390.5</v>
      </c>
      <c r="AB47" t="str">
        <f>IF('TRACKER - 20220622'!AE50&lt;&gt;"",UPPER('TRACKER - 20220622'!AE50),"")</f>
        <v>0</v>
      </c>
      <c r="AC47" t="str">
        <f>IF('TRACKER - 20220622'!AF50&lt;&gt;"",UPPER('TRACKER - 20220622'!AF50),"")</f>
        <v>8343</v>
      </c>
      <c r="AD47" t="str">
        <f>IF('TRACKER - 20220622'!AG50&lt;&gt;"",UPPER('TRACKER - 20220622'!AG50),"")</f>
        <v>0</v>
      </c>
      <c r="AE47" t="str">
        <f>IF('TRACKER - 20220622'!AH50&lt;&gt;"",UPPER('TRACKER - 20220622'!AH50),"")</f>
        <v>185.4</v>
      </c>
      <c r="AF47" t="str">
        <f>IF('TRACKER - 20220622'!AI50&lt;&gt;"",UPPER('TRACKER - 20220622'!AI50),"")</f>
        <v/>
      </c>
      <c r="AG47" t="str">
        <f>IF('TRACKER - 20220622'!AJ50&lt;&gt;"",UPPER('TRACKER - 20220622'!AJ50),"")</f>
        <v>0.2</v>
      </c>
      <c r="AH47" t="str">
        <f>IF('TRACKER - 20220622'!AK50&lt;&gt;"",UPPER('TRACKER - 20220622'!AK50),"")</f>
        <v/>
      </c>
      <c r="AI47" t="str">
        <f>IF('TRACKER - 20220622'!AL50&lt;&gt;"",UPPER('TRACKER - 20220622'!AL50),"")</f>
        <v>4</v>
      </c>
      <c r="AJ47" t="str">
        <f>IF('TRACKER - 20220622'!AM50&lt;&gt;"",UPPER('TRACKER - 20220622'!AM50),"")</f>
        <v>1</v>
      </c>
      <c r="AK47" t="str">
        <f>IF('TRACKER - 20220622'!AN50&lt;&gt;"",UPPER('TRACKER - 20220622'!AN50),"")</f>
        <v>1</v>
      </c>
      <c r="AL47" t="str">
        <f>IF('TRACKER - 20220622'!AO50&lt;&gt;"",UPPER('TRACKER - 20220622'!AO50),"")</f>
        <v>0</v>
      </c>
      <c r="AM47" t="str">
        <f>IF('TRACKER - 20220622'!AP50&lt;&gt;"",UPPER('TRACKER - 20220622'!AP50),"")</f>
        <v>6</v>
      </c>
      <c r="AN47" t="str">
        <f>IF('TRACKER - 20220622'!AQ50&lt;&gt;"",UPPER('TRACKER - 20220622'!AQ50),"")</f>
        <v>0</v>
      </c>
      <c r="AO47" t="str">
        <f>IF('TRACKER - 20220622'!AR50&lt;&gt;"",UPPER('TRACKER - 20220622'!AR50),"")</f>
        <v>LMR</v>
      </c>
      <c r="AP47" t="str">
        <f>IF('TRACKER - 20220622'!AS50&lt;&gt;"",UPPER('TRACKER - 20220622'!AS50),"")</f>
        <v>RSC</v>
      </c>
      <c r="AQ47" t="str">
        <f>IF('TRACKER - 20220622'!AT50&lt;&gt;"",UPPER('TRACKER - 20220622'!AT50),"")</f>
        <v>Y</v>
      </c>
      <c r="AR47" t="str">
        <f>IF('TRACKER - 20220622'!AU50&lt;&gt;"",UPPER('TRACKER - 20220622'!AU50),"")</f>
        <v>185.4</v>
      </c>
      <c r="AS47" t="str">
        <f>IF('TRACKER - 20220622'!AV50&lt;&gt;"",UPPER('TRACKER - 20220622'!AV50),"")</f>
        <v/>
      </c>
      <c r="AT47" t="str">
        <f>IF('TRACKER - 20220622'!AW50&lt;&gt;"",UPPER('TRACKER - 20220622'!AW50),"")</f>
        <v>DESCR50</v>
      </c>
      <c r="AU47" t="str">
        <f>IF('TRACKER - 20220622'!AX50&lt;&gt;"",UPPER('TRACKER - 20220622'!AX50),"")</f>
        <v>REASON50</v>
      </c>
      <c r="AV47" t="str">
        <f>IF('TRACKER - 20220622'!BD63&lt;&gt;"",'TRACKER - 20220622'!BD63,"")</f>
        <v/>
      </c>
      <c r="AW47" t="str">
        <f>IF('TRACKER - 20220622'!BE63&lt;&gt;"",'TRACKER - 20220622'!BE63,"")</f>
        <v/>
      </c>
      <c r="AX47" t="str">
        <f>IF('TRACKER - 20220622'!BF63&lt;&gt;"",'TRACKER - 20220622'!BF63,"")</f>
        <v/>
      </c>
      <c r="AY47" t="str">
        <f>IF('TRACKER - 20220622'!BG63&lt;&gt;"",'TRACKER - 20220622'!BG63,"")</f>
        <v/>
      </c>
      <c r="AZ47" t="str">
        <f>IF('TRACKER - 20220622'!BH63&lt;&gt;"",'TRACKER - 20220622'!BH63,"")</f>
        <v/>
      </c>
      <c r="BA47" t="str">
        <f>IF('TRACKER - 20220622'!BI63&lt;&gt;"",'TRACKER - 20220622'!BI63,"")</f>
        <v/>
      </c>
      <c r="BB47" t="str">
        <f>IF('TRACKER - 20220622'!BJ63&lt;&gt;"",'TRACKER - 20220622'!BJ63,"")</f>
        <v/>
      </c>
      <c r="BC47" t="str">
        <f>IF('TRACKER - 20220622'!BK63&lt;&gt;"",'TRACKER - 20220622'!BK63,"")</f>
        <v/>
      </c>
      <c r="BD47" t="str">
        <f>IF('TRACKER - 20220622'!BL63&lt;&gt;"",'TRACKER - 20220622'!BL63,"")</f>
        <v/>
      </c>
      <c r="BE47" t="str">
        <f>IF('TRACKER - 20220622'!BM63&lt;&gt;"",'TRACKER - 20220622'!BM63,"")</f>
        <v/>
      </c>
      <c r="BF47" t="str">
        <f>IF('TRACKER - 20220622'!BN63&lt;&gt;"",'TRACKER - 20220622'!BN63,"")</f>
        <v/>
      </c>
      <c r="BG47" t="str">
        <f>IF('TRACKER - 20220622'!BO63&lt;&gt;"",'TRACKER - 20220622'!BO63,"")</f>
        <v/>
      </c>
    </row>
    <row r="48" spans="1:59">
      <c r="A48" t="str">
        <f>IF('TRACKER - 20220622'!A64&lt;&gt;"",UPPER('TRACKER - 20220622'!A64),"")</f>
        <v>PRODUCT ROADMAP</v>
      </c>
      <c r="B48" t="str">
        <f>IF('TRACKER - 20220622'!B64&lt;&gt;"",UPPER('TRACKER - 20220622'!B64),"")</f>
        <v>N</v>
      </c>
      <c r="C48" t="str">
        <f>IF('TRACKER - 20220622'!D51&lt;&gt;"",UPPER('TRACKER - 20220622'!D51),"")</f>
        <v>13.1</v>
      </c>
      <c r="D48" t="str">
        <f>IF('TRACKER - 20220622'!F64&lt;&gt;"",UPPER('TRACKER - 20220622'!F64),"")</f>
        <v>PRD-REQ-2020-00000</v>
      </c>
      <c r="E48" t="str">
        <f>IF('TRACKER - 20220622'!H64&lt;&gt;"",'TRACKER - 20220622'!H64,"")</f>
        <v>Online / Freely available documentation</v>
      </c>
      <c r="F48" t="str">
        <f t="shared" si="0"/>
        <v>PRD-REQ-2020-00000 Online / Freely available documentation</v>
      </c>
      <c r="G48" t="str">
        <f t="shared" si="1"/>
        <v>000013 - Online / Freely available documentation</v>
      </c>
      <c r="H48">
        <f>IF('TRACKER - 20220622'!J64&lt;&gt;"",'TRACKER - 20220622'!J64,"")</f>
        <v>0</v>
      </c>
      <c r="I48" t="str">
        <f>IF('TRACKER - 20220622'!K51&lt;&gt;"",UPPER('TRACKER - 20220622'!K51),"")</f>
        <v>44323</v>
      </c>
      <c r="J48" t="str">
        <f>IF('TRACKER - 20220622'!L51&lt;&gt;"",UPPER('TRACKER - 20220622'!L51),"")</f>
        <v>44306</v>
      </c>
      <c r="K48" t="str">
        <f>IF('TRACKER - 20220622'!M51&lt;&gt;"",UPPER('TRACKER - 20220622'!M51),"")</f>
        <v/>
      </c>
      <c r="L48" t="str">
        <f>IF('TRACKER - 20220622'!N51&lt;&gt;"",UPPER('TRACKER - 20220622'!N51),"")</f>
        <v/>
      </c>
      <c r="M48" t="str">
        <f>IF('TRACKER - 20220622'!O51&lt;&gt;"",UPPER('TRACKER - 20220622'!O51),"")</f>
        <v>44323</v>
      </c>
      <c r="N48" t="str">
        <f>IF('TRACKER - 20220622'!P51&lt;&gt;"",UPPER('TRACKER - 20220622'!P51),"")</f>
        <v>44323</v>
      </c>
      <c r="O48" t="str">
        <f>IF('TRACKER - 20220622'!Q51&lt;&gt;"",UPPER('TRACKER - 20220622'!Q51),"")</f>
        <v>N/A</v>
      </c>
      <c r="P48" t="str">
        <f>IF('TRACKER - 20220622'!R51&lt;&gt;"",UPPER('TRACKER - 20220622'!R51),"")</f>
        <v>CLIENT</v>
      </c>
      <c r="Q48" t="str">
        <f>IF('TRACKER - 20220622'!S51&lt;&gt;"",UPPER('TRACKER - 20220622'!S51),"")</f>
        <v/>
      </c>
      <c r="R48" t="str">
        <f>IF('TRACKER - 20220622'!T51&lt;&gt;"",UPPER('TRACKER - 20220622'!T51),"")</f>
        <v/>
      </c>
      <c r="S48" t="str">
        <f>IF('TRACKER - 20220622'!U51&lt;&gt;"",UPPER('TRACKER - 20220622'!U51),"")</f>
        <v/>
      </c>
      <c r="T48" t="str">
        <f>IF('TRACKER - 20220622'!V51&lt;&gt;"",UPPER('TRACKER - 20220622'!V51),"")</f>
        <v/>
      </c>
      <c r="U48" t="str">
        <f>IF('TRACKER - 20220622'!W51&lt;&gt;"",UPPER('TRACKER - 20220622'!W51),"")</f>
        <v/>
      </c>
      <c r="V48" t="str">
        <f>IF('TRACKER - 20220622'!X51&lt;&gt;"",UPPER('TRACKER - 20220622'!X51),"")</f>
        <v xml:space="preserve">07/05/21 [EBC] APPROVED BY PAUL BRYSON FOR ESTIMATES TO SENT.
04/05/21 [EBC] SOLUTION AGREED
26/04/21 [EBC] CALL WITH LMR - ESTIMATE KNOWN, RSC TO CREATE
20/04/21 [EBC] LMR APPROVED CREATION OF RSC FOR ITEMS MARKED OK IN AM OUTSTANDING ISSUE/BREAKDOWN TAB. FINAL COMMERCIALS AND REVISED PLAN FOR END OF APRIL </v>
      </c>
      <c r="W48" t="str">
        <f>IF('TRACKER - 20220622'!Y51&lt;&gt;"",UPPER('TRACKER - 20220622'!Y51),"")</f>
        <v>0</v>
      </c>
      <c r="X48" t="str">
        <f>IF('TRACKER - 20220622'!Z51&lt;&gt;"",UPPER('TRACKER - 20220622'!Z51),"")</f>
        <v>0</v>
      </c>
      <c r="Y48" t="str">
        <f>IF('TRACKER - 20220622'!AA51&lt;&gt;"",UPPER('TRACKER - 20220622'!AA51),"")</f>
        <v>0</v>
      </c>
      <c r="Z48" t="str">
        <f>IF('TRACKER - 20220622'!AB51&lt;&gt;"",UPPER('TRACKER - 20220622'!AB51),"")</f>
        <v>0</v>
      </c>
      <c r="AA48" t="str">
        <f>IF('TRACKER - 20220622'!AC51&lt;&gt;"",UPPER('TRACKER - 20220622'!AC51),"")</f>
        <v>0</v>
      </c>
      <c r="AB48" t="str">
        <f>IF('TRACKER - 20220622'!AE51&lt;&gt;"",UPPER('TRACKER - 20220622'!AE51),"")</f>
        <v>0</v>
      </c>
      <c r="AC48" t="str">
        <f>IF('TRACKER - 20220622'!AF51&lt;&gt;"",UPPER('TRACKER - 20220622'!AF51),"")</f>
        <v>0</v>
      </c>
      <c r="AD48" t="str">
        <f>IF('TRACKER - 20220622'!AG51&lt;&gt;"",UPPER('TRACKER - 20220622'!AG51),"")</f>
        <v>0</v>
      </c>
      <c r="AE48" t="str">
        <f>IF('TRACKER - 20220622'!AH51&lt;&gt;"",UPPER('TRACKER - 20220622'!AH51),"")</f>
        <v>185.4</v>
      </c>
      <c r="AF48" t="str">
        <f>IF('TRACKER - 20220622'!AI51&lt;&gt;"",UPPER('TRACKER - 20220622'!AI51),"")</f>
        <v/>
      </c>
      <c r="AG48" t="str">
        <f>IF('TRACKER - 20220622'!AJ51&lt;&gt;"",UPPER('TRACKER - 20220622'!AJ51),"")</f>
        <v>0.2</v>
      </c>
      <c r="AH48" t="str">
        <f>IF('TRACKER - 20220622'!AK51&lt;&gt;"",UPPER('TRACKER - 20220622'!AK51),"")</f>
        <v>0</v>
      </c>
      <c r="AI48" t="str">
        <f>IF('TRACKER - 20220622'!AL51&lt;&gt;"",UPPER('TRACKER - 20220622'!AL51),"")</f>
        <v>0</v>
      </c>
      <c r="AJ48" t="str">
        <f>IF('TRACKER - 20220622'!AM51&lt;&gt;"",UPPER('TRACKER - 20220622'!AM51),"")</f>
        <v>0</v>
      </c>
      <c r="AK48" t="str">
        <f>IF('TRACKER - 20220622'!AN51&lt;&gt;"",UPPER('TRACKER - 20220622'!AN51),"")</f>
        <v>0</v>
      </c>
      <c r="AL48" t="str">
        <f>IF('TRACKER - 20220622'!AO51&lt;&gt;"",UPPER('TRACKER - 20220622'!AO51),"")</f>
        <v>0</v>
      </c>
      <c r="AM48" t="str">
        <f>IF('TRACKER - 20220622'!AP51&lt;&gt;"",UPPER('TRACKER - 20220622'!AP51),"")</f>
        <v>0</v>
      </c>
      <c r="AN48" t="str">
        <f>IF('TRACKER - 20220622'!AQ51&lt;&gt;"",UPPER('TRACKER - 20220622'!AQ51),"")</f>
        <v>0</v>
      </c>
      <c r="AO48" t="str">
        <f>IF('TRACKER - 20220622'!AR51&lt;&gt;"",UPPER('TRACKER - 20220622'!AR51),"")</f>
        <v>LMR</v>
      </c>
      <c r="AP48" t="str">
        <f>IF('TRACKER - 20220622'!AS51&lt;&gt;"",UPPER('TRACKER - 20220622'!AS51),"")</f>
        <v>RSC</v>
      </c>
      <c r="AQ48" t="str">
        <f>IF('TRACKER - 20220622'!AT51&lt;&gt;"",UPPER('TRACKER - 20220622'!AT51),"")</f>
        <v>Y</v>
      </c>
      <c r="AR48" t="str">
        <f>IF('TRACKER - 20220622'!AU51&lt;&gt;"",UPPER('TRACKER - 20220622'!AU51),"")</f>
        <v>185.4</v>
      </c>
      <c r="AS48" t="str">
        <f>IF('TRACKER - 20220622'!AV51&lt;&gt;"",UPPER('TRACKER - 20220622'!AV51),"")</f>
        <v/>
      </c>
      <c r="AT48" t="str">
        <f>IF('TRACKER - 20220622'!AW51&lt;&gt;"",UPPER('TRACKER - 20220622'!AW51),"")</f>
        <v>DESCR51</v>
      </c>
      <c r="AU48" t="str">
        <f>IF('TRACKER - 20220622'!AX51&lt;&gt;"",UPPER('TRACKER - 20220622'!AX51),"")</f>
        <v>REASON51</v>
      </c>
      <c r="AV48" t="str">
        <f>IF('TRACKER - 20220622'!BD64&lt;&gt;"",'TRACKER - 20220622'!BD64,"")</f>
        <v/>
      </c>
      <c r="AW48" t="str">
        <f>IF('TRACKER - 20220622'!BE64&lt;&gt;"",'TRACKER - 20220622'!BE64,"")</f>
        <v/>
      </c>
      <c r="AX48" t="str">
        <f>IF('TRACKER - 20220622'!BF64&lt;&gt;"",'TRACKER - 20220622'!BF64,"")</f>
        <v/>
      </c>
      <c r="AY48" t="str">
        <f>IF('TRACKER - 20220622'!BG64&lt;&gt;"",'TRACKER - 20220622'!BG64,"")</f>
        <v/>
      </c>
      <c r="AZ48" t="str">
        <f>IF('TRACKER - 20220622'!BH64&lt;&gt;"",'TRACKER - 20220622'!BH64,"")</f>
        <v/>
      </c>
      <c r="BA48" t="str">
        <f>IF('TRACKER - 20220622'!BI64&lt;&gt;"",'TRACKER - 20220622'!BI64,"")</f>
        <v/>
      </c>
      <c r="BB48" t="str">
        <f>IF('TRACKER - 20220622'!BJ64&lt;&gt;"",'TRACKER - 20220622'!BJ64,"")</f>
        <v/>
      </c>
      <c r="BC48" t="str">
        <f>IF('TRACKER - 20220622'!BK64&lt;&gt;"",'TRACKER - 20220622'!BK64,"")</f>
        <v/>
      </c>
      <c r="BD48" t="str">
        <f>IF('TRACKER - 20220622'!BL64&lt;&gt;"",'TRACKER - 20220622'!BL64,"")</f>
        <v/>
      </c>
      <c r="BE48" t="str">
        <f>IF('TRACKER - 20220622'!BM64&lt;&gt;"",'TRACKER - 20220622'!BM64,"")</f>
        <v/>
      </c>
      <c r="BF48" t="str">
        <f>IF('TRACKER - 20220622'!BN64&lt;&gt;"",'TRACKER - 20220622'!BN64,"")</f>
        <v/>
      </c>
      <c r="BG48" t="str">
        <f>IF('TRACKER - 20220622'!BO64&lt;&gt;"",'TRACKER - 20220622'!BO64,"")</f>
        <v/>
      </c>
    </row>
    <row r="49" spans="1:59">
      <c r="A49" t="str">
        <f>IF('TRACKER - 20220622'!A65&lt;&gt;"",UPPER('TRACKER - 20220622'!A65),"")</f>
        <v>PRODUCT BACKLOG</v>
      </c>
      <c r="B49" t="str">
        <f>IF('TRACKER - 20220622'!B65&lt;&gt;"",UPPER('TRACKER - 20220622'!B65),"")</f>
        <v>N</v>
      </c>
      <c r="C49" t="str">
        <f>IF('TRACKER - 20220622'!D52&lt;&gt;"",UPPER('TRACKER - 20220622'!D52),"")</f>
        <v>3</v>
      </c>
      <c r="D49" t="str">
        <f>IF('TRACKER - 20220622'!F65&lt;&gt;"",UPPER('TRACKER - 20220622'!F65),"")</f>
        <v>PRD-BLG-2020-00000</v>
      </c>
      <c r="E49" t="str">
        <f>IF('TRACKER - 20220622'!H65&lt;&gt;"",'TRACKER - 20220622'!H65,"")</f>
        <v>Equities - Trading Only</v>
      </c>
      <c r="F49" t="str">
        <f t="shared" si="0"/>
        <v>PRD-BLG-2020-00000 Equities - Trading Only</v>
      </c>
      <c r="G49" t="str">
        <f t="shared" si="1"/>
        <v>00003 - Equities - Trading Only</v>
      </c>
      <c r="H49">
        <f>IF('TRACKER - 20220622'!J65&lt;&gt;"",'TRACKER - 20220622'!J65,"")</f>
        <v>0</v>
      </c>
      <c r="I49" t="str">
        <f>IF('TRACKER - 20220622'!K52&lt;&gt;"",UPPER('TRACKER - 20220622'!K52),"")</f>
        <v>44104</v>
      </c>
      <c r="J49" t="str">
        <f>IF('TRACKER - 20220622'!L52&lt;&gt;"",UPPER('TRACKER - 20220622'!L52),"")</f>
        <v>44055</v>
      </c>
      <c r="K49" t="str">
        <f>IF('TRACKER - 20220622'!M52&lt;&gt;"",UPPER('TRACKER - 20220622'!M52),"")</f>
        <v>44103</v>
      </c>
      <c r="L49" t="str">
        <f>IF('TRACKER - 20220622'!N52&lt;&gt;"",UPPER('TRACKER - 20220622'!N52),"")</f>
        <v>44104</v>
      </c>
      <c r="M49" t="str">
        <f>IF('TRACKER - 20220622'!O52&lt;&gt;"",UPPER('TRACKER - 20220622'!O52),"")</f>
        <v>44104</v>
      </c>
      <c r="N49" t="str">
        <f>IF('TRACKER - 20220622'!P52&lt;&gt;"",UPPER('TRACKER - 20220622'!P52),"")</f>
        <v>44104</v>
      </c>
      <c r="O49" t="str">
        <f>IF('TRACKER - 20220622'!Q52&lt;&gt;"",UPPER('TRACKER - 20220622'!Q52),"")</f>
        <v>PLATFORM</v>
      </c>
      <c r="P49" t="str">
        <f>IF('TRACKER - 20220622'!R52&lt;&gt;"",UPPER('TRACKER - 20220622'!R52),"")</f>
        <v>CLIENT</v>
      </c>
      <c r="Q49" t="str">
        <f>IF('TRACKER - 20220622'!S52&lt;&gt;"",UPPER('TRACKER - 20220622'!S52),"")</f>
        <v/>
      </c>
      <c r="R49" t="str">
        <f>IF('TRACKER - 20220622'!T52&lt;&gt;"",UPPER('TRACKER - 20220622'!T52),"")</f>
        <v/>
      </c>
      <c r="S49" t="str">
        <f>IF('TRACKER - 20220622'!U52&lt;&gt;"",UPPER('TRACKER - 20220622'!U52),"")</f>
        <v/>
      </c>
      <c r="T49" t="str">
        <f>IF('TRACKER - 20220622'!V52&lt;&gt;"",UPPER('TRACKER - 20220622'!V52),"")</f>
        <v/>
      </c>
      <c r="U49" t="str">
        <f>IF('TRACKER - 20220622'!W52&lt;&gt;"",UPPER('TRACKER - 20220622'!W52),"")</f>
        <v/>
      </c>
      <c r="V49" t="str">
        <f>IF('TRACKER - 20220622'!X52&lt;&gt;"",UPPER('TRACKER - 20220622'!X52),"")</f>
        <v xml:space="preserve">21/10/20 N26 ARE CONCERNED ABOUT COST OVER-RUN ON THIS ITEM AND HAVE ASKED FOR DISCUSSIONS ON THE RSC TO FIX THE PRICE. 
29/09/20 DISCUSSION WITH N26 FOLLOWING AGREEMENT WITH JOE LOCKE THAT WE WOULD SPLIT RSC COST 50:50 AS A GOODWILL GESTURE.  AMOUNT REPRESENTS CHARGEABLE COST.  RSC REVISED TO REFLECT FINAL SOLUTION AND REQUIREMENTS. 
08/03/21 [EBC] DELIVERED IN 2020. THE UAT TESTING OF THIS REMAINS OUTSTANDING </v>
      </c>
      <c r="W49" t="str">
        <f>IF('TRACKER - 20220622'!Y52&lt;&gt;"",UPPER('TRACKER - 20220622'!Y52),"")</f>
        <v>14696.415</v>
      </c>
      <c r="X49" t="str">
        <f>IF('TRACKER - 20220622'!Z52&lt;&gt;"",UPPER('TRACKER - 20220622'!Z52),"")</f>
        <v>0</v>
      </c>
      <c r="Y49" t="str">
        <f>IF('TRACKER - 20220622'!AA52&lt;&gt;"",UPPER('TRACKER - 20220622'!AA52),"")</f>
        <v>9005.15625</v>
      </c>
      <c r="Z49" t="str">
        <f>IF('TRACKER - 20220622'!AB52&lt;&gt;"",UPPER('TRACKER - 20220622'!AB52),"")</f>
        <v>720.4125</v>
      </c>
      <c r="AA49" t="str">
        <f>IF('TRACKER - 20220622'!AC52&lt;&gt;"",UPPER('TRACKER - 20220622'!AC52),"")</f>
        <v>0</v>
      </c>
      <c r="AB49" t="str">
        <f>IF('TRACKER - 20220622'!AE52&lt;&gt;"",UPPER('TRACKER - 20220622'!AE52),"")</f>
        <v>2521.44375</v>
      </c>
      <c r="AC49" t="str">
        <f>IF('TRACKER - 20220622'!AF52&lt;&gt;"",UPPER('TRACKER - 20220622'!AF52),"")</f>
        <v>12247.0125</v>
      </c>
      <c r="AD49" t="str">
        <f>IF('TRACKER - 20220622'!AG52&lt;&gt;"",UPPER('TRACKER - 20220622'!AG52),"")</f>
        <v>2449.4025</v>
      </c>
      <c r="AE49" t="str">
        <f>IF('TRACKER - 20220622'!AH52&lt;&gt;"",UPPER('TRACKER - 20220622'!AH52),"")</f>
        <v>192.11</v>
      </c>
      <c r="AF49" t="str">
        <f>IF('TRACKER - 20220622'!AI52&lt;&gt;"",UPPER('TRACKER - 20220622'!AI52),"")</f>
        <v/>
      </c>
      <c r="AG49" t="str">
        <f>IF('TRACKER - 20220622'!AJ52&lt;&gt;"",UPPER('TRACKER - 20220622'!AJ52),"")</f>
        <v>0.2</v>
      </c>
      <c r="AH49" t="str">
        <f>IF('TRACKER - 20220622'!AK52&lt;&gt;"",UPPER('TRACKER - 20220622'!AK52),"")</f>
        <v/>
      </c>
      <c r="AI49" t="str">
        <f>IF('TRACKER - 20220622'!AL52&lt;&gt;"",UPPER('TRACKER - 20220622'!AL52),"")</f>
        <v>6.25</v>
      </c>
      <c r="AJ49" t="str">
        <f>IF('TRACKER - 20220622'!AM52&lt;&gt;"",UPPER('TRACKER - 20220622'!AM52),"")</f>
        <v>0.5</v>
      </c>
      <c r="AK49" t="str">
        <f>IF('TRACKER - 20220622'!AN52&lt;&gt;"",UPPER('TRACKER - 20220622'!AN52),"")</f>
        <v/>
      </c>
      <c r="AL49" t="str">
        <f>IF('TRACKER - 20220622'!AO52&lt;&gt;"",UPPER('TRACKER - 20220622'!AO52),"")</f>
        <v>1.75</v>
      </c>
      <c r="AM49" t="str">
        <f>IF('TRACKER - 20220622'!AP52&lt;&gt;"",UPPER('TRACKER - 20220622'!AP52),"")</f>
        <v>8.5</v>
      </c>
      <c r="AN49" t="str">
        <f>IF('TRACKER - 20220622'!AQ52&lt;&gt;"",UPPER('TRACKER - 20220622'!AQ52),"")</f>
        <v>1.7</v>
      </c>
      <c r="AO49" t="str">
        <f>IF('TRACKER - 20220622'!AR52&lt;&gt;"",UPPER('TRACKER - 20220622'!AR52),"")</f>
        <v>N26</v>
      </c>
      <c r="AP49" t="str">
        <f>IF('TRACKER - 20220622'!AS52&lt;&gt;"",UPPER('TRACKER - 20220622'!AS52),"")</f>
        <v>RSC</v>
      </c>
      <c r="AQ49" t="str">
        <f>IF('TRACKER - 20220622'!AT52&lt;&gt;"",UPPER('TRACKER - 20220622'!AT52),"")</f>
        <v>Y</v>
      </c>
      <c r="AR49" t="str">
        <f>IF('TRACKER - 20220622'!AU52&lt;&gt;"",UPPER('TRACKER - 20220622'!AU52),"")</f>
        <v>192.11</v>
      </c>
      <c r="AS49" t="str">
        <f>IF('TRACKER - 20220622'!AV52&lt;&gt;"",UPPER('TRACKER - 20220622'!AV52),"")</f>
        <v/>
      </c>
      <c r="AT49" t="str">
        <f>IF('TRACKER - 20220622'!AW52&lt;&gt;"",UPPER('TRACKER - 20220622'!AW52),"")</f>
        <v>DESCR52</v>
      </c>
      <c r="AU49" t="str">
        <f>IF('TRACKER - 20220622'!AX52&lt;&gt;"",UPPER('TRACKER - 20220622'!AX52),"")</f>
        <v>REASON52</v>
      </c>
      <c r="AV49" t="str">
        <f>IF('TRACKER - 20220622'!BD65&lt;&gt;"",'TRACKER - 20220622'!BD65,"")</f>
        <v/>
      </c>
      <c r="AW49" t="str">
        <f>IF('TRACKER - 20220622'!BE65&lt;&gt;"",'TRACKER - 20220622'!BE65,"")</f>
        <v/>
      </c>
      <c r="AX49" t="str">
        <f>IF('TRACKER - 20220622'!BF65&lt;&gt;"",'TRACKER - 20220622'!BF65,"")</f>
        <v/>
      </c>
      <c r="AY49" t="str">
        <f>IF('TRACKER - 20220622'!BG65&lt;&gt;"",'TRACKER - 20220622'!BG65,"")</f>
        <v/>
      </c>
      <c r="AZ49" t="str">
        <f>IF('TRACKER - 20220622'!BH65&lt;&gt;"",'TRACKER - 20220622'!BH65,"")</f>
        <v/>
      </c>
      <c r="BA49" t="str">
        <f>IF('TRACKER - 20220622'!BI65&lt;&gt;"",'TRACKER - 20220622'!BI65,"")</f>
        <v/>
      </c>
      <c r="BB49" t="str">
        <f>IF('TRACKER - 20220622'!BJ65&lt;&gt;"",'TRACKER - 20220622'!BJ65,"")</f>
        <v/>
      </c>
      <c r="BC49" t="str">
        <f>IF('TRACKER - 20220622'!BK65&lt;&gt;"",'TRACKER - 20220622'!BK65,"")</f>
        <v/>
      </c>
      <c r="BD49" t="str">
        <f>IF('TRACKER - 20220622'!BL65&lt;&gt;"",'TRACKER - 20220622'!BL65,"")</f>
        <v/>
      </c>
      <c r="BE49" t="str">
        <f>IF('TRACKER - 20220622'!BM65&lt;&gt;"",'TRACKER - 20220622'!BM65,"")</f>
        <v/>
      </c>
      <c r="BF49" t="str">
        <f>IF('TRACKER - 20220622'!BN65&lt;&gt;"",'TRACKER - 20220622'!BN65,"")</f>
        <v/>
      </c>
      <c r="BG49" t="str">
        <f>IF('TRACKER - 20220622'!BO65&lt;&gt;"",'TRACKER - 20220622'!BO65,"")</f>
        <v/>
      </c>
    </row>
    <row r="50" spans="1:59">
      <c r="A50" t="str">
        <f>IF('TRACKER - 20220622'!A66&lt;&gt;"",UPPER('TRACKER - 20220622'!A66),"")</f>
        <v>PRODUCT BACKLOG</v>
      </c>
      <c r="B50" t="str">
        <f>IF('TRACKER - 20220622'!B66&lt;&gt;"",UPPER('TRACKER - 20220622'!B66),"")</f>
        <v>N</v>
      </c>
      <c r="C50" t="str">
        <f>IF('TRACKER - 20220622'!D53&lt;&gt;"",UPPER('TRACKER - 20220622'!D53),"")</f>
        <v>4</v>
      </c>
      <c r="D50" t="str">
        <f>IF('TRACKER - 20220622'!F66&lt;&gt;"",UPPER('TRACKER - 20220622'!F66),"")</f>
        <v>PRD-BLG-2020-00000</v>
      </c>
      <c r="E50" t="str">
        <f>IF('TRACKER - 20220622'!H66&lt;&gt;"",'TRACKER - 20220622'!H66,"")</f>
        <v>Credit Default Swaps</v>
      </c>
      <c r="F50" t="str">
        <f t="shared" si="0"/>
        <v>PRD-BLG-2020-00000 Credit Default Swaps</v>
      </c>
      <c r="G50" t="str">
        <f t="shared" si="1"/>
        <v>00004 - Credit Default Swaps</v>
      </c>
      <c r="H50">
        <f>IF('TRACKER - 20220622'!J66&lt;&gt;"",'TRACKER - 20220622'!J66,"")</f>
        <v>0</v>
      </c>
      <c r="I50" t="str">
        <f>IF('TRACKER - 20220622'!K53&lt;&gt;"",UPPER('TRACKER - 20220622'!K53),"")</f>
        <v>44162</v>
      </c>
      <c r="J50" t="str">
        <f>IF('TRACKER - 20220622'!L53&lt;&gt;"",UPPER('TRACKER - 20220622'!L53),"")</f>
        <v>44162</v>
      </c>
      <c r="K50" t="str">
        <f>IF('TRACKER - 20220622'!M53&lt;&gt;"",UPPER('TRACKER - 20220622'!M53),"")</f>
        <v>44162</v>
      </c>
      <c r="L50" t="str">
        <f>IF('TRACKER - 20220622'!N53&lt;&gt;"",UPPER('TRACKER - 20220622'!N53),"")</f>
        <v/>
      </c>
      <c r="M50" t="str">
        <f>IF('TRACKER - 20220622'!O53&lt;&gt;"",UPPER('TRACKER - 20220622'!O53),"")</f>
        <v/>
      </c>
      <c r="N50" t="str">
        <f>IF('TRACKER - 20220622'!P53&lt;&gt;"",UPPER('TRACKER - 20220622'!P53),"")</f>
        <v/>
      </c>
      <c r="O50" t="str">
        <f>IF('TRACKER - 20220622'!Q53&lt;&gt;"",UPPER('TRACKER - 20220622'!Q53),"")</f>
        <v>PLATFORM</v>
      </c>
      <c r="P50" t="str">
        <f>IF('TRACKER - 20220622'!R53&lt;&gt;"",UPPER('TRACKER - 20220622'!R53),"")</f>
        <v>CLIENT</v>
      </c>
      <c r="Q50" t="str">
        <f>IF('TRACKER - 20220622'!S53&lt;&gt;"",UPPER('TRACKER - 20220622'!S53),"")</f>
        <v/>
      </c>
      <c r="R50" t="str">
        <f>IF('TRACKER - 20220622'!T53&lt;&gt;"",UPPER('TRACKER - 20220622'!T53),"")</f>
        <v/>
      </c>
      <c r="S50" t="str">
        <f>IF('TRACKER - 20220622'!U53&lt;&gt;"",UPPER('TRACKER - 20220622'!U53),"")</f>
        <v/>
      </c>
      <c r="T50" t="str">
        <f>IF('TRACKER - 20220622'!V53&lt;&gt;"",UPPER('TRACKER - 20220622'!V53),"")</f>
        <v/>
      </c>
      <c r="U50" t="str">
        <f>IF('TRACKER - 20220622'!W53&lt;&gt;"",UPPER('TRACKER - 20220622'!W53),"")</f>
        <v/>
      </c>
      <c r="V50" t="str">
        <f>IF('TRACKER - 20220622'!X53&lt;&gt;"",UPPER('TRACKER - 20220622'!X53),"")</f>
        <v>27/11/20 - ISSUE WITH DEPLOYMENT OF SUB LEDGER TO AMAZON CLOUD  DUE TO RESTRICTED SERVICES. AGREED FIXED PRICE OF £15,000 WITHOUT SUPPORT WHICH COVERS 50% OF DEVELOPMENT COST
08/03/21 - DELIVERED TO N26 ON 16/12.</v>
      </c>
      <c r="W50" t="str">
        <f>IF('TRACKER - 20220622'!Y53&lt;&gt;"",UPPER('TRACKER - 20220622'!Y53),"")</f>
        <v>15000</v>
      </c>
      <c r="X50" t="str">
        <f>IF('TRACKER - 20220622'!Z53&lt;&gt;"",UPPER('TRACKER - 20220622'!Z53),"")</f>
        <v>0</v>
      </c>
      <c r="Y50" t="str">
        <f>IF('TRACKER - 20220622'!AA53&lt;&gt;"",UPPER('TRACKER - 20220622'!AA53),"")</f>
        <v>15000</v>
      </c>
      <c r="Z50" t="str">
        <f>IF('TRACKER - 20220622'!AB53&lt;&gt;"",UPPER('TRACKER - 20220622'!AB53),"")</f>
        <v>0</v>
      </c>
      <c r="AA50" t="str">
        <f>IF('TRACKER - 20220622'!AC53&lt;&gt;"",UPPER('TRACKER - 20220622'!AC53),"")</f>
        <v>0</v>
      </c>
      <c r="AB50" t="str">
        <f>IF('TRACKER - 20220622'!AE53&lt;&gt;"",UPPER('TRACKER - 20220622'!AE53),"")</f>
        <v>0</v>
      </c>
      <c r="AC50" t="str">
        <f>IF('TRACKER - 20220622'!AF53&lt;&gt;"",UPPER('TRACKER - 20220622'!AF53),"")</f>
        <v>15000</v>
      </c>
      <c r="AD50" t="str">
        <f>IF('TRACKER - 20220622'!AG53&lt;&gt;"",UPPER('TRACKER - 20220622'!AG53),"")</f>
        <v>0</v>
      </c>
      <c r="AE50" t="str">
        <f>IF('TRACKER - 20220622'!AH53&lt;&gt;"",UPPER('TRACKER - 20220622'!AH53),"")</f>
        <v>192.11</v>
      </c>
      <c r="AF50" t="str">
        <f>IF('TRACKER - 20220622'!AI53&lt;&gt;"",UPPER('TRACKER - 20220622'!AI53),"")</f>
        <v/>
      </c>
      <c r="AG50" t="str">
        <f>IF('TRACKER - 20220622'!AJ53&lt;&gt;"",UPPER('TRACKER - 20220622'!AJ53),"")</f>
        <v>0.2</v>
      </c>
      <c r="AH50" t="str">
        <f>IF('TRACKER - 20220622'!AK53&lt;&gt;"",UPPER('TRACKER - 20220622'!AK53),"")</f>
        <v/>
      </c>
      <c r="AI50" t="str">
        <f>IF('TRACKER - 20220622'!AL53&lt;&gt;"",UPPER('TRACKER - 20220622'!AL53),"")</f>
        <v>0</v>
      </c>
      <c r="AJ50" t="str">
        <f>IF('TRACKER - 20220622'!AM53&lt;&gt;"",UPPER('TRACKER - 20220622'!AM53),"")</f>
        <v>0</v>
      </c>
      <c r="AK50" t="str">
        <f>IF('TRACKER - 20220622'!AN53&lt;&gt;"",UPPER('TRACKER - 20220622'!AN53),"")</f>
        <v/>
      </c>
      <c r="AL50" t="str">
        <f>IF('TRACKER - 20220622'!AO53&lt;&gt;"",UPPER('TRACKER - 20220622'!AO53),"")</f>
        <v>0</v>
      </c>
      <c r="AM50" t="str">
        <f>IF('TRACKER - 20220622'!AP53&lt;&gt;"",UPPER('TRACKER - 20220622'!AP53),"")</f>
        <v>0</v>
      </c>
      <c r="AN50" t="str">
        <f>IF('TRACKER - 20220622'!AQ53&lt;&gt;"",UPPER('TRACKER - 20220622'!AQ53),"")</f>
        <v>0</v>
      </c>
      <c r="AO50" t="str">
        <f>IF('TRACKER - 20220622'!AR53&lt;&gt;"",UPPER('TRACKER - 20220622'!AR53),"")</f>
        <v>N26</v>
      </c>
      <c r="AP50" t="str">
        <f>IF('TRACKER - 20220622'!AS53&lt;&gt;"",UPPER('TRACKER - 20220622'!AS53),"")</f>
        <v>RSC</v>
      </c>
      <c r="AQ50" t="str">
        <f>IF('TRACKER - 20220622'!AT53&lt;&gt;"",UPPER('TRACKER - 20220622'!AT53),"")</f>
        <v>Y</v>
      </c>
      <c r="AR50" t="str">
        <f>IF('TRACKER - 20220622'!AU53&lt;&gt;"",UPPER('TRACKER - 20220622'!AU53),"")</f>
        <v>192.11</v>
      </c>
      <c r="AS50" t="str">
        <f>IF('TRACKER - 20220622'!AV53&lt;&gt;"",UPPER('TRACKER - 20220622'!AV53),"")</f>
        <v/>
      </c>
      <c r="AT50" t="str">
        <f>IF('TRACKER - 20220622'!AW53&lt;&gt;"",UPPER('TRACKER - 20220622'!AW53),"")</f>
        <v>DESCR53</v>
      </c>
      <c r="AU50" t="str">
        <f>IF('TRACKER - 20220622'!AX53&lt;&gt;"",UPPER('TRACKER - 20220622'!AX53),"")</f>
        <v>REASON53</v>
      </c>
      <c r="AV50" t="str">
        <f>IF('TRACKER - 20220622'!BD66&lt;&gt;"",'TRACKER - 20220622'!BD66,"")</f>
        <v/>
      </c>
      <c r="AW50" t="str">
        <f>IF('TRACKER - 20220622'!BE66&lt;&gt;"",'TRACKER - 20220622'!BE66,"")</f>
        <v/>
      </c>
      <c r="AX50" t="str">
        <f>IF('TRACKER - 20220622'!BF66&lt;&gt;"",'TRACKER - 20220622'!BF66,"")</f>
        <v/>
      </c>
      <c r="AY50" t="str">
        <f>IF('TRACKER - 20220622'!BG66&lt;&gt;"",'TRACKER - 20220622'!BG66,"")</f>
        <v/>
      </c>
      <c r="AZ50" t="str">
        <f>IF('TRACKER - 20220622'!BH66&lt;&gt;"",'TRACKER - 20220622'!BH66,"")</f>
        <v/>
      </c>
      <c r="BA50" t="str">
        <f>IF('TRACKER - 20220622'!BI66&lt;&gt;"",'TRACKER - 20220622'!BI66,"")</f>
        <v/>
      </c>
      <c r="BB50" t="str">
        <f>IF('TRACKER - 20220622'!BJ66&lt;&gt;"",'TRACKER - 20220622'!BJ66,"")</f>
        <v/>
      </c>
      <c r="BC50" t="str">
        <f>IF('TRACKER - 20220622'!BK66&lt;&gt;"",'TRACKER - 20220622'!BK66,"")</f>
        <v/>
      </c>
      <c r="BD50" t="str">
        <f>IF('TRACKER - 20220622'!BL66&lt;&gt;"",'TRACKER - 20220622'!BL66,"")</f>
        <v/>
      </c>
      <c r="BE50" t="str">
        <f>IF('TRACKER - 20220622'!BM66&lt;&gt;"",'TRACKER - 20220622'!BM66,"")</f>
        <v/>
      </c>
      <c r="BF50" t="str">
        <f>IF('TRACKER - 20220622'!BN66&lt;&gt;"",'TRACKER - 20220622'!BN66,"")</f>
        <v/>
      </c>
      <c r="BG50" t="str">
        <f>IF('TRACKER - 20220622'!BO66&lt;&gt;"",'TRACKER - 20220622'!BO66,"")</f>
        <v/>
      </c>
    </row>
    <row r="51" spans="1:59">
      <c r="A51" t="str">
        <f>IF('TRACKER - 20220622'!A67&lt;&gt;"",UPPER('TRACKER - 20220622'!A67),"")</f>
        <v>PRODUCT BACKLOG</v>
      </c>
      <c r="B51" t="str">
        <f>IF('TRACKER - 20220622'!B67&lt;&gt;"",UPPER('TRACKER - 20220622'!B67),"")</f>
        <v>N</v>
      </c>
      <c r="C51" t="str">
        <f>IF('TRACKER - 20220622'!D54&lt;&gt;"",UPPER('TRACKER - 20220622'!D54),"")</f>
        <v>5</v>
      </c>
      <c r="D51" t="str">
        <f>IF('TRACKER - 20220622'!F67&lt;&gt;"",UPPER('TRACKER - 20220622'!F67),"")</f>
        <v>PRD-BLG-2020-00007</v>
      </c>
      <c r="E51" t="str">
        <f>IF('TRACKER - 20220622'!H67&lt;&gt;"",'TRACKER - 20220622'!H67,"")</f>
        <v>Cash Forecast Modelling</v>
      </c>
      <c r="F51" t="str">
        <f t="shared" si="0"/>
        <v>PRD-BLG-2020-00007 Cash Forecast Modelling</v>
      </c>
      <c r="G51" t="str">
        <f t="shared" si="1"/>
        <v>00005 - Cash Forecast Modelling</v>
      </c>
      <c r="H51">
        <f>IF('TRACKER - 20220622'!J67&lt;&gt;"",'TRACKER - 20220622'!J67,"")</f>
        <v>0</v>
      </c>
      <c r="I51" t="str">
        <f>IF('TRACKER - 20220622'!K54&lt;&gt;"",UPPER('TRACKER - 20220622'!K54),"")</f>
        <v>44263</v>
      </c>
      <c r="J51" t="str">
        <f>IF('TRACKER - 20220622'!L54&lt;&gt;"",UPPER('TRACKER - 20220622'!L54),"")</f>
        <v>44251</v>
      </c>
      <c r="K51" t="str">
        <f>IF('TRACKER - 20220622'!M54&lt;&gt;"",UPPER('TRACKER - 20220622'!M54),"")</f>
        <v>44263</v>
      </c>
      <c r="L51" t="str">
        <f>IF('TRACKER - 20220622'!N54&lt;&gt;"",UPPER('TRACKER - 20220622'!N54),"")</f>
        <v/>
      </c>
      <c r="M51" t="str">
        <f>IF('TRACKER - 20220622'!O54&lt;&gt;"",UPPER('TRACKER - 20220622'!O54),"")</f>
        <v/>
      </c>
      <c r="N51" t="str">
        <f>IF('TRACKER - 20220622'!P54&lt;&gt;"",UPPER('TRACKER - 20220622'!P54),"")</f>
        <v/>
      </c>
      <c r="O51" t="str">
        <f>IF('TRACKER - 20220622'!Q54&lt;&gt;"",UPPER('TRACKER - 20220622'!Q54),"")</f>
        <v>PLATFORM</v>
      </c>
      <c r="P51" t="str">
        <f>IF('TRACKER - 20220622'!R54&lt;&gt;"",UPPER('TRACKER - 20220622'!R54),"")</f>
        <v>CLIENT</v>
      </c>
      <c r="Q51" t="str">
        <f>IF('TRACKER - 20220622'!S54&lt;&gt;"",UPPER('TRACKER - 20220622'!S54),"")</f>
        <v/>
      </c>
      <c r="R51" t="str">
        <f>IF('TRACKER - 20220622'!T54&lt;&gt;"",UPPER('TRACKER - 20220622'!T54),"")</f>
        <v/>
      </c>
      <c r="S51" t="str">
        <f>IF('TRACKER - 20220622'!U54&lt;&gt;"",UPPER('TRACKER - 20220622'!U54),"")</f>
        <v/>
      </c>
      <c r="T51" t="str">
        <f>IF('TRACKER - 20220622'!V54&lt;&gt;"",UPPER('TRACKER - 20220622'!V54),"")</f>
        <v/>
      </c>
      <c r="U51" t="str">
        <f>IF('TRACKER - 20220622'!W54&lt;&gt;"",UPPER('TRACKER - 20220622'!W54),"")</f>
        <v/>
      </c>
      <c r="V51" t="str">
        <f>IF('TRACKER - 20220622'!X54&lt;&gt;"",UPPER('TRACKER - 20220622'!X54),"")</f>
        <v xml:space="preserve">08/03/21 - N26 NEED TO BE ABLE TO EXPORT DEFINED STANDARD REPORTS IN CSV FORMAT. AGREED IN EMAIL 25/02 BASED ON VERBAL DISCUSSION. RSC TO COVER SOLUTION FOR CLARITY. </v>
      </c>
      <c r="W51" t="str">
        <f>IF('TRACKER - 20220622'!Y54&lt;&gt;"",UPPER('TRACKER - 20220622'!Y54),"")</f>
        <v>2515.455</v>
      </c>
      <c r="X51" t="str">
        <f>IF('TRACKER - 20220622'!Z54&lt;&gt;"",UPPER('TRACKER - 20220622'!Z54),"")</f>
        <v>0</v>
      </c>
      <c r="Y51" t="str">
        <f>IF('TRACKER - 20220622'!AA54&lt;&gt;"",UPPER('TRACKER - 20220622'!AA54),"")</f>
        <v>1397.475</v>
      </c>
      <c r="Z51" t="str">
        <f>IF('TRACKER - 20220622'!AB54&lt;&gt;"",UPPER('TRACKER - 20220622'!AB54),"")</f>
        <v>698.7375</v>
      </c>
      <c r="AA51" t="str">
        <f>IF('TRACKER - 20220622'!AC54&lt;&gt;"",UPPER('TRACKER - 20220622'!AC54),"")</f>
        <v>0</v>
      </c>
      <c r="AB51" t="str">
        <f>IF('TRACKER - 20220622'!AE54&lt;&gt;"",UPPER('TRACKER - 20220622'!AE54),"")</f>
        <v>0</v>
      </c>
      <c r="AC51" t="str">
        <f>IF('TRACKER - 20220622'!AF54&lt;&gt;"",UPPER('TRACKER - 20220622'!AF54),"")</f>
        <v>2096.2125</v>
      </c>
      <c r="AD51" t="str">
        <f>IF('TRACKER - 20220622'!AG54&lt;&gt;"",UPPER('TRACKER - 20220622'!AG54),"")</f>
        <v>419.2425</v>
      </c>
      <c r="AE51" t="str">
        <f>IF('TRACKER - 20220622'!AH54&lt;&gt;"",UPPER('TRACKER - 20220622'!AH54),"")</f>
        <v>186.33</v>
      </c>
      <c r="AF51" t="str">
        <f>IF('TRACKER - 20220622'!AI54&lt;&gt;"",UPPER('TRACKER - 20220622'!AI54),"")</f>
        <v/>
      </c>
      <c r="AG51" t="str">
        <f>IF('TRACKER - 20220622'!AJ54&lt;&gt;"",UPPER('TRACKER - 20220622'!AJ54),"")</f>
        <v>0.2</v>
      </c>
      <c r="AH51" t="str">
        <f>IF('TRACKER - 20220622'!AK54&lt;&gt;"",UPPER('TRACKER - 20220622'!AK54),"")</f>
        <v/>
      </c>
      <c r="AI51" t="str">
        <f>IF('TRACKER - 20220622'!AL54&lt;&gt;"",UPPER('TRACKER - 20220622'!AL54),"")</f>
        <v>1</v>
      </c>
      <c r="AJ51" t="str">
        <f>IF('TRACKER - 20220622'!AM54&lt;&gt;"",UPPER('TRACKER - 20220622'!AM54),"")</f>
        <v>0.5</v>
      </c>
      <c r="AK51" t="str">
        <f>IF('TRACKER - 20220622'!AN54&lt;&gt;"",UPPER('TRACKER - 20220622'!AN54),"")</f>
        <v/>
      </c>
      <c r="AL51" t="str">
        <f>IF('TRACKER - 20220622'!AO54&lt;&gt;"",UPPER('TRACKER - 20220622'!AO54),"")</f>
        <v>0</v>
      </c>
      <c r="AM51" t="str">
        <f>IF('TRACKER - 20220622'!AP54&lt;&gt;"",UPPER('TRACKER - 20220622'!AP54),"")</f>
        <v>1.5</v>
      </c>
      <c r="AN51" t="str">
        <f>IF('TRACKER - 20220622'!AQ54&lt;&gt;"",UPPER('TRACKER - 20220622'!AQ54),"")</f>
        <v>0.3</v>
      </c>
      <c r="AO51" t="str">
        <f>IF('TRACKER - 20220622'!AR54&lt;&gt;"",UPPER('TRACKER - 20220622'!AR54),"")</f>
        <v>N26</v>
      </c>
      <c r="AP51" t="str">
        <f>IF('TRACKER - 20220622'!AS54&lt;&gt;"",UPPER('TRACKER - 20220622'!AS54),"")</f>
        <v>RSC</v>
      </c>
      <c r="AQ51" t="str">
        <f>IF('TRACKER - 20220622'!AT54&lt;&gt;"",UPPER('TRACKER - 20220622'!AT54),"")</f>
        <v>Y</v>
      </c>
      <c r="AR51" t="str">
        <f>IF('TRACKER - 20220622'!AU54&lt;&gt;"",UPPER('TRACKER - 20220622'!AU54),"")</f>
        <v>192.11</v>
      </c>
      <c r="AS51" t="str">
        <f>IF('TRACKER - 20220622'!AV54&lt;&gt;"",UPPER('TRACKER - 20220622'!AV54),"")</f>
        <v>Y</v>
      </c>
      <c r="AT51" t="str">
        <f>IF('TRACKER - 20220622'!AW54&lt;&gt;"",UPPER('TRACKER - 20220622'!AW54),"")</f>
        <v>DESCR54</v>
      </c>
      <c r="AU51" t="str">
        <f>IF('TRACKER - 20220622'!AX54&lt;&gt;"",UPPER('TRACKER - 20220622'!AX54),"")</f>
        <v>REASON54</v>
      </c>
      <c r="AV51" t="str">
        <f>IF('TRACKER - 20220622'!BD67&lt;&gt;"",'TRACKER - 20220622'!BD67,"")</f>
        <v/>
      </c>
      <c r="AW51" t="str">
        <f>IF('TRACKER - 20220622'!BE67&lt;&gt;"",'TRACKER - 20220622'!BE67,"")</f>
        <v/>
      </c>
      <c r="AX51" t="str">
        <f>IF('TRACKER - 20220622'!BF67&lt;&gt;"",'TRACKER - 20220622'!BF67,"")</f>
        <v/>
      </c>
      <c r="AY51" t="str">
        <f>IF('TRACKER - 20220622'!BG67&lt;&gt;"",'TRACKER - 20220622'!BG67,"")</f>
        <v/>
      </c>
      <c r="AZ51" t="str">
        <f>IF('TRACKER - 20220622'!BH67&lt;&gt;"",'TRACKER - 20220622'!BH67,"")</f>
        <v/>
      </c>
      <c r="BA51" t="str">
        <f>IF('TRACKER - 20220622'!BI67&lt;&gt;"",'TRACKER - 20220622'!BI67,"")</f>
        <v/>
      </c>
      <c r="BB51" t="str">
        <f>IF('TRACKER - 20220622'!BJ67&lt;&gt;"",'TRACKER - 20220622'!BJ67,"")</f>
        <v/>
      </c>
      <c r="BC51" t="str">
        <f>IF('TRACKER - 20220622'!BK67&lt;&gt;"",'TRACKER - 20220622'!BK67,"")</f>
        <v/>
      </c>
      <c r="BD51" t="str">
        <f>IF('TRACKER - 20220622'!BL67&lt;&gt;"",'TRACKER - 20220622'!BL67,"")</f>
        <v/>
      </c>
      <c r="BE51" t="str">
        <f>IF('TRACKER - 20220622'!BM67&lt;&gt;"",'TRACKER - 20220622'!BM67,"")</f>
        <v/>
      </c>
      <c r="BF51" t="str">
        <f>IF('TRACKER - 20220622'!BN67&lt;&gt;"",'TRACKER - 20220622'!BN67,"")</f>
        <v/>
      </c>
      <c r="BG51" t="str">
        <f>IF('TRACKER - 20220622'!BO67&lt;&gt;"",'TRACKER - 20220622'!BO67,"")</f>
        <v/>
      </c>
    </row>
    <row r="52" spans="1:59">
      <c r="A52" t="str">
        <f>IF('TRACKER - 20220622'!A68&lt;&gt;"",UPPER('TRACKER - 20220622'!A68),"")</f>
        <v>PRODUCT BACKLOG</v>
      </c>
      <c r="B52" t="str">
        <f>IF('TRACKER - 20220622'!B68&lt;&gt;"",UPPER('TRACKER - 20220622'!B68),"")</f>
        <v>N</v>
      </c>
      <c r="C52" t="str">
        <f>IF('TRACKER - 20220622'!D55&lt;&gt;"",UPPER('TRACKER - 20220622'!D55),"")</f>
        <v>14</v>
      </c>
      <c r="D52" t="str">
        <f>IF('TRACKER - 20220622'!F68&lt;&gt;"",UPPER('TRACKER - 20220622'!F68),"")</f>
        <v>PRD-BLG-2020-00023</v>
      </c>
      <c r="E52" t="str">
        <f>IF('TRACKER - 20220622'!H68&lt;&gt;"",'TRACKER - 20220622'!H68,"")</f>
        <v>Deal Reference Numbering Schema</v>
      </c>
      <c r="F52" t="str">
        <f t="shared" si="0"/>
        <v>PRD-BLG-2020-00023 Deal Reference Numbering Schema</v>
      </c>
      <c r="G52" t="str">
        <f t="shared" si="1"/>
        <v>00014 - Deal Reference Numbering Schema</v>
      </c>
      <c r="H52">
        <f>IF('TRACKER - 20220622'!J68&lt;&gt;"",'TRACKER - 20220622'!J68,"")</f>
        <v>0</v>
      </c>
      <c r="I52" t="str">
        <f>IF('TRACKER - 20220622'!K55&lt;&gt;"",UPPER('TRACKER - 20220622'!K55),"")</f>
        <v>44020</v>
      </c>
      <c r="J52" t="str">
        <f>IF('TRACKER - 20220622'!L55&lt;&gt;"",UPPER('TRACKER - 20220622'!L55),"")</f>
        <v>44020</v>
      </c>
      <c r="K52" t="str">
        <f>IF('TRACKER - 20220622'!M55&lt;&gt;"",UPPER('TRACKER - 20220622'!M55),"")</f>
        <v/>
      </c>
      <c r="L52" t="str">
        <f>IF('TRACKER - 20220622'!N55&lt;&gt;"",UPPER('TRACKER - 20220622'!N55),"")</f>
        <v/>
      </c>
      <c r="M52" t="str">
        <f>IF('TRACKER - 20220622'!O55&lt;&gt;"",UPPER('TRACKER - 20220622'!O55),"")</f>
        <v/>
      </c>
      <c r="N52" t="str">
        <f>IF('TRACKER - 20220622'!P55&lt;&gt;"",UPPER('TRACKER - 20220622'!P55),"")</f>
        <v/>
      </c>
      <c r="O52" t="str">
        <f>IF('TRACKER - 20220622'!Q55&lt;&gt;"",UPPER('TRACKER - 20220622'!Q55),"")</f>
        <v>ETRADER</v>
      </c>
      <c r="P52" t="str">
        <f>IF('TRACKER - 20220622'!R55&lt;&gt;"",UPPER('TRACKER - 20220622'!R55),"")</f>
        <v>CLIENT</v>
      </c>
      <c r="Q52" t="str">
        <f>IF('TRACKER - 20220622'!S55&lt;&gt;"",UPPER('TRACKER - 20220622'!S55),"")</f>
        <v/>
      </c>
      <c r="R52" t="str">
        <f>IF('TRACKER - 20220622'!T55&lt;&gt;"",UPPER('TRACKER - 20220622'!T55),"")</f>
        <v/>
      </c>
      <c r="S52" t="str">
        <f>IF('TRACKER - 20220622'!U55&lt;&gt;"",UPPER('TRACKER - 20220622'!U55),"")</f>
        <v/>
      </c>
      <c r="T52" t="str">
        <f>IF('TRACKER - 20220622'!V55&lt;&gt;"",UPPER('TRACKER - 20220622'!V55),"")</f>
        <v/>
      </c>
      <c r="U52" t="str">
        <f>IF('TRACKER - 20220622'!W55&lt;&gt;"",UPPER('TRACKER - 20220622'!W55),"")</f>
        <v/>
      </c>
      <c r="V52" t="str">
        <f>IF('TRACKER - 20220622'!X55&lt;&gt;"",UPPER('TRACKER - 20220622'!X55),"")</f>
        <v>RAISED - MT POST CONF CALL 08/07/20</v>
      </c>
      <c r="W52" t="str">
        <f>IF('TRACKER - 20220622'!Y55&lt;&gt;"",UPPER('TRACKER - 20220622'!Y55),"")</f>
        <v>0</v>
      </c>
      <c r="X52" t="str">
        <f>IF('TRACKER - 20220622'!Z55&lt;&gt;"",UPPER('TRACKER - 20220622'!Z55),"")</f>
        <v>0</v>
      </c>
      <c r="Y52" t="str">
        <f>IF('TRACKER - 20220622'!AA55&lt;&gt;"",UPPER('TRACKER - 20220622'!AA55),"")</f>
        <v>0</v>
      </c>
      <c r="Z52" t="str">
        <f>IF('TRACKER - 20220622'!AB55&lt;&gt;"",UPPER('TRACKER - 20220622'!AB55),"")</f>
        <v>0</v>
      </c>
      <c r="AA52" t="str">
        <f>IF('TRACKER - 20220622'!AC55&lt;&gt;"",UPPER('TRACKER - 20220622'!AC55),"")</f>
        <v>0</v>
      </c>
      <c r="AB52" t="str">
        <f>IF('TRACKER - 20220622'!AE55&lt;&gt;"",UPPER('TRACKER - 20220622'!AE55),"")</f>
        <v>0</v>
      </c>
      <c r="AC52" t="str">
        <f>IF('TRACKER - 20220622'!AF55&lt;&gt;"",UPPER('TRACKER - 20220622'!AF55),"")</f>
        <v>0</v>
      </c>
      <c r="AD52" t="str">
        <f>IF('TRACKER - 20220622'!AG55&lt;&gt;"",UPPER('TRACKER - 20220622'!AG55),"")</f>
        <v>0</v>
      </c>
      <c r="AE52" t="str">
        <f>IF('TRACKER - 20220622'!AH55&lt;&gt;"",UPPER('TRACKER - 20220622'!AH55),"")</f>
        <v>-150</v>
      </c>
      <c r="AF52" t="str">
        <f>IF('TRACKER - 20220622'!AI55&lt;&gt;"",UPPER('TRACKER - 20220622'!AI55),"")</f>
        <v/>
      </c>
      <c r="AG52" t="str">
        <f>IF('TRACKER - 20220622'!AJ55&lt;&gt;"",UPPER('TRACKER - 20220622'!AJ55),"")</f>
        <v>0</v>
      </c>
      <c r="AH52" t="str">
        <f>IF('TRACKER - 20220622'!AK55&lt;&gt;"",UPPER('TRACKER - 20220622'!AK55),"")</f>
        <v/>
      </c>
      <c r="AI52" t="str">
        <f>IF('TRACKER - 20220622'!AL55&lt;&gt;"",UPPER('TRACKER - 20220622'!AL55),"")</f>
        <v>0</v>
      </c>
      <c r="AJ52" t="str">
        <f>IF('TRACKER - 20220622'!AM55&lt;&gt;"",UPPER('TRACKER - 20220622'!AM55),"")</f>
        <v>0</v>
      </c>
      <c r="AK52" t="str">
        <f>IF('TRACKER - 20220622'!AN55&lt;&gt;"",UPPER('TRACKER - 20220622'!AN55),"")</f>
        <v/>
      </c>
      <c r="AL52" t="str">
        <f>IF('TRACKER - 20220622'!AO55&lt;&gt;"",UPPER('TRACKER - 20220622'!AO55),"")</f>
        <v>0</v>
      </c>
      <c r="AM52" t="str">
        <f>IF('TRACKER - 20220622'!AP55&lt;&gt;"",UPPER('TRACKER - 20220622'!AP55),"")</f>
        <v>0</v>
      </c>
      <c r="AN52" t="str">
        <f>IF('TRACKER - 20220622'!AQ55&lt;&gt;"",UPPER('TRACKER - 20220622'!AQ55),"")</f>
        <v>0</v>
      </c>
      <c r="AO52" t="str">
        <f>IF('TRACKER - 20220622'!AR55&lt;&gt;"",UPPER('TRACKER - 20220622'!AR55),"")</f>
        <v>PRD</v>
      </c>
      <c r="AP52" t="str">
        <f>IF('TRACKER - 20220622'!AS55&lt;&gt;"",UPPER('TRACKER - 20220622'!AS55),"")</f>
        <v>BLG</v>
      </c>
      <c r="AQ52" t="str">
        <f>IF('TRACKER - 20220622'!AT55&lt;&gt;"",UPPER('TRACKER - 20220622'!AT55),"")</f>
        <v>N</v>
      </c>
      <c r="AR52" t="str">
        <f>IF('TRACKER - 20220622'!AU55&lt;&gt;"",UPPER('TRACKER - 20220622'!AU55),"")</f>
        <v>-150</v>
      </c>
      <c r="AS52" t="str">
        <f>IF('TRACKER - 20220622'!AV55&lt;&gt;"",UPPER('TRACKER - 20220622'!AV55),"")</f>
        <v/>
      </c>
      <c r="AT52" t="str">
        <f>IF('TRACKER - 20220622'!AW55&lt;&gt;"",UPPER('TRACKER - 20220622'!AW55),"")</f>
        <v>DESCR55</v>
      </c>
      <c r="AU52" t="str">
        <f>IF('TRACKER - 20220622'!AX55&lt;&gt;"",UPPER('TRACKER - 20220622'!AX55),"")</f>
        <v>REASON55</v>
      </c>
      <c r="AV52" t="str">
        <f>IF('TRACKER - 20220622'!BD68&lt;&gt;"",'TRACKER - 20220622'!BD68,"")</f>
        <v/>
      </c>
      <c r="AW52" t="str">
        <f>IF('TRACKER - 20220622'!BE68&lt;&gt;"",'TRACKER - 20220622'!BE68,"")</f>
        <v/>
      </c>
      <c r="AX52" t="str">
        <f>IF('TRACKER - 20220622'!BF68&lt;&gt;"",'TRACKER - 20220622'!BF68,"")</f>
        <v/>
      </c>
      <c r="AY52" t="str">
        <f>IF('TRACKER - 20220622'!BG68&lt;&gt;"",'TRACKER - 20220622'!BG68,"")</f>
        <v/>
      </c>
      <c r="AZ52" t="str">
        <f>IF('TRACKER - 20220622'!BH68&lt;&gt;"",'TRACKER - 20220622'!BH68,"")</f>
        <v/>
      </c>
      <c r="BA52" t="str">
        <f>IF('TRACKER - 20220622'!BI68&lt;&gt;"",'TRACKER - 20220622'!BI68,"")</f>
        <v/>
      </c>
      <c r="BB52" t="str">
        <f>IF('TRACKER - 20220622'!BJ68&lt;&gt;"",'TRACKER - 20220622'!BJ68,"")</f>
        <v/>
      </c>
      <c r="BC52" t="str">
        <f>IF('TRACKER - 20220622'!BK68&lt;&gt;"",'TRACKER - 20220622'!BK68,"")</f>
        <v/>
      </c>
      <c r="BD52" t="str">
        <f>IF('TRACKER - 20220622'!BL68&lt;&gt;"",'TRACKER - 20220622'!BL68,"")</f>
        <v/>
      </c>
      <c r="BE52" t="str">
        <f>IF('TRACKER - 20220622'!BM68&lt;&gt;"",'TRACKER - 20220622'!BM68,"")</f>
        <v/>
      </c>
      <c r="BF52" t="str">
        <f>IF('TRACKER - 20220622'!BN68&lt;&gt;"",'TRACKER - 20220622'!BN68,"")</f>
        <v/>
      </c>
      <c r="BG52" t="str">
        <f>IF('TRACKER - 20220622'!BO68&lt;&gt;"",'TRACKER - 20220622'!BO68,"")</f>
        <v/>
      </c>
    </row>
    <row r="53" spans="1:59">
      <c r="A53" t="str">
        <f>IF('TRACKER - 20220622'!A69&lt;&gt;"",UPPER('TRACKER - 20220622'!A69),"")</f>
        <v>PRODUCT BACKLOG</v>
      </c>
      <c r="B53" t="str">
        <f>IF('TRACKER - 20220622'!B69&lt;&gt;"",UPPER('TRACKER - 20220622'!B69),"")</f>
        <v>N</v>
      </c>
      <c r="C53" t="str">
        <f>IF('TRACKER - 20220622'!D56&lt;&gt;"",UPPER('TRACKER - 20220622'!D56),"")</f>
        <v>15</v>
      </c>
      <c r="D53" t="str">
        <f>IF('TRACKER - 20220622'!F69&lt;&gt;"",UPPER('TRACKER - 20220622'!F69),"")</f>
        <v>PRD-BLG-0000-00025</v>
      </c>
      <c r="E53" t="str">
        <f>IF('TRACKER - 20220622'!H69&lt;&gt;"",'TRACKER - 20220622'!H69,"")</f>
        <v>EMIR - Comm Swaps</v>
      </c>
      <c r="F53" t="str">
        <f t="shared" si="0"/>
        <v>PRD-BLG-0000-00025 EMIR - Comm Swaps</v>
      </c>
      <c r="G53" t="str">
        <f t="shared" si="1"/>
        <v>00015 - EMIR - Comm Swaps</v>
      </c>
      <c r="H53">
        <f>IF('TRACKER - 20220622'!J69&lt;&gt;"",'TRACKER - 20220622'!J69,"")</f>
        <v>0</v>
      </c>
      <c r="I53" t="str">
        <f>IF('TRACKER - 20220622'!K56&lt;&gt;"",UPPER('TRACKER - 20220622'!K56),"")</f>
        <v>44020</v>
      </c>
      <c r="J53" t="str">
        <f>IF('TRACKER - 20220622'!L56&lt;&gt;"",UPPER('TRACKER - 20220622'!L56),"")</f>
        <v>44020</v>
      </c>
      <c r="K53" t="str">
        <f>IF('TRACKER - 20220622'!M56&lt;&gt;"",UPPER('TRACKER - 20220622'!M56),"")</f>
        <v/>
      </c>
      <c r="L53" t="str">
        <f>IF('TRACKER - 20220622'!N56&lt;&gt;"",UPPER('TRACKER - 20220622'!N56),"")</f>
        <v/>
      </c>
      <c r="M53" t="str">
        <f>IF('TRACKER - 20220622'!O56&lt;&gt;"",UPPER('TRACKER - 20220622'!O56),"")</f>
        <v/>
      </c>
      <c r="N53" t="str">
        <f>IF('TRACKER - 20220622'!P56&lt;&gt;"",UPPER('TRACKER - 20220622'!P56),"")</f>
        <v/>
      </c>
      <c r="O53" t="str">
        <f>IF('TRACKER - 20220622'!Q56&lt;&gt;"",UPPER('TRACKER - 20220622'!Q56),"")</f>
        <v>ETRADER</v>
      </c>
      <c r="P53" t="str">
        <f>IF('TRACKER - 20220622'!R56&lt;&gt;"",UPPER('TRACKER - 20220622'!R56),"")</f>
        <v>CLIENT</v>
      </c>
      <c r="Q53" t="str">
        <f>IF('TRACKER - 20220622'!S56&lt;&gt;"",UPPER('TRACKER - 20220622'!S56),"")</f>
        <v/>
      </c>
      <c r="R53" t="str">
        <f>IF('TRACKER - 20220622'!T56&lt;&gt;"",UPPER('TRACKER - 20220622'!T56),"")</f>
        <v/>
      </c>
      <c r="S53" t="str">
        <f>IF('TRACKER - 20220622'!U56&lt;&gt;"",UPPER('TRACKER - 20220622'!U56),"")</f>
        <v/>
      </c>
      <c r="T53" t="str">
        <f>IF('TRACKER - 20220622'!V56&lt;&gt;"",UPPER('TRACKER - 20220622'!V56),"")</f>
        <v/>
      </c>
      <c r="U53" t="str">
        <f>IF('TRACKER - 20220622'!W56&lt;&gt;"",UPPER('TRACKER - 20220622'!W56),"")</f>
        <v/>
      </c>
      <c r="V53" t="str">
        <f>IF('TRACKER - 20220622'!X56&lt;&gt;"",UPPER('TRACKER - 20220622'!X56),"")</f>
        <v>RAISED - MT POST CONF CALL 08/07/20</v>
      </c>
      <c r="W53" t="str">
        <f>IF('TRACKER - 20220622'!Y56&lt;&gt;"",UPPER('TRACKER - 20220622'!Y56),"")</f>
        <v>0</v>
      </c>
      <c r="X53" t="str">
        <f>IF('TRACKER - 20220622'!Z56&lt;&gt;"",UPPER('TRACKER - 20220622'!Z56),"")</f>
        <v>0</v>
      </c>
      <c r="Y53" t="str">
        <f>IF('TRACKER - 20220622'!AA56&lt;&gt;"",UPPER('TRACKER - 20220622'!AA56),"")</f>
        <v>0</v>
      </c>
      <c r="Z53" t="str">
        <f>IF('TRACKER - 20220622'!AB56&lt;&gt;"",UPPER('TRACKER - 20220622'!AB56),"")</f>
        <v>0</v>
      </c>
      <c r="AA53" t="str">
        <f>IF('TRACKER - 20220622'!AC56&lt;&gt;"",UPPER('TRACKER - 20220622'!AC56),"")</f>
        <v>0</v>
      </c>
      <c r="AB53" t="str">
        <f>IF('TRACKER - 20220622'!AE56&lt;&gt;"",UPPER('TRACKER - 20220622'!AE56),"")</f>
        <v>0</v>
      </c>
      <c r="AC53" t="str">
        <f>IF('TRACKER - 20220622'!AF56&lt;&gt;"",UPPER('TRACKER - 20220622'!AF56),"")</f>
        <v>0</v>
      </c>
      <c r="AD53" t="str">
        <f>IF('TRACKER - 20220622'!AG56&lt;&gt;"",UPPER('TRACKER - 20220622'!AG56),"")</f>
        <v>0</v>
      </c>
      <c r="AE53" t="str">
        <f>IF('TRACKER - 20220622'!AH56&lt;&gt;"",UPPER('TRACKER - 20220622'!AH56),"")</f>
        <v>-150</v>
      </c>
      <c r="AF53" t="str">
        <f>IF('TRACKER - 20220622'!AI56&lt;&gt;"",UPPER('TRACKER - 20220622'!AI56),"")</f>
        <v/>
      </c>
      <c r="AG53" t="str">
        <f>IF('TRACKER - 20220622'!AJ56&lt;&gt;"",UPPER('TRACKER - 20220622'!AJ56),"")</f>
        <v>0</v>
      </c>
      <c r="AH53" t="str">
        <f>IF('TRACKER - 20220622'!AK56&lt;&gt;"",UPPER('TRACKER - 20220622'!AK56),"")</f>
        <v/>
      </c>
      <c r="AI53" t="str">
        <f>IF('TRACKER - 20220622'!AL56&lt;&gt;"",UPPER('TRACKER - 20220622'!AL56),"")</f>
        <v>0</v>
      </c>
      <c r="AJ53" t="str">
        <f>IF('TRACKER - 20220622'!AM56&lt;&gt;"",UPPER('TRACKER - 20220622'!AM56),"")</f>
        <v>0</v>
      </c>
      <c r="AK53" t="str">
        <f>IF('TRACKER - 20220622'!AN56&lt;&gt;"",UPPER('TRACKER - 20220622'!AN56),"")</f>
        <v/>
      </c>
      <c r="AL53" t="str">
        <f>IF('TRACKER - 20220622'!AO56&lt;&gt;"",UPPER('TRACKER - 20220622'!AO56),"")</f>
        <v>0</v>
      </c>
      <c r="AM53" t="str">
        <f>IF('TRACKER - 20220622'!AP56&lt;&gt;"",UPPER('TRACKER - 20220622'!AP56),"")</f>
        <v>0</v>
      </c>
      <c r="AN53" t="str">
        <f>IF('TRACKER - 20220622'!AQ56&lt;&gt;"",UPPER('TRACKER - 20220622'!AQ56),"")</f>
        <v>0</v>
      </c>
      <c r="AO53" t="str">
        <f>IF('TRACKER - 20220622'!AR56&lt;&gt;"",UPPER('TRACKER - 20220622'!AR56),"")</f>
        <v>PRD</v>
      </c>
      <c r="AP53" t="str">
        <f>IF('TRACKER - 20220622'!AS56&lt;&gt;"",UPPER('TRACKER - 20220622'!AS56),"")</f>
        <v>BLG</v>
      </c>
      <c r="AQ53" t="str">
        <f>IF('TRACKER - 20220622'!AT56&lt;&gt;"",UPPER('TRACKER - 20220622'!AT56),"")</f>
        <v>N</v>
      </c>
      <c r="AR53" t="str">
        <f>IF('TRACKER - 20220622'!AU56&lt;&gt;"",UPPER('TRACKER - 20220622'!AU56),"")</f>
        <v>-150</v>
      </c>
      <c r="AS53" t="str">
        <f>IF('TRACKER - 20220622'!AV56&lt;&gt;"",UPPER('TRACKER - 20220622'!AV56),"")</f>
        <v/>
      </c>
      <c r="AT53" t="str">
        <f>IF('TRACKER - 20220622'!AW56&lt;&gt;"",UPPER('TRACKER - 20220622'!AW56),"")</f>
        <v>DESCR56</v>
      </c>
      <c r="AU53" t="str">
        <f>IF('TRACKER - 20220622'!AX56&lt;&gt;"",UPPER('TRACKER - 20220622'!AX56),"")</f>
        <v>REASON56</v>
      </c>
      <c r="AV53" t="str">
        <f>IF('TRACKER - 20220622'!BD69&lt;&gt;"",'TRACKER - 20220622'!BD69,"")</f>
        <v/>
      </c>
      <c r="AW53" t="str">
        <f>IF('TRACKER - 20220622'!BE69&lt;&gt;"",'TRACKER - 20220622'!BE69,"")</f>
        <v/>
      </c>
      <c r="AX53" t="str">
        <f>IF('TRACKER - 20220622'!BF69&lt;&gt;"",'TRACKER - 20220622'!BF69,"")</f>
        <v/>
      </c>
      <c r="AY53" t="str">
        <f>IF('TRACKER - 20220622'!BG69&lt;&gt;"",'TRACKER - 20220622'!BG69,"")</f>
        <v/>
      </c>
      <c r="AZ53" t="str">
        <f>IF('TRACKER - 20220622'!BH69&lt;&gt;"",'TRACKER - 20220622'!BH69,"")</f>
        <v/>
      </c>
      <c r="BA53" t="str">
        <f>IF('TRACKER - 20220622'!BI69&lt;&gt;"",'TRACKER - 20220622'!BI69,"")</f>
        <v/>
      </c>
      <c r="BB53" t="str">
        <f>IF('TRACKER - 20220622'!BJ69&lt;&gt;"",'TRACKER - 20220622'!BJ69,"")</f>
        <v/>
      </c>
      <c r="BC53" t="str">
        <f>IF('TRACKER - 20220622'!BK69&lt;&gt;"",'TRACKER - 20220622'!BK69,"")</f>
        <v/>
      </c>
      <c r="BD53" t="str">
        <f>IF('TRACKER - 20220622'!BL69&lt;&gt;"",'TRACKER - 20220622'!BL69,"")</f>
        <v/>
      </c>
      <c r="BE53" t="str">
        <f>IF('TRACKER - 20220622'!BM69&lt;&gt;"",'TRACKER - 20220622'!BM69,"")</f>
        <v/>
      </c>
      <c r="BF53" t="str">
        <f>IF('TRACKER - 20220622'!BN69&lt;&gt;"",'TRACKER - 20220622'!BN69,"")</f>
        <v/>
      </c>
      <c r="BG53" t="str">
        <f>IF('TRACKER - 20220622'!BO69&lt;&gt;"",'TRACKER - 20220622'!BO69,"")</f>
        <v/>
      </c>
    </row>
    <row r="54" spans="1:59">
      <c r="A54" t="str">
        <f>IF('TRACKER - 20220622'!A70&lt;&gt;"",UPPER('TRACKER - 20220622'!A70),"")</f>
        <v>PRODUCT BACKLOG</v>
      </c>
      <c r="B54" t="str">
        <f>IF('TRACKER - 20220622'!B70&lt;&gt;"",UPPER('TRACKER - 20220622'!B70),"")</f>
        <v>N</v>
      </c>
      <c r="C54" t="str">
        <f>IF('TRACKER - 20220622'!D57&lt;&gt;"",UPPER('TRACKER - 20220622'!D57),"")</f>
        <v>33245</v>
      </c>
      <c r="D54" t="str">
        <f>IF('TRACKER - 20220622'!F70&lt;&gt;"",UPPER('TRACKER - 20220622'!F70),"")</f>
        <v>PRD-BLG-2020-00018</v>
      </c>
      <c r="E54" t="str">
        <f>IF('TRACKER - 20220622'!H70&lt;&gt;"",'TRACKER - 20220622'!H70,"")</f>
        <v>Alternative Investments</v>
      </c>
      <c r="F54" t="str">
        <f t="shared" si="0"/>
        <v>PRD-BLG-2020-00018 Alternative Investments</v>
      </c>
      <c r="G54" t="str">
        <f t="shared" si="1"/>
        <v>33245 - Alternative Investments</v>
      </c>
      <c r="H54">
        <f>IF('TRACKER - 20220622'!J70&lt;&gt;"",'TRACKER - 20220622'!J70,"")</f>
        <v>0</v>
      </c>
      <c r="I54" t="str">
        <f>IF('TRACKER - 20220622'!K57&lt;&gt;"",UPPER('TRACKER - 20220622'!K57),"")</f>
        <v>44057</v>
      </c>
      <c r="J54" t="str">
        <f>IF('TRACKER - 20220622'!L57&lt;&gt;"",UPPER('TRACKER - 20220622'!L57),"")</f>
        <v>44057</v>
      </c>
      <c r="K54" t="str">
        <f>IF('TRACKER - 20220622'!M57&lt;&gt;"",UPPER('TRACKER - 20220622'!M57),"")</f>
        <v/>
      </c>
      <c r="L54" t="str">
        <f>IF('TRACKER - 20220622'!N57&lt;&gt;"",UPPER('TRACKER - 20220622'!N57),"")</f>
        <v/>
      </c>
      <c r="M54" t="str">
        <f>IF('TRACKER - 20220622'!O57&lt;&gt;"",UPPER('TRACKER - 20220622'!O57),"")</f>
        <v/>
      </c>
      <c r="N54" t="str">
        <f>IF('TRACKER - 20220622'!P57&lt;&gt;"",UPPER('TRACKER - 20220622'!P57),"")</f>
        <v/>
      </c>
      <c r="O54" t="str">
        <f>IF('TRACKER - 20220622'!Q57&lt;&gt;"",UPPER('TRACKER - 20220622'!Q57),"")</f>
        <v>PLATFORM</v>
      </c>
      <c r="P54" t="str">
        <f>IF('TRACKER - 20220622'!R57&lt;&gt;"",UPPER('TRACKER - 20220622'!R57),"")</f>
        <v>PRODUCT</v>
      </c>
      <c r="Q54" t="str">
        <f>IF('TRACKER - 20220622'!S57&lt;&gt;"",UPPER('TRACKER - 20220622'!S57),"")</f>
        <v/>
      </c>
      <c r="R54" t="str">
        <f>IF('TRACKER - 20220622'!T57&lt;&gt;"",UPPER('TRACKER - 20220622'!T57),"")</f>
        <v/>
      </c>
      <c r="S54" t="str">
        <f>IF('TRACKER - 20220622'!U57&lt;&gt;"",UPPER('TRACKER - 20220622'!U57),"")</f>
        <v/>
      </c>
      <c r="T54" t="str">
        <f>IF('TRACKER - 20220622'!V57&lt;&gt;"",UPPER('TRACKER - 20220622'!V57),"")</f>
        <v/>
      </c>
      <c r="U54" t="str">
        <f>IF('TRACKER - 20220622'!W57&lt;&gt;"",UPPER('TRACKER - 20220622'!W57),"")</f>
        <v/>
      </c>
      <c r="V54" t="str">
        <f>IF('TRACKER - 20220622'!X57&lt;&gt;"",UPPER('TRACKER - 20220622'!X57),"")</f>
        <v/>
      </c>
      <c r="W54" t="str">
        <f>IF('TRACKER - 20220622'!Y57&lt;&gt;"",UPPER('TRACKER - 20220622'!Y57),"")</f>
        <v>0</v>
      </c>
      <c r="X54" t="str">
        <f>IF('TRACKER - 20220622'!Z57&lt;&gt;"",UPPER('TRACKER - 20220622'!Z57),"")</f>
        <v>0</v>
      </c>
      <c r="Y54" t="str">
        <f>IF('TRACKER - 20220622'!AA57&lt;&gt;"",UPPER('TRACKER - 20220622'!AA57),"")</f>
        <v>0</v>
      </c>
      <c r="Z54" t="str">
        <f>IF('TRACKER - 20220622'!AB57&lt;&gt;"",UPPER('TRACKER - 20220622'!AB57),"")</f>
        <v>0</v>
      </c>
      <c r="AA54" t="str">
        <f>IF('TRACKER - 20220622'!AC57&lt;&gt;"",UPPER('TRACKER - 20220622'!AC57),"")</f>
        <v>0</v>
      </c>
      <c r="AB54" t="str">
        <f>IF('TRACKER - 20220622'!AE57&lt;&gt;"",UPPER('TRACKER - 20220622'!AE57),"")</f>
        <v>0</v>
      </c>
      <c r="AC54" t="str">
        <f>IF('TRACKER - 20220622'!AF57&lt;&gt;"",UPPER('TRACKER - 20220622'!AF57),"")</f>
        <v>0</v>
      </c>
      <c r="AD54" t="str">
        <f>IF('TRACKER - 20220622'!AG57&lt;&gt;"",UPPER('TRACKER - 20220622'!AG57),"")</f>
        <v>0</v>
      </c>
      <c r="AE54" t="str">
        <f>IF('TRACKER - 20220622'!AH57&lt;&gt;"",UPPER('TRACKER - 20220622'!AH57),"")</f>
        <v>-150</v>
      </c>
      <c r="AF54" t="str">
        <f>IF('TRACKER - 20220622'!AI57&lt;&gt;"",UPPER('TRACKER - 20220622'!AI57),"")</f>
        <v/>
      </c>
      <c r="AG54" t="str">
        <f>IF('TRACKER - 20220622'!AJ57&lt;&gt;"",UPPER('TRACKER - 20220622'!AJ57),"")</f>
        <v>0</v>
      </c>
      <c r="AH54" t="str">
        <f>IF('TRACKER - 20220622'!AK57&lt;&gt;"",UPPER('TRACKER - 20220622'!AK57),"")</f>
        <v/>
      </c>
      <c r="AI54" t="str">
        <f>IF('TRACKER - 20220622'!AL57&lt;&gt;"",UPPER('TRACKER - 20220622'!AL57),"")</f>
        <v>0</v>
      </c>
      <c r="AJ54" t="str">
        <f>IF('TRACKER - 20220622'!AM57&lt;&gt;"",UPPER('TRACKER - 20220622'!AM57),"")</f>
        <v>0</v>
      </c>
      <c r="AK54" t="str">
        <f>IF('TRACKER - 20220622'!AN57&lt;&gt;"",UPPER('TRACKER - 20220622'!AN57),"")</f>
        <v/>
      </c>
      <c r="AL54" t="str">
        <f>IF('TRACKER - 20220622'!AO57&lt;&gt;"",UPPER('TRACKER - 20220622'!AO57),"")</f>
        <v>0</v>
      </c>
      <c r="AM54" t="str">
        <f>IF('TRACKER - 20220622'!AP57&lt;&gt;"",UPPER('TRACKER - 20220622'!AP57),"")</f>
        <v>0</v>
      </c>
      <c r="AN54" t="str">
        <f>IF('TRACKER - 20220622'!AQ57&lt;&gt;"",UPPER('TRACKER - 20220622'!AQ57),"")</f>
        <v>0</v>
      </c>
      <c r="AO54" t="str">
        <f>IF('TRACKER - 20220622'!AR57&lt;&gt;"",UPPER('TRACKER - 20220622'!AR57),"")</f>
        <v>PRD</v>
      </c>
      <c r="AP54" t="str">
        <f>IF('TRACKER - 20220622'!AS57&lt;&gt;"",UPPER('TRACKER - 20220622'!AS57),"")</f>
        <v>BLG</v>
      </c>
      <c r="AQ54" t="str">
        <f>IF('TRACKER - 20220622'!AT57&lt;&gt;"",UPPER('TRACKER - 20220622'!AT57),"")</f>
        <v>N</v>
      </c>
      <c r="AR54" t="str">
        <f>IF('TRACKER - 20220622'!AU57&lt;&gt;"",UPPER('TRACKER - 20220622'!AU57),"")</f>
        <v>-150</v>
      </c>
      <c r="AS54" t="str">
        <f>IF('TRACKER - 20220622'!AV57&lt;&gt;"",UPPER('TRACKER - 20220622'!AV57),"")</f>
        <v/>
      </c>
      <c r="AT54" t="str">
        <f>IF('TRACKER - 20220622'!AW57&lt;&gt;"",UPPER('TRACKER - 20220622'!AW57),"")</f>
        <v>DESCR57</v>
      </c>
      <c r="AU54" t="str">
        <f>IF('TRACKER - 20220622'!AX57&lt;&gt;"",UPPER('TRACKER - 20220622'!AX57),"")</f>
        <v>REASON57</v>
      </c>
      <c r="AV54" t="str">
        <f>IF('TRACKER - 20220622'!BD70&lt;&gt;"",'TRACKER - 20220622'!BD70,"")</f>
        <v/>
      </c>
      <c r="AW54" t="str">
        <f>IF('TRACKER - 20220622'!BE70&lt;&gt;"",'TRACKER - 20220622'!BE70,"")</f>
        <v/>
      </c>
      <c r="AX54" t="str">
        <f>IF('TRACKER - 20220622'!BF70&lt;&gt;"",'TRACKER - 20220622'!BF70,"")</f>
        <v/>
      </c>
      <c r="AY54" t="str">
        <f>IF('TRACKER - 20220622'!BG70&lt;&gt;"",'TRACKER - 20220622'!BG70,"")</f>
        <v/>
      </c>
      <c r="AZ54" t="str">
        <f>IF('TRACKER - 20220622'!BH70&lt;&gt;"",'TRACKER - 20220622'!BH70,"")</f>
        <v/>
      </c>
      <c r="BA54" t="str">
        <f>IF('TRACKER - 20220622'!BI70&lt;&gt;"",'TRACKER - 20220622'!BI70,"")</f>
        <v/>
      </c>
      <c r="BB54" t="str">
        <f>IF('TRACKER - 20220622'!BJ70&lt;&gt;"",'TRACKER - 20220622'!BJ70,"")</f>
        <v/>
      </c>
      <c r="BC54" t="str">
        <f>IF('TRACKER - 20220622'!BK70&lt;&gt;"",'TRACKER - 20220622'!BK70,"")</f>
        <v/>
      </c>
      <c r="BD54" t="str">
        <f>IF('TRACKER - 20220622'!BL70&lt;&gt;"",'TRACKER - 20220622'!BL70,"")</f>
        <v/>
      </c>
      <c r="BE54" t="str">
        <f>IF('TRACKER - 20220622'!BM70&lt;&gt;"",'TRACKER - 20220622'!BM70,"")</f>
        <v/>
      </c>
      <c r="BF54" t="str">
        <f>IF('TRACKER - 20220622'!BN70&lt;&gt;"",'TRACKER - 20220622'!BN70,"")</f>
        <v/>
      </c>
      <c r="BG54" t="str">
        <f>IF('TRACKER - 20220622'!BO70&lt;&gt;"",'TRACKER - 20220622'!BO70,"")</f>
        <v/>
      </c>
    </row>
    <row r="55" spans="1:59">
      <c r="A55" t="str">
        <f>IF('TRACKER - 20220622'!A71&lt;&gt;"",UPPER('TRACKER - 20220622'!A71),"")</f>
        <v>PRODUCT BACKLOG</v>
      </c>
      <c r="B55" t="str">
        <f>IF('TRACKER - 20220622'!B71&lt;&gt;"",UPPER('TRACKER - 20220622'!B71),"")</f>
        <v>N</v>
      </c>
      <c r="C55" t="str">
        <f>IF('TRACKER - 20220622'!D58&lt;&gt;"",UPPER('TRACKER - 20220622'!D58),"")</f>
        <v>33252</v>
      </c>
      <c r="D55" t="str">
        <f>IF('TRACKER - 20220622'!F71&lt;&gt;"",UPPER('TRACKER - 20220622'!F71),"")</f>
        <v>PRD-BLG-2020-00020</v>
      </c>
      <c r="E55" t="str">
        <f>IF('TRACKER - 20220622'!H71&lt;&gt;"",'TRACKER - 20220622'!H71,"")</f>
        <v>FINREP - COREP</v>
      </c>
      <c r="F55" t="str">
        <f t="shared" si="0"/>
        <v>PRD-BLG-2020-00020 FINREP - COREP</v>
      </c>
      <c r="G55" t="str">
        <f t="shared" si="1"/>
        <v>33252 - FINREP - COREP</v>
      </c>
      <c r="H55">
        <f>IF('TRACKER - 20220622'!J71&lt;&gt;"",'TRACKER - 20220622'!J71,"")</f>
        <v>0</v>
      </c>
      <c r="I55" t="str">
        <f>IF('TRACKER - 20220622'!K58&lt;&gt;"",UPPER('TRACKER - 20220622'!K58),"")</f>
        <v>44061</v>
      </c>
      <c r="J55" t="str">
        <f>IF('TRACKER - 20220622'!L58&lt;&gt;"",UPPER('TRACKER - 20220622'!L58),"")</f>
        <v>44061</v>
      </c>
      <c r="K55" t="str">
        <f>IF('TRACKER - 20220622'!M58&lt;&gt;"",UPPER('TRACKER - 20220622'!M58),"")</f>
        <v/>
      </c>
      <c r="L55" t="str">
        <f>IF('TRACKER - 20220622'!N58&lt;&gt;"",UPPER('TRACKER - 20220622'!N58),"")</f>
        <v/>
      </c>
      <c r="M55" t="str">
        <f>IF('TRACKER - 20220622'!O58&lt;&gt;"",UPPER('TRACKER - 20220622'!O58),"")</f>
        <v/>
      </c>
      <c r="N55" t="str">
        <f>IF('TRACKER - 20220622'!P58&lt;&gt;"",UPPER('TRACKER - 20220622'!P58),"")</f>
        <v/>
      </c>
      <c r="O55" t="str">
        <f>IF('TRACKER - 20220622'!Q58&lt;&gt;"",UPPER('TRACKER - 20220622'!Q58),"")</f>
        <v>PLATFORM</v>
      </c>
      <c r="P55" t="str">
        <f>IF('TRACKER - 20220622'!R58&lt;&gt;"",UPPER('TRACKER - 20220622'!R58),"")</f>
        <v>PRODUCT</v>
      </c>
      <c r="Q55" t="str">
        <f>IF('TRACKER - 20220622'!S58&lt;&gt;"",UPPER('TRACKER - 20220622'!S58),"")</f>
        <v/>
      </c>
      <c r="R55" t="str">
        <f>IF('TRACKER - 20220622'!T58&lt;&gt;"",UPPER('TRACKER - 20220622'!T58),"")</f>
        <v/>
      </c>
      <c r="S55" t="str">
        <f>IF('TRACKER - 20220622'!U58&lt;&gt;"",UPPER('TRACKER - 20220622'!U58),"")</f>
        <v/>
      </c>
      <c r="T55" t="str">
        <f>IF('TRACKER - 20220622'!V58&lt;&gt;"",UPPER('TRACKER - 20220622'!V58),"")</f>
        <v/>
      </c>
      <c r="U55" t="str">
        <f>IF('TRACKER - 20220622'!W58&lt;&gt;"",UPPER('TRACKER - 20220622'!W58),"")</f>
        <v/>
      </c>
      <c r="V55" t="str">
        <f>IF('TRACKER - 20220622'!X58&lt;&gt;"",UPPER('TRACKER - 20220622'!X58),"")</f>
        <v/>
      </c>
      <c r="W55" t="str">
        <f>IF('TRACKER - 20220622'!Y58&lt;&gt;"",UPPER('TRACKER - 20220622'!Y58),"")</f>
        <v>0</v>
      </c>
      <c r="X55" t="str">
        <f>IF('TRACKER - 20220622'!Z58&lt;&gt;"",UPPER('TRACKER - 20220622'!Z58),"")</f>
        <v>0</v>
      </c>
      <c r="Y55" t="str">
        <f>IF('TRACKER - 20220622'!AA58&lt;&gt;"",UPPER('TRACKER - 20220622'!AA58),"")</f>
        <v>0</v>
      </c>
      <c r="Z55" t="str">
        <f>IF('TRACKER - 20220622'!AB58&lt;&gt;"",UPPER('TRACKER - 20220622'!AB58),"")</f>
        <v>0</v>
      </c>
      <c r="AA55" t="str">
        <f>IF('TRACKER - 20220622'!AC58&lt;&gt;"",UPPER('TRACKER - 20220622'!AC58),"")</f>
        <v>0</v>
      </c>
      <c r="AB55" t="str">
        <f>IF('TRACKER - 20220622'!AE58&lt;&gt;"",UPPER('TRACKER - 20220622'!AE58),"")</f>
        <v>0</v>
      </c>
      <c r="AC55" t="str">
        <f>IF('TRACKER - 20220622'!AF58&lt;&gt;"",UPPER('TRACKER - 20220622'!AF58),"")</f>
        <v>0</v>
      </c>
      <c r="AD55" t="str">
        <f>IF('TRACKER - 20220622'!AG58&lt;&gt;"",UPPER('TRACKER - 20220622'!AG58),"")</f>
        <v>0</v>
      </c>
      <c r="AE55" t="str">
        <f>IF('TRACKER - 20220622'!AH58&lt;&gt;"",UPPER('TRACKER - 20220622'!AH58),"")</f>
        <v>-150</v>
      </c>
      <c r="AF55" t="str">
        <f>IF('TRACKER - 20220622'!AI58&lt;&gt;"",UPPER('TRACKER - 20220622'!AI58),"")</f>
        <v/>
      </c>
      <c r="AG55" t="str">
        <f>IF('TRACKER - 20220622'!AJ58&lt;&gt;"",UPPER('TRACKER - 20220622'!AJ58),"")</f>
        <v>0</v>
      </c>
      <c r="AH55" t="str">
        <f>IF('TRACKER - 20220622'!AK58&lt;&gt;"",UPPER('TRACKER - 20220622'!AK58),"")</f>
        <v/>
      </c>
      <c r="AI55" t="str">
        <f>IF('TRACKER - 20220622'!AL58&lt;&gt;"",UPPER('TRACKER - 20220622'!AL58),"")</f>
        <v>0</v>
      </c>
      <c r="AJ55" t="str">
        <f>IF('TRACKER - 20220622'!AM58&lt;&gt;"",UPPER('TRACKER - 20220622'!AM58),"")</f>
        <v>0</v>
      </c>
      <c r="AK55" t="str">
        <f>IF('TRACKER - 20220622'!AN58&lt;&gt;"",UPPER('TRACKER - 20220622'!AN58),"")</f>
        <v/>
      </c>
      <c r="AL55" t="str">
        <f>IF('TRACKER - 20220622'!AO58&lt;&gt;"",UPPER('TRACKER - 20220622'!AO58),"")</f>
        <v>0</v>
      </c>
      <c r="AM55" t="str">
        <f>IF('TRACKER - 20220622'!AP58&lt;&gt;"",UPPER('TRACKER - 20220622'!AP58),"")</f>
        <v>0</v>
      </c>
      <c r="AN55" t="str">
        <f>IF('TRACKER - 20220622'!AQ58&lt;&gt;"",UPPER('TRACKER - 20220622'!AQ58),"")</f>
        <v>0</v>
      </c>
      <c r="AO55" t="str">
        <f>IF('TRACKER - 20220622'!AR58&lt;&gt;"",UPPER('TRACKER - 20220622'!AR58),"")</f>
        <v>PRD</v>
      </c>
      <c r="AP55" t="str">
        <f>IF('TRACKER - 20220622'!AS58&lt;&gt;"",UPPER('TRACKER - 20220622'!AS58),"")</f>
        <v>BLG</v>
      </c>
      <c r="AQ55" t="str">
        <f>IF('TRACKER - 20220622'!AT58&lt;&gt;"",UPPER('TRACKER - 20220622'!AT58),"")</f>
        <v>N</v>
      </c>
      <c r="AR55" t="str">
        <f>IF('TRACKER - 20220622'!AU58&lt;&gt;"",UPPER('TRACKER - 20220622'!AU58),"")</f>
        <v>-150</v>
      </c>
      <c r="AS55" t="str">
        <f>IF('TRACKER - 20220622'!AV58&lt;&gt;"",UPPER('TRACKER - 20220622'!AV58),"")</f>
        <v/>
      </c>
      <c r="AT55" t="str">
        <f>IF('TRACKER - 20220622'!AW58&lt;&gt;"",UPPER('TRACKER - 20220622'!AW58),"")</f>
        <v>DESCR58</v>
      </c>
      <c r="AU55" t="str">
        <f>IF('TRACKER - 20220622'!AX58&lt;&gt;"",UPPER('TRACKER - 20220622'!AX58),"")</f>
        <v>REASON58</v>
      </c>
      <c r="AV55" t="str">
        <f>IF('TRACKER - 20220622'!BD71&lt;&gt;"",'TRACKER - 20220622'!BD71,"")</f>
        <v/>
      </c>
      <c r="AW55" t="str">
        <f>IF('TRACKER - 20220622'!BE71&lt;&gt;"",'TRACKER - 20220622'!BE71,"")</f>
        <v/>
      </c>
      <c r="AX55" t="str">
        <f>IF('TRACKER - 20220622'!BF71&lt;&gt;"",'TRACKER - 20220622'!BF71,"")</f>
        <v/>
      </c>
      <c r="AY55" t="str">
        <f>IF('TRACKER - 20220622'!BG71&lt;&gt;"",'TRACKER - 20220622'!BG71,"")</f>
        <v/>
      </c>
      <c r="AZ55" t="str">
        <f>IF('TRACKER - 20220622'!BH71&lt;&gt;"",'TRACKER - 20220622'!BH71,"")</f>
        <v/>
      </c>
      <c r="BA55" t="str">
        <f>IF('TRACKER - 20220622'!BI71&lt;&gt;"",'TRACKER - 20220622'!BI71,"")</f>
        <v/>
      </c>
      <c r="BB55" t="str">
        <f>IF('TRACKER - 20220622'!BJ71&lt;&gt;"",'TRACKER - 20220622'!BJ71,"")</f>
        <v/>
      </c>
      <c r="BC55" t="str">
        <f>IF('TRACKER - 20220622'!BK71&lt;&gt;"",'TRACKER - 20220622'!BK71,"")</f>
        <v/>
      </c>
      <c r="BD55" t="str">
        <f>IF('TRACKER - 20220622'!BL71&lt;&gt;"",'TRACKER - 20220622'!BL71,"")</f>
        <v/>
      </c>
      <c r="BE55" t="str">
        <f>IF('TRACKER - 20220622'!BM71&lt;&gt;"",'TRACKER - 20220622'!BM71,"")</f>
        <v/>
      </c>
      <c r="BF55" t="str">
        <f>IF('TRACKER - 20220622'!BN71&lt;&gt;"",'TRACKER - 20220622'!BN71,"")</f>
        <v/>
      </c>
      <c r="BG55" t="str">
        <f>IF('TRACKER - 20220622'!BO71&lt;&gt;"",'TRACKER - 20220622'!BO71,"")</f>
        <v/>
      </c>
    </row>
    <row r="56" spans="1:59">
      <c r="A56" t="str">
        <f>IF('TRACKER - 20220622'!A72&lt;&gt;"",UPPER('TRACKER - 20220622'!A72),"")</f>
        <v>PRODUCT BACKLOG</v>
      </c>
      <c r="B56" t="str">
        <f>IF('TRACKER - 20220622'!B72&lt;&gt;"",UPPER('TRACKER - 20220622'!B72),"")</f>
        <v>N</v>
      </c>
      <c r="C56" t="str">
        <f>IF('TRACKER - 20220622'!D59&lt;&gt;"",UPPER('TRACKER - 20220622'!D59),"")</f>
        <v>3</v>
      </c>
      <c r="D56" t="str">
        <f>IF('TRACKER - 20220622'!F72&lt;&gt;"",UPPER('TRACKER - 20220622'!F72),"")</f>
        <v>PRD-BLG-2020-33665</v>
      </c>
      <c r="E56" t="str">
        <f>IF('TRACKER - 20220622'!H72&lt;&gt;"",'TRACKER - 20220622'!H72,"")</f>
        <v>eBAM: Bank account Management - Barry Callibaut</v>
      </c>
      <c r="F56" t="str">
        <f t="shared" si="0"/>
        <v>PRD-BLG-2020-33665 eBAM: Bank account Management - Barry Callibaut</v>
      </c>
      <c r="G56" t="str">
        <f t="shared" si="1"/>
        <v>00003 - eBAM: Bank account Management - Barry Callibaut</v>
      </c>
      <c r="H56">
        <f>IF('TRACKER - 20220622'!J72&lt;&gt;"",'TRACKER - 20220622'!J72,"")</f>
        <v>0</v>
      </c>
      <c r="I56" t="str">
        <f>IF('TRACKER - 20220622'!K59&lt;&gt;"",UPPER('TRACKER - 20220622'!K59),"")</f>
        <v>43952</v>
      </c>
      <c r="J56" t="str">
        <f>IF('TRACKER - 20220622'!L59&lt;&gt;"",UPPER('TRACKER - 20220622'!L59),"")</f>
        <v>43952</v>
      </c>
      <c r="K56" t="str">
        <f>IF('TRACKER - 20220622'!M59&lt;&gt;"",UPPER('TRACKER - 20220622'!M59),"")</f>
        <v/>
      </c>
      <c r="L56" t="str">
        <f>IF('TRACKER - 20220622'!N59&lt;&gt;"",UPPER('TRACKER - 20220622'!N59),"")</f>
        <v/>
      </c>
      <c r="M56" t="str">
        <f>IF('TRACKER - 20220622'!O59&lt;&gt;"",UPPER('TRACKER - 20220622'!O59),"")</f>
        <v/>
      </c>
      <c r="N56" t="str">
        <f>IF('TRACKER - 20220622'!P59&lt;&gt;"",UPPER('TRACKER - 20220622'!P59),"")</f>
        <v/>
      </c>
      <c r="O56" t="str">
        <f>IF('TRACKER - 20220622'!Q59&lt;&gt;"",UPPER('TRACKER - 20220622'!Q59),"")</f>
        <v>PLATFORM</v>
      </c>
      <c r="P56" t="str">
        <f>IF('TRACKER - 20220622'!R59&lt;&gt;"",UPPER('TRACKER - 20220622'!R59),"")</f>
        <v>PRODUCT</v>
      </c>
      <c r="Q56" t="str">
        <f>IF('TRACKER - 20220622'!S59&lt;&gt;"",UPPER('TRACKER - 20220622'!S59),"")</f>
        <v/>
      </c>
      <c r="R56" t="str">
        <f>IF('TRACKER - 20220622'!T59&lt;&gt;"",UPPER('TRACKER - 20220622'!T59),"")</f>
        <v/>
      </c>
      <c r="S56" t="str">
        <f>IF('TRACKER - 20220622'!U59&lt;&gt;"",UPPER('TRACKER - 20220622'!U59),"")</f>
        <v/>
      </c>
      <c r="T56" t="str">
        <f>IF('TRACKER - 20220622'!V59&lt;&gt;"",UPPER('TRACKER - 20220622'!V59),"")</f>
        <v/>
      </c>
      <c r="U56" t="str">
        <f>IF('TRACKER - 20220622'!W59&lt;&gt;"",UPPER('TRACKER - 20220622'!W59),"")</f>
        <v/>
      </c>
      <c r="V56" t="str">
        <f>IF('TRACKER - 20220622'!X59&lt;&gt;"",UPPER('TRACKER - 20220622'!X59),"")</f>
        <v>REJECTED - TRANSFERED TO SALES DESK CONVERTION TO WEB.</v>
      </c>
      <c r="W56" t="str">
        <f>IF('TRACKER - 20220622'!Y59&lt;&gt;"",UPPER('TRACKER - 20220622'!Y59),"")</f>
        <v>0</v>
      </c>
      <c r="X56" t="str">
        <f>IF('TRACKER - 20220622'!Z59&lt;&gt;"",UPPER('TRACKER - 20220622'!Z59),"")</f>
        <v>0</v>
      </c>
      <c r="Y56" t="str">
        <f>IF('TRACKER - 20220622'!AA59&lt;&gt;"",UPPER('TRACKER - 20220622'!AA59),"")</f>
        <v>0</v>
      </c>
      <c r="Z56" t="str">
        <f>IF('TRACKER - 20220622'!AB59&lt;&gt;"",UPPER('TRACKER - 20220622'!AB59),"")</f>
        <v>0</v>
      </c>
      <c r="AA56" t="str">
        <f>IF('TRACKER - 20220622'!AC59&lt;&gt;"",UPPER('TRACKER - 20220622'!AC59),"")</f>
        <v>0</v>
      </c>
      <c r="AB56" t="str">
        <f>IF('TRACKER - 20220622'!AE59&lt;&gt;"",UPPER('TRACKER - 20220622'!AE59),"")</f>
        <v>0</v>
      </c>
      <c r="AC56" t="str">
        <f>IF('TRACKER - 20220622'!AF59&lt;&gt;"",UPPER('TRACKER - 20220622'!AF59),"")</f>
        <v>0</v>
      </c>
      <c r="AD56" t="str">
        <f>IF('TRACKER - 20220622'!AG59&lt;&gt;"",UPPER('TRACKER - 20220622'!AG59),"")</f>
        <v>0</v>
      </c>
      <c r="AE56" t="str">
        <f>IF('TRACKER - 20220622'!AH59&lt;&gt;"",UPPER('TRACKER - 20220622'!AH59),"")</f>
        <v>-150</v>
      </c>
      <c r="AF56" t="str">
        <f>IF('TRACKER - 20220622'!AI59&lt;&gt;"",UPPER('TRACKER - 20220622'!AI59),"")</f>
        <v/>
      </c>
      <c r="AG56" t="str">
        <f>IF('TRACKER - 20220622'!AJ59&lt;&gt;"",UPPER('TRACKER - 20220622'!AJ59),"")</f>
        <v>0</v>
      </c>
      <c r="AH56" t="str">
        <f>IF('TRACKER - 20220622'!AK59&lt;&gt;"",UPPER('TRACKER - 20220622'!AK59),"")</f>
        <v/>
      </c>
      <c r="AI56" t="str">
        <f>IF('TRACKER - 20220622'!AL59&lt;&gt;"",UPPER('TRACKER - 20220622'!AL59),"")</f>
        <v>0</v>
      </c>
      <c r="AJ56" t="str">
        <f>IF('TRACKER - 20220622'!AM59&lt;&gt;"",UPPER('TRACKER - 20220622'!AM59),"")</f>
        <v>0</v>
      </c>
      <c r="AK56" t="str">
        <f>IF('TRACKER - 20220622'!AN59&lt;&gt;"",UPPER('TRACKER - 20220622'!AN59),"")</f>
        <v/>
      </c>
      <c r="AL56" t="str">
        <f>IF('TRACKER - 20220622'!AO59&lt;&gt;"",UPPER('TRACKER - 20220622'!AO59),"")</f>
        <v>0</v>
      </c>
      <c r="AM56" t="str">
        <f>IF('TRACKER - 20220622'!AP59&lt;&gt;"",UPPER('TRACKER - 20220622'!AP59),"")</f>
        <v>0</v>
      </c>
      <c r="AN56" t="str">
        <f>IF('TRACKER - 20220622'!AQ59&lt;&gt;"",UPPER('TRACKER - 20220622'!AQ59),"")</f>
        <v>0</v>
      </c>
      <c r="AO56" t="str">
        <f>IF('TRACKER - 20220622'!AR59&lt;&gt;"",UPPER('TRACKER - 20220622'!AR59),"")</f>
        <v>PRD</v>
      </c>
      <c r="AP56" t="str">
        <f>IF('TRACKER - 20220622'!AS59&lt;&gt;"",UPPER('TRACKER - 20220622'!AS59),"")</f>
        <v>BLG</v>
      </c>
      <c r="AQ56" t="str">
        <f>IF('TRACKER - 20220622'!AT59&lt;&gt;"",UPPER('TRACKER - 20220622'!AT59),"")</f>
        <v>N</v>
      </c>
      <c r="AR56" t="str">
        <f>IF('TRACKER - 20220622'!AU59&lt;&gt;"",UPPER('TRACKER - 20220622'!AU59),"")</f>
        <v>-150</v>
      </c>
      <c r="AS56" t="str">
        <f>IF('TRACKER - 20220622'!AV59&lt;&gt;"",UPPER('TRACKER - 20220622'!AV59),"")</f>
        <v/>
      </c>
      <c r="AT56" t="str">
        <f>IF('TRACKER - 20220622'!AW59&lt;&gt;"",UPPER('TRACKER - 20220622'!AW59),"")</f>
        <v>DESCR59</v>
      </c>
      <c r="AU56" t="str">
        <f>IF('TRACKER - 20220622'!AX59&lt;&gt;"",UPPER('TRACKER - 20220622'!AX59),"")</f>
        <v>REASON59</v>
      </c>
      <c r="AV56" t="str">
        <f>IF('TRACKER - 20220622'!BD72&lt;&gt;"",'TRACKER - 20220622'!BD72,"")</f>
        <v/>
      </c>
      <c r="AW56" t="str">
        <f>IF('TRACKER - 20220622'!BE72&lt;&gt;"",'TRACKER - 20220622'!BE72,"")</f>
        <v/>
      </c>
      <c r="AX56" t="str">
        <f>IF('TRACKER - 20220622'!BF72&lt;&gt;"",'TRACKER - 20220622'!BF72,"")</f>
        <v/>
      </c>
      <c r="AY56" t="str">
        <f>IF('TRACKER - 20220622'!BG72&lt;&gt;"",'TRACKER - 20220622'!BG72,"")</f>
        <v/>
      </c>
      <c r="AZ56" t="str">
        <f>IF('TRACKER - 20220622'!BH72&lt;&gt;"",'TRACKER - 20220622'!BH72,"")</f>
        <v/>
      </c>
      <c r="BA56" t="str">
        <f>IF('TRACKER - 20220622'!BI72&lt;&gt;"",'TRACKER - 20220622'!BI72,"")</f>
        <v/>
      </c>
      <c r="BB56" t="str">
        <f>IF('TRACKER - 20220622'!BJ72&lt;&gt;"",'TRACKER - 20220622'!BJ72,"")</f>
        <v/>
      </c>
      <c r="BC56" t="str">
        <f>IF('TRACKER - 20220622'!BK72&lt;&gt;"",'TRACKER - 20220622'!BK72,"")</f>
        <v/>
      </c>
      <c r="BD56" t="str">
        <f>IF('TRACKER - 20220622'!BL72&lt;&gt;"",'TRACKER - 20220622'!BL72,"")</f>
        <v/>
      </c>
      <c r="BE56" t="str">
        <f>IF('TRACKER - 20220622'!BM72&lt;&gt;"",'TRACKER - 20220622'!BM72,"")</f>
        <v/>
      </c>
      <c r="BF56" t="str">
        <f>IF('TRACKER - 20220622'!BN72&lt;&gt;"",'TRACKER - 20220622'!BN72,"")</f>
        <v/>
      </c>
      <c r="BG56" t="str">
        <f>IF('TRACKER - 20220622'!BO72&lt;&gt;"",'TRACKER - 20220622'!BO72,"")</f>
        <v/>
      </c>
    </row>
    <row r="57" spans="1:59">
      <c r="A57" t="str">
        <f>IF('TRACKER - 20220622'!A73&lt;&gt;"",UPPER('TRACKER - 20220622'!A73),"")</f>
        <v>PRODUCT BACKLOG</v>
      </c>
      <c r="B57" t="str">
        <f>IF('TRACKER - 20220622'!B73&lt;&gt;"",UPPER('TRACKER - 20220622'!B73),"")</f>
        <v>N</v>
      </c>
      <c r="C57" t="str">
        <f>IF('TRACKER - 20220622'!D60&lt;&gt;"",UPPER('TRACKER - 20220622'!D60),"")</f>
        <v>11</v>
      </c>
      <c r="D57" t="str">
        <f>IF('TRACKER - 20220622'!F73&lt;&gt;"",UPPER('TRACKER - 20220622'!F73),"")</f>
        <v>PRD-BLG-2020-00000</v>
      </c>
      <c r="E57" t="str">
        <f>IF('TRACKER - 20220622'!H73&lt;&gt;"",'TRACKER - 20220622'!H73,"")</f>
        <v>eCollecting - Settlement via Cash</v>
      </c>
      <c r="F57" t="str">
        <f t="shared" si="0"/>
        <v>PRD-BLG-2020-00000 eCollecting - Settlement via Cash</v>
      </c>
      <c r="G57" t="str">
        <f t="shared" si="1"/>
        <v>00011 - eCollecting - Settlement via Cash</v>
      </c>
      <c r="H57">
        <f>IF('TRACKER - 20220622'!J73&lt;&gt;"",'TRACKER - 20220622'!J73,"")</f>
        <v>0</v>
      </c>
      <c r="I57" t="str">
        <f>IF('TRACKER - 20220622'!K60&lt;&gt;"",UPPER('TRACKER - 20220622'!K60),"")</f>
        <v>44012</v>
      </c>
      <c r="J57" t="str">
        <f>IF('TRACKER - 20220622'!L60&lt;&gt;"",UPPER('TRACKER - 20220622'!L60),"")</f>
        <v>44012</v>
      </c>
      <c r="K57" t="str">
        <f>IF('TRACKER - 20220622'!M60&lt;&gt;"",UPPER('TRACKER - 20220622'!M60),"")</f>
        <v/>
      </c>
      <c r="L57" t="str">
        <f>IF('TRACKER - 20220622'!N60&lt;&gt;"",UPPER('TRACKER - 20220622'!N60),"")</f>
        <v/>
      </c>
      <c r="M57" t="str">
        <f>IF('TRACKER - 20220622'!O60&lt;&gt;"",UPPER('TRACKER - 20220622'!O60),"")</f>
        <v/>
      </c>
      <c r="N57" t="str">
        <f>IF('TRACKER - 20220622'!P60&lt;&gt;"",UPPER('TRACKER - 20220622'!P60),"")</f>
        <v/>
      </c>
      <c r="O57" t="str">
        <f>IF('TRACKER - 20220622'!Q60&lt;&gt;"",UPPER('TRACKER - 20220622'!Q60),"")</f>
        <v>TREASURY</v>
      </c>
      <c r="P57" t="str">
        <f>IF('TRACKER - 20220622'!R60&lt;&gt;"",UPPER('TRACKER - 20220622'!R60),"")</f>
        <v>MARKET</v>
      </c>
      <c r="Q57" t="str">
        <f>IF('TRACKER - 20220622'!S60&lt;&gt;"",UPPER('TRACKER - 20220622'!S60),"")</f>
        <v>GAP</v>
      </c>
      <c r="R57" t="str">
        <f>IF('TRACKER - 20220622'!T60&lt;&gt;"",UPPER('TRACKER - 20220622'!T60),"")</f>
        <v>LOW</v>
      </c>
      <c r="S57" t="str">
        <f>IF('TRACKER - 20220622'!U60&lt;&gt;"",UPPER('TRACKER - 20220622'!U60),"")</f>
        <v>MODERATE</v>
      </c>
      <c r="T57" t="str">
        <f>IF('TRACKER - 20220622'!V60&lt;&gt;"",UPPER('TRACKER - 20220622'!V60),"")</f>
        <v>44356</v>
      </c>
      <c r="U57" t="str">
        <f>IF('TRACKER - 20220622'!W60&lt;&gt;"",UPPER('TRACKER - 20220622'!W60),"")</f>
        <v>NO DRIVER FROM EXISTING CUSTOMERS AT PRESENT</v>
      </c>
      <c r="V57" t="str">
        <f>IF('TRACKER - 20220622'!X60&lt;&gt;"",UPPER('TRACKER - 20220622'!X60),"")</f>
        <v>RAISED - CLSNOW IS NOW ACTIVE AND IS GAINING TRACTION. OUR CURRENT CLS USERS HAVE EXPRESSED INTEREST. - TO CONFIRM IF ACTIVE IN THE MARKET
09/06/21 - NO REQUIRE FROM EXISTING CUSTOMERS, CAME OUT AS SOMETHING GENERATED BY CLS. PRIMARY BENIFICARIES BDB/BACB PRIMARY USAGE FOR FX.</v>
      </c>
      <c r="W57" t="str">
        <f>IF('TRACKER - 20220622'!Y60&lt;&gt;"",UPPER('TRACKER - 20220622'!Y60),"")</f>
        <v>0</v>
      </c>
      <c r="X57" t="str">
        <f>IF('TRACKER - 20220622'!Z60&lt;&gt;"",UPPER('TRACKER - 20220622'!Z60),"")</f>
        <v>0</v>
      </c>
      <c r="Y57" t="str">
        <f>IF('TRACKER - 20220622'!AA60&lt;&gt;"",UPPER('TRACKER - 20220622'!AA60),"")</f>
        <v>0</v>
      </c>
      <c r="Z57" t="str">
        <f>IF('TRACKER - 20220622'!AB60&lt;&gt;"",UPPER('TRACKER - 20220622'!AB60),"")</f>
        <v>0</v>
      </c>
      <c r="AA57" t="str">
        <f>IF('TRACKER - 20220622'!AC60&lt;&gt;"",UPPER('TRACKER - 20220622'!AC60),"")</f>
        <v>0</v>
      </c>
      <c r="AB57" t="str">
        <f>IF('TRACKER - 20220622'!AE60&lt;&gt;"",UPPER('TRACKER - 20220622'!AE60),"")</f>
        <v>0</v>
      </c>
      <c r="AC57" t="str">
        <f>IF('TRACKER - 20220622'!AF60&lt;&gt;"",UPPER('TRACKER - 20220622'!AF60),"")</f>
        <v>0</v>
      </c>
      <c r="AD57" t="str">
        <f>IF('TRACKER - 20220622'!AG60&lt;&gt;"",UPPER('TRACKER - 20220622'!AG60),"")</f>
        <v>0</v>
      </c>
      <c r="AE57" t="str">
        <f>IF('TRACKER - 20220622'!AH60&lt;&gt;"",UPPER('TRACKER - 20220622'!AH60),"")</f>
        <v>-150</v>
      </c>
      <c r="AF57" t="str">
        <f>IF('TRACKER - 20220622'!AI60&lt;&gt;"",UPPER('TRACKER - 20220622'!AI60),"")</f>
        <v/>
      </c>
      <c r="AG57" t="str">
        <f>IF('TRACKER - 20220622'!AJ60&lt;&gt;"",UPPER('TRACKER - 20220622'!AJ60),"")</f>
        <v>0</v>
      </c>
      <c r="AH57" t="str">
        <f>IF('TRACKER - 20220622'!AK60&lt;&gt;"",UPPER('TRACKER - 20220622'!AK60),"")</f>
        <v/>
      </c>
      <c r="AI57" t="str">
        <f>IF('TRACKER - 20220622'!AL60&lt;&gt;"",UPPER('TRACKER - 20220622'!AL60),"")</f>
        <v>0</v>
      </c>
      <c r="AJ57" t="str">
        <f>IF('TRACKER - 20220622'!AM60&lt;&gt;"",UPPER('TRACKER - 20220622'!AM60),"")</f>
        <v>0</v>
      </c>
      <c r="AK57" t="str">
        <f>IF('TRACKER - 20220622'!AN60&lt;&gt;"",UPPER('TRACKER - 20220622'!AN60),"")</f>
        <v/>
      </c>
      <c r="AL57" t="str">
        <f>IF('TRACKER - 20220622'!AO60&lt;&gt;"",UPPER('TRACKER - 20220622'!AO60),"")</f>
        <v>0</v>
      </c>
      <c r="AM57" t="str">
        <f>IF('TRACKER - 20220622'!AP60&lt;&gt;"",UPPER('TRACKER - 20220622'!AP60),"")</f>
        <v>0</v>
      </c>
      <c r="AN57" t="str">
        <f>IF('TRACKER - 20220622'!AQ60&lt;&gt;"",UPPER('TRACKER - 20220622'!AQ60),"")</f>
        <v>0</v>
      </c>
      <c r="AO57" t="str">
        <f>IF('TRACKER - 20220622'!AR60&lt;&gt;"",UPPER('TRACKER - 20220622'!AR60),"")</f>
        <v>PRD</v>
      </c>
      <c r="AP57" t="str">
        <f>IF('TRACKER - 20220622'!AS60&lt;&gt;"",UPPER('TRACKER - 20220622'!AS60),"")</f>
        <v>BLG</v>
      </c>
      <c r="AQ57" t="str">
        <f>IF('TRACKER - 20220622'!AT60&lt;&gt;"",UPPER('TRACKER - 20220622'!AT60),"")</f>
        <v>N</v>
      </c>
      <c r="AR57" t="str">
        <f>IF('TRACKER - 20220622'!AU60&lt;&gt;"",UPPER('TRACKER - 20220622'!AU60),"")</f>
        <v>-150</v>
      </c>
      <c r="AS57" t="str">
        <f>IF('TRACKER - 20220622'!AV60&lt;&gt;"",UPPER('TRACKER - 20220622'!AV60),"")</f>
        <v/>
      </c>
      <c r="AT57" t="str">
        <f>IF('TRACKER - 20220622'!AW60&lt;&gt;"",UPPER('TRACKER - 20220622'!AW60),"")</f>
        <v>DESCR60</v>
      </c>
      <c r="AU57" t="str">
        <f>IF('TRACKER - 20220622'!AX60&lt;&gt;"",UPPER('TRACKER - 20220622'!AX60),"")</f>
        <v>REASON60</v>
      </c>
      <c r="AV57" t="str">
        <f>IF('TRACKER - 20220622'!BD73&lt;&gt;"",'TRACKER - 20220622'!BD73,"")</f>
        <v/>
      </c>
      <c r="AW57" t="str">
        <f>IF('TRACKER - 20220622'!BE73&lt;&gt;"",'TRACKER - 20220622'!BE73,"")</f>
        <v/>
      </c>
      <c r="AX57" t="str">
        <f>IF('TRACKER - 20220622'!BF73&lt;&gt;"",'TRACKER - 20220622'!BF73,"")</f>
        <v/>
      </c>
      <c r="AY57" t="str">
        <f>IF('TRACKER - 20220622'!BG73&lt;&gt;"",'TRACKER - 20220622'!BG73,"")</f>
        <v/>
      </c>
      <c r="AZ57" t="str">
        <f>IF('TRACKER - 20220622'!BH73&lt;&gt;"",'TRACKER - 20220622'!BH73,"")</f>
        <v/>
      </c>
      <c r="BA57" t="str">
        <f>IF('TRACKER - 20220622'!BI73&lt;&gt;"",'TRACKER - 20220622'!BI73,"")</f>
        <v/>
      </c>
      <c r="BB57" t="str">
        <f>IF('TRACKER - 20220622'!BJ73&lt;&gt;"",'TRACKER - 20220622'!BJ73,"")</f>
        <v/>
      </c>
      <c r="BC57" t="str">
        <f>IF('TRACKER - 20220622'!BK73&lt;&gt;"",'TRACKER - 20220622'!BK73,"")</f>
        <v/>
      </c>
      <c r="BD57" t="str">
        <f>IF('TRACKER - 20220622'!BL73&lt;&gt;"",'TRACKER - 20220622'!BL73,"")</f>
        <v/>
      </c>
      <c r="BE57" t="str">
        <f>IF('TRACKER - 20220622'!BM73&lt;&gt;"",'TRACKER - 20220622'!BM73,"")</f>
        <v/>
      </c>
      <c r="BF57" t="str">
        <f>IF('TRACKER - 20220622'!BN73&lt;&gt;"",'TRACKER - 20220622'!BN73,"")</f>
        <v/>
      </c>
      <c r="BG57" t="str">
        <f>IF('TRACKER - 20220622'!BO73&lt;&gt;"",'TRACKER - 20220622'!BO73,"")</f>
        <v/>
      </c>
    </row>
    <row r="58" spans="1:59">
      <c r="A58" t="str">
        <f>IF('TRACKER - 20220622'!A74&lt;&gt;"",UPPER('TRACKER - 20220622'!A74),"")</f>
        <v>PRODUCT BACKLOG</v>
      </c>
      <c r="B58" t="str">
        <f>IF('TRACKER - 20220622'!B74&lt;&gt;"",UPPER('TRACKER - 20220622'!B74),"")</f>
        <v>N</v>
      </c>
      <c r="C58" t="str">
        <f>IF('TRACKER - 20220622'!D61&lt;&gt;"",UPPER('TRACKER - 20220622'!D61),"")</f>
        <v>12</v>
      </c>
      <c r="D58" t="str">
        <f>IF('TRACKER - 20220622'!F74&lt;&gt;"",UPPER('TRACKER - 20220622'!F74),"")</f>
        <v>PRD-BLG-2020-33669</v>
      </c>
      <c r="E58" t="str">
        <f>IF('TRACKER - 20220622'!H74&lt;&gt;"",'TRACKER - 20220622'!H74,"")</f>
        <v>Virtual Account Management Platform VAM - Barry Callebeaut</v>
      </c>
      <c r="F58" t="str">
        <f t="shared" si="0"/>
        <v>PRD-BLG-2020-33669 Virtual Account Management Platform VAM - Barry Callebeaut</v>
      </c>
      <c r="G58" t="str">
        <f t="shared" si="1"/>
        <v>00012 - Virtual Account Management Platform VAM - Barry Callebeaut</v>
      </c>
      <c r="H58">
        <f>IF('TRACKER - 20220622'!J74&lt;&gt;"",'TRACKER - 20220622'!J74,"")</f>
        <v>0</v>
      </c>
      <c r="I58" t="str">
        <f>IF('TRACKER - 20220622'!K61&lt;&gt;"",UPPER('TRACKER - 20220622'!K61),"")</f>
        <v>44012</v>
      </c>
      <c r="J58" t="str">
        <f>IF('TRACKER - 20220622'!L61&lt;&gt;"",UPPER('TRACKER - 20220622'!L61),"")</f>
        <v>44012</v>
      </c>
      <c r="K58" t="str">
        <f>IF('TRACKER - 20220622'!M61&lt;&gt;"",UPPER('TRACKER - 20220622'!M61),"")</f>
        <v/>
      </c>
      <c r="L58" t="str">
        <f>IF('TRACKER - 20220622'!N61&lt;&gt;"",UPPER('TRACKER - 20220622'!N61),"")</f>
        <v/>
      </c>
      <c r="M58" t="str">
        <f>IF('TRACKER - 20220622'!O61&lt;&gt;"",UPPER('TRACKER - 20220622'!O61),"")</f>
        <v/>
      </c>
      <c r="N58" t="str">
        <f>IF('TRACKER - 20220622'!P61&lt;&gt;"",UPPER('TRACKER - 20220622'!P61),"")</f>
        <v/>
      </c>
      <c r="O58" t="str">
        <f>IF('TRACKER - 20220622'!Q61&lt;&gt;"",UPPER('TRACKER - 20220622'!Q61),"")</f>
        <v>TREASURY</v>
      </c>
      <c r="P58" t="str">
        <f>IF('TRACKER - 20220622'!R61&lt;&gt;"",UPPER('TRACKER - 20220622'!R61),"")</f>
        <v>MARKET</v>
      </c>
      <c r="Q58" t="str">
        <f>IF('TRACKER - 20220622'!S61&lt;&gt;"",UPPER('TRACKER - 20220622'!S61),"")</f>
        <v>DEFECT</v>
      </c>
      <c r="R58" t="str">
        <f>IF('TRACKER - 20220622'!T61&lt;&gt;"",UPPER('TRACKER - 20220622'!T61),"")</f>
        <v>MODERATE</v>
      </c>
      <c r="S58" t="str">
        <f>IF('TRACKER - 20220622'!U61&lt;&gt;"",UPPER('TRACKER - 20220622'!U61),"")</f>
        <v>HIGH</v>
      </c>
      <c r="T58" t="str">
        <f>IF('TRACKER - 20220622'!V61&lt;&gt;"",UPPER('TRACKER - 20220622'!V61),"")</f>
        <v/>
      </c>
      <c r="U58" t="str">
        <f>IF('TRACKER - 20220622'!W61&lt;&gt;"",UPPER('TRACKER - 20220622'!W61),"")</f>
        <v/>
      </c>
      <c r="V58" t="str">
        <f>IF('TRACKER - 20220622'!X61&lt;&gt;"",UPPER('TRACKER - 20220622'!X61),"")</f>
        <v>RAISED - OE DOCUMENTING
WE ONLY HAVE HALF A PRODUCT OFFERING, DOES NOT UPDATE POSITIONS, NO GL. POTENTIAL - ZENITH, BACB.
APPLIES TO ALL NI'S</v>
      </c>
      <c r="W58" t="str">
        <f>IF('TRACKER - 20220622'!Y61&lt;&gt;"",UPPER('TRACKER - 20220622'!Y61),"")</f>
        <v>0</v>
      </c>
      <c r="X58" t="str">
        <f>IF('TRACKER - 20220622'!Z61&lt;&gt;"",UPPER('TRACKER - 20220622'!Z61),"")</f>
        <v>0</v>
      </c>
      <c r="Y58" t="str">
        <f>IF('TRACKER - 20220622'!AA61&lt;&gt;"",UPPER('TRACKER - 20220622'!AA61),"")</f>
        <v>0</v>
      </c>
      <c r="Z58" t="str">
        <f>IF('TRACKER - 20220622'!AB61&lt;&gt;"",UPPER('TRACKER - 20220622'!AB61),"")</f>
        <v>0</v>
      </c>
      <c r="AA58" t="str">
        <f>IF('TRACKER - 20220622'!AC61&lt;&gt;"",UPPER('TRACKER - 20220622'!AC61),"")</f>
        <v>0</v>
      </c>
      <c r="AB58" t="str">
        <f>IF('TRACKER - 20220622'!AE61&lt;&gt;"",UPPER('TRACKER - 20220622'!AE61),"")</f>
        <v>0</v>
      </c>
      <c r="AC58" t="str">
        <f>IF('TRACKER - 20220622'!AF61&lt;&gt;"",UPPER('TRACKER - 20220622'!AF61),"")</f>
        <v>0</v>
      </c>
      <c r="AD58" t="str">
        <f>IF('TRACKER - 20220622'!AG61&lt;&gt;"",UPPER('TRACKER - 20220622'!AG61),"")</f>
        <v>0</v>
      </c>
      <c r="AE58" t="str">
        <f>IF('TRACKER - 20220622'!AH61&lt;&gt;"",UPPER('TRACKER - 20220622'!AH61),"")</f>
        <v>-150</v>
      </c>
      <c r="AF58" t="str">
        <f>IF('TRACKER - 20220622'!AI61&lt;&gt;"",UPPER('TRACKER - 20220622'!AI61),"")</f>
        <v/>
      </c>
      <c r="AG58" t="str">
        <f>IF('TRACKER - 20220622'!AJ61&lt;&gt;"",UPPER('TRACKER - 20220622'!AJ61),"")</f>
        <v>0</v>
      </c>
      <c r="AH58" t="str">
        <f>IF('TRACKER - 20220622'!AK61&lt;&gt;"",UPPER('TRACKER - 20220622'!AK61),"")</f>
        <v/>
      </c>
      <c r="AI58" t="str">
        <f>IF('TRACKER - 20220622'!AL61&lt;&gt;"",UPPER('TRACKER - 20220622'!AL61),"")</f>
        <v>0</v>
      </c>
      <c r="AJ58" t="str">
        <f>IF('TRACKER - 20220622'!AM61&lt;&gt;"",UPPER('TRACKER - 20220622'!AM61),"")</f>
        <v>0</v>
      </c>
      <c r="AK58" t="str">
        <f>IF('TRACKER - 20220622'!AN61&lt;&gt;"",UPPER('TRACKER - 20220622'!AN61),"")</f>
        <v/>
      </c>
      <c r="AL58" t="str">
        <f>IF('TRACKER - 20220622'!AO61&lt;&gt;"",UPPER('TRACKER - 20220622'!AO61),"")</f>
        <v>0</v>
      </c>
      <c r="AM58" t="str">
        <f>IF('TRACKER - 20220622'!AP61&lt;&gt;"",UPPER('TRACKER - 20220622'!AP61),"")</f>
        <v>0</v>
      </c>
      <c r="AN58" t="str">
        <f>IF('TRACKER - 20220622'!AQ61&lt;&gt;"",UPPER('TRACKER - 20220622'!AQ61),"")</f>
        <v>0</v>
      </c>
      <c r="AO58" t="str">
        <f>IF('TRACKER - 20220622'!AR61&lt;&gt;"",UPPER('TRACKER - 20220622'!AR61),"")</f>
        <v>PRD</v>
      </c>
      <c r="AP58" t="str">
        <f>IF('TRACKER - 20220622'!AS61&lt;&gt;"",UPPER('TRACKER - 20220622'!AS61),"")</f>
        <v>BLG</v>
      </c>
      <c r="AQ58" t="str">
        <f>IF('TRACKER - 20220622'!AT61&lt;&gt;"",UPPER('TRACKER - 20220622'!AT61),"")</f>
        <v>N</v>
      </c>
      <c r="AR58" t="str">
        <f>IF('TRACKER - 20220622'!AU61&lt;&gt;"",UPPER('TRACKER - 20220622'!AU61),"")</f>
        <v>-150</v>
      </c>
      <c r="AS58" t="str">
        <f>IF('TRACKER - 20220622'!AV61&lt;&gt;"",UPPER('TRACKER - 20220622'!AV61),"")</f>
        <v/>
      </c>
      <c r="AT58" t="str">
        <f>IF('TRACKER - 20220622'!AW61&lt;&gt;"",UPPER('TRACKER - 20220622'!AW61),"")</f>
        <v>DESCR61</v>
      </c>
      <c r="AU58" t="str">
        <f>IF('TRACKER - 20220622'!AX61&lt;&gt;"",UPPER('TRACKER - 20220622'!AX61),"")</f>
        <v>REASON61</v>
      </c>
      <c r="AV58" t="str">
        <f>IF('TRACKER - 20220622'!BD74&lt;&gt;"",'TRACKER - 20220622'!BD74,"")</f>
        <v/>
      </c>
      <c r="AW58" t="str">
        <f>IF('TRACKER - 20220622'!BE74&lt;&gt;"",'TRACKER - 20220622'!BE74,"")</f>
        <v/>
      </c>
      <c r="AX58" t="str">
        <f>IF('TRACKER - 20220622'!BF74&lt;&gt;"",'TRACKER - 20220622'!BF74,"")</f>
        <v/>
      </c>
      <c r="AY58" t="str">
        <f>IF('TRACKER - 20220622'!BG74&lt;&gt;"",'TRACKER - 20220622'!BG74,"")</f>
        <v/>
      </c>
      <c r="AZ58" t="str">
        <f>IF('TRACKER - 20220622'!BH74&lt;&gt;"",'TRACKER - 20220622'!BH74,"")</f>
        <v/>
      </c>
      <c r="BA58" t="str">
        <f>IF('TRACKER - 20220622'!BI74&lt;&gt;"",'TRACKER - 20220622'!BI74,"")</f>
        <v/>
      </c>
      <c r="BB58" t="str">
        <f>IF('TRACKER - 20220622'!BJ74&lt;&gt;"",'TRACKER - 20220622'!BJ74,"")</f>
        <v/>
      </c>
      <c r="BC58" t="str">
        <f>IF('TRACKER - 20220622'!BK74&lt;&gt;"",'TRACKER - 20220622'!BK74,"")</f>
        <v/>
      </c>
      <c r="BD58" t="str">
        <f>IF('TRACKER - 20220622'!BL74&lt;&gt;"",'TRACKER - 20220622'!BL74,"")</f>
        <v/>
      </c>
      <c r="BE58" t="str">
        <f>IF('TRACKER - 20220622'!BM74&lt;&gt;"",'TRACKER - 20220622'!BM74,"")</f>
        <v/>
      </c>
      <c r="BF58" t="str">
        <f>IF('TRACKER - 20220622'!BN74&lt;&gt;"",'TRACKER - 20220622'!BN74,"")</f>
        <v/>
      </c>
      <c r="BG58" t="str">
        <f>IF('TRACKER - 20220622'!BO74&lt;&gt;"",'TRACKER - 20220622'!BO74,"")</f>
        <v/>
      </c>
    </row>
    <row r="59" spans="1:59">
      <c r="A59" t="str">
        <f>IF('TRACKER - 20220622'!A75&lt;&gt;"",UPPER('TRACKER - 20220622'!A75),"")</f>
        <v>PRODUCT BACKLOG</v>
      </c>
      <c r="B59" t="str">
        <f>IF('TRACKER - 20220622'!B75&lt;&gt;"",UPPER('TRACKER - 20220622'!B75),"")</f>
        <v>N</v>
      </c>
      <c r="C59" t="str">
        <f>IF('TRACKER - 20220622'!D62&lt;&gt;"",UPPER('TRACKER - 20220622'!D62),"")</f>
        <v>14</v>
      </c>
      <c r="D59" t="str">
        <f>IF('TRACKER - 20220622'!F75&lt;&gt;"",UPPER('TRACKER - 20220622'!F75),"")</f>
        <v>PRD-BLG-2020-27428</v>
      </c>
      <c r="E59" t="str">
        <f>IF('TRACKER - 20220622'!H75&lt;&gt;"",'TRACKER - 20220622'!H75,"")</f>
        <v>RSC195 Auto Sweeping &amp; Cash Pooling - Barry Callebut</v>
      </c>
      <c r="F59" t="str">
        <f t="shared" si="0"/>
        <v>PRD-BLG-2020-27428 RSC195 Auto Sweeping &amp; Cash Pooling - Barry Callebut</v>
      </c>
      <c r="G59" t="str">
        <f t="shared" si="1"/>
        <v>00014 - RSC195 Auto Sweeping &amp; Cash Pooling - Barry Callebut</v>
      </c>
      <c r="H59">
        <f>IF('TRACKER - 20220622'!J75&lt;&gt;"",'TRACKER - 20220622'!J75,"")</f>
        <v>0</v>
      </c>
      <c r="I59" t="str">
        <f>IF('TRACKER - 20220622'!K62&lt;&gt;"",UPPER('TRACKER - 20220622'!K62),"")</f>
        <v>44061</v>
      </c>
      <c r="J59" t="str">
        <f>IF('TRACKER - 20220622'!L62&lt;&gt;"",UPPER('TRACKER - 20220622'!L62),"")</f>
        <v>44061</v>
      </c>
      <c r="K59" t="str">
        <f>IF('TRACKER - 20220622'!M62&lt;&gt;"",UPPER('TRACKER - 20220622'!M62),"")</f>
        <v/>
      </c>
      <c r="L59" t="str">
        <f>IF('TRACKER - 20220622'!N62&lt;&gt;"",UPPER('TRACKER - 20220622'!N62),"")</f>
        <v/>
      </c>
      <c r="M59" t="str">
        <f>IF('TRACKER - 20220622'!O62&lt;&gt;"",UPPER('TRACKER - 20220622'!O62),"")</f>
        <v/>
      </c>
      <c r="N59" t="str">
        <f>IF('TRACKER - 20220622'!P62&lt;&gt;"",UPPER('TRACKER - 20220622'!P62),"")</f>
        <v/>
      </c>
      <c r="O59" t="str">
        <f>IF('TRACKER - 20220622'!Q62&lt;&gt;"",UPPER('TRACKER - 20220622'!Q62),"")</f>
        <v>ETRADER</v>
      </c>
      <c r="P59" t="str">
        <f>IF('TRACKER - 20220622'!R62&lt;&gt;"",UPPER('TRACKER - 20220622'!R62),"")</f>
        <v>MARKET</v>
      </c>
      <c r="Q59" t="str">
        <f>IF('TRACKER - 20220622'!S62&lt;&gt;"",UPPER('TRACKER - 20220622'!S62),"")</f>
        <v/>
      </c>
      <c r="R59" t="str">
        <f>IF('TRACKER - 20220622'!T62&lt;&gt;"",UPPER('TRACKER - 20220622'!T62),"")</f>
        <v/>
      </c>
      <c r="S59" t="str">
        <f>IF('TRACKER - 20220622'!U62&lt;&gt;"",UPPER('TRACKER - 20220622'!U62),"")</f>
        <v/>
      </c>
      <c r="T59" t="str">
        <f>IF('TRACKER - 20220622'!V62&lt;&gt;"",UPPER('TRACKER - 20220622'!V62),"")</f>
        <v/>
      </c>
      <c r="U59" t="str">
        <f>IF('TRACKER - 20220622'!W62&lt;&gt;"",UPPER('TRACKER - 20220622'!W62),"")</f>
        <v/>
      </c>
      <c r="V59" t="str">
        <f>IF('TRACKER - 20220622'!X62&lt;&gt;"",UPPER('TRACKER - 20220622'!X62),"")</f>
        <v>18/08/20 - RAISED AFTER MT/DP REVIEWED HTTPS://CORPORATE.BANKOFIRELAND.COM/MARKETS/</v>
      </c>
      <c r="W59" t="str">
        <f>IF('TRACKER - 20220622'!Y62&lt;&gt;"",UPPER('TRACKER - 20220622'!Y62),"")</f>
        <v>0</v>
      </c>
      <c r="X59" t="str">
        <f>IF('TRACKER - 20220622'!Z62&lt;&gt;"",UPPER('TRACKER - 20220622'!Z62),"")</f>
        <v>0</v>
      </c>
      <c r="Y59" t="str">
        <f>IF('TRACKER - 20220622'!AA62&lt;&gt;"",UPPER('TRACKER - 20220622'!AA62),"")</f>
        <v>0</v>
      </c>
      <c r="Z59" t="str">
        <f>IF('TRACKER - 20220622'!AB62&lt;&gt;"",UPPER('TRACKER - 20220622'!AB62),"")</f>
        <v>0</v>
      </c>
      <c r="AA59" t="str">
        <f>IF('TRACKER - 20220622'!AC62&lt;&gt;"",UPPER('TRACKER - 20220622'!AC62),"")</f>
        <v>0</v>
      </c>
      <c r="AB59" t="str">
        <f>IF('TRACKER - 20220622'!AE62&lt;&gt;"",UPPER('TRACKER - 20220622'!AE62),"")</f>
        <v>0</v>
      </c>
      <c r="AC59" t="str">
        <f>IF('TRACKER - 20220622'!AF62&lt;&gt;"",UPPER('TRACKER - 20220622'!AF62),"")</f>
        <v>0</v>
      </c>
      <c r="AD59" t="str">
        <f>IF('TRACKER - 20220622'!AG62&lt;&gt;"",UPPER('TRACKER - 20220622'!AG62),"")</f>
        <v>0</v>
      </c>
      <c r="AE59" t="str">
        <f>IF('TRACKER - 20220622'!AH62&lt;&gt;"",UPPER('TRACKER - 20220622'!AH62),"")</f>
        <v>-150</v>
      </c>
      <c r="AF59" t="str">
        <f>IF('TRACKER - 20220622'!AI62&lt;&gt;"",UPPER('TRACKER - 20220622'!AI62),"")</f>
        <v/>
      </c>
      <c r="AG59" t="str">
        <f>IF('TRACKER - 20220622'!AJ62&lt;&gt;"",UPPER('TRACKER - 20220622'!AJ62),"")</f>
        <v>0</v>
      </c>
      <c r="AH59" t="str">
        <f>IF('TRACKER - 20220622'!AK62&lt;&gt;"",UPPER('TRACKER - 20220622'!AK62),"")</f>
        <v/>
      </c>
      <c r="AI59" t="str">
        <f>IF('TRACKER - 20220622'!AL62&lt;&gt;"",UPPER('TRACKER - 20220622'!AL62),"")</f>
        <v>0</v>
      </c>
      <c r="AJ59" t="str">
        <f>IF('TRACKER - 20220622'!AM62&lt;&gt;"",UPPER('TRACKER - 20220622'!AM62),"")</f>
        <v>0</v>
      </c>
      <c r="AK59" t="str">
        <f>IF('TRACKER - 20220622'!AN62&lt;&gt;"",UPPER('TRACKER - 20220622'!AN62),"")</f>
        <v/>
      </c>
      <c r="AL59" t="str">
        <f>IF('TRACKER - 20220622'!AO62&lt;&gt;"",UPPER('TRACKER - 20220622'!AO62),"")</f>
        <v>0</v>
      </c>
      <c r="AM59" t="str">
        <f>IF('TRACKER - 20220622'!AP62&lt;&gt;"",UPPER('TRACKER - 20220622'!AP62),"")</f>
        <v>0</v>
      </c>
      <c r="AN59" t="str">
        <f>IF('TRACKER - 20220622'!AQ62&lt;&gt;"",UPPER('TRACKER - 20220622'!AQ62),"")</f>
        <v>0</v>
      </c>
      <c r="AO59" t="str">
        <f>IF('TRACKER - 20220622'!AR62&lt;&gt;"",UPPER('TRACKER - 20220622'!AR62),"")</f>
        <v>PRD</v>
      </c>
      <c r="AP59" t="str">
        <f>IF('TRACKER - 20220622'!AS62&lt;&gt;"",UPPER('TRACKER - 20220622'!AS62),"")</f>
        <v>BLG</v>
      </c>
      <c r="AQ59" t="str">
        <f>IF('TRACKER - 20220622'!AT62&lt;&gt;"",UPPER('TRACKER - 20220622'!AT62),"")</f>
        <v>N</v>
      </c>
      <c r="AR59" t="str">
        <f>IF('TRACKER - 20220622'!AU62&lt;&gt;"",UPPER('TRACKER - 20220622'!AU62),"")</f>
        <v>-150</v>
      </c>
      <c r="AS59" t="str">
        <f>IF('TRACKER - 20220622'!AV62&lt;&gt;"",UPPER('TRACKER - 20220622'!AV62),"")</f>
        <v/>
      </c>
      <c r="AT59" t="str">
        <f>IF('TRACKER - 20220622'!AW62&lt;&gt;"",UPPER('TRACKER - 20220622'!AW62),"")</f>
        <v>DESCR62</v>
      </c>
      <c r="AU59" t="str">
        <f>IF('TRACKER - 20220622'!AX62&lt;&gt;"",UPPER('TRACKER - 20220622'!AX62),"")</f>
        <v>REASON62</v>
      </c>
      <c r="AV59" t="str">
        <f>IF('TRACKER - 20220622'!BD75&lt;&gt;"",'TRACKER - 20220622'!BD75,"")</f>
        <v/>
      </c>
      <c r="AW59" t="str">
        <f>IF('TRACKER - 20220622'!BE75&lt;&gt;"",'TRACKER - 20220622'!BE75,"")</f>
        <v/>
      </c>
      <c r="AX59" t="str">
        <f>IF('TRACKER - 20220622'!BF75&lt;&gt;"",'TRACKER - 20220622'!BF75,"")</f>
        <v/>
      </c>
      <c r="AY59" t="str">
        <f>IF('TRACKER - 20220622'!BG75&lt;&gt;"",'TRACKER - 20220622'!BG75,"")</f>
        <v/>
      </c>
      <c r="AZ59" t="str">
        <f>IF('TRACKER - 20220622'!BH75&lt;&gt;"",'TRACKER - 20220622'!BH75,"")</f>
        <v/>
      </c>
      <c r="BA59" t="str">
        <f>IF('TRACKER - 20220622'!BI75&lt;&gt;"",'TRACKER - 20220622'!BI75,"")</f>
        <v/>
      </c>
      <c r="BB59" t="str">
        <f>IF('TRACKER - 20220622'!BJ75&lt;&gt;"",'TRACKER - 20220622'!BJ75,"")</f>
        <v/>
      </c>
      <c r="BC59" t="str">
        <f>IF('TRACKER - 20220622'!BK75&lt;&gt;"",'TRACKER - 20220622'!BK75,"")</f>
        <v/>
      </c>
      <c r="BD59" t="str">
        <f>IF('TRACKER - 20220622'!BL75&lt;&gt;"",'TRACKER - 20220622'!BL75,"")</f>
        <v/>
      </c>
      <c r="BE59" t="str">
        <f>IF('TRACKER - 20220622'!BM75&lt;&gt;"",'TRACKER - 20220622'!BM75,"")</f>
        <v/>
      </c>
      <c r="BF59" t="str">
        <f>IF('TRACKER - 20220622'!BN75&lt;&gt;"",'TRACKER - 20220622'!BN75,"")</f>
        <v/>
      </c>
      <c r="BG59" t="str">
        <f>IF('TRACKER - 20220622'!BO75&lt;&gt;"",'TRACKER - 20220622'!BO75,"")</f>
        <v/>
      </c>
    </row>
    <row r="60" spans="1:59">
      <c r="A60" t="str">
        <f>IF('TRACKER - 20220622'!A76&lt;&gt;"",UPPER('TRACKER - 20220622'!A76),"")</f>
        <v>PRODUCT BACKLOG</v>
      </c>
      <c r="B60" t="str">
        <f>IF('TRACKER - 20220622'!B76&lt;&gt;"",UPPER('TRACKER - 20220622'!B76),"")</f>
        <v>N</v>
      </c>
      <c r="C60" t="str">
        <f>IF('TRACKER - 20220622'!D63&lt;&gt;"",UPPER('TRACKER - 20220622'!D63),"")</f>
        <v>2</v>
      </c>
      <c r="D60" t="str">
        <f>IF('TRACKER - 20220622'!F76&lt;&gt;"",UPPER('TRACKER - 20220622'!F76),"")</f>
        <v>PRD-BLG-2020-00000</v>
      </c>
      <c r="E60" t="str">
        <f>IF('TRACKER - 20220622'!H76&lt;&gt;"",'TRACKER - 20220622'!H76,"")</f>
        <v>Gl &amp; RG Cloudification - Ensure these work in a cloud environment.</v>
      </c>
      <c r="F60" t="str">
        <f t="shared" si="0"/>
        <v>PRD-BLG-2020-00000 Gl &amp; RG Cloudification - Ensure these work in a cloud environment.</v>
      </c>
      <c r="G60" t="str">
        <f t="shared" si="1"/>
        <v>00002 - Gl &amp; RG Cloudification - Ensure these work in a cloud environment.</v>
      </c>
      <c r="H60">
        <f>IF('TRACKER - 20220622'!J76&lt;&gt;"",'TRACKER - 20220622'!J76,"")</f>
        <v>0</v>
      </c>
      <c r="I60" t="str">
        <f>IF('TRACKER - 20220622'!K63&lt;&gt;"",UPPER('TRACKER - 20220622'!K63),"")</f>
        <v>43952</v>
      </c>
      <c r="J60" t="str">
        <f>IF('TRACKER - 20220622'!L63&lt;&gt;"",UPPER('TRACKER - 20220622'!L63),"")</f>
        <v>43952</v>
      </c>
      <c r="K60" t="str">
        <f>IF('TRACKER - 20220622'!M63&lt;&gt;"",UPPER('TRACKER - 20220622'!M63),"")</f>
        <v/>
      </c>
      <c r="L60" t="str">
        <f>IF('TRACKER - 20220622'!N63&lt;&gt;"",UPPER('TRACKER - 20220622'!N63),"")</f>
        <v/>
      </c>
      <c r="M60" t="str">
        <f>IF('TRACKER - 20220622'!O63&lt;&gt;"",UPPER('TRACKER - 20220622'!O63),"")</f>
        <v/>
      </c>
      <c r="N60" t="str">
        <f>IF('TRACKER - 20220622'!P63&lt;&gt;"",UPPER('TRACKER - 20220622'!P63),"")</f>
        <v/>
      </c>
      <c r="O60" t="str">
        <f>IF('TRACKER - 20220622'!Q63&lt;&gt;"",UPPER('TRACKER - 20220622'!Q63),"")</f>
        <v>PLATFORM</v>
      </c>
      <c r="P60" t="str">
        <f>IF('TRACKER - 20220622'!R63&lt;&gt;"",UPPER('TRACKER - 20220622'!R63),"")</f>
        <v>MARKET</v>
      </c>
      <c r="Q60" t="str">
        <f>IF('TRACKER - 20220622'!S63&lt;&gt;"",UPPER('TRACKER - 20220622'!S63),"")</f>
        <v/>
      </c>
      <c r="R60" t="str">
        <f>IF('TRACKER - 20220622'!T63&lt;&gt;"",UPPER('TRACKER - 20220622'!T63),"")</f>
        <v/>
      </c>
      <c r="S60" t="str">
        <f>IF('TRACKER - 20220622'!U63&lt;&gt;"",UPPER('TRACKER - 20220622'!U63),"")</f>
        <v/>
      </c>
      <c r="T60" t="str">
        <f>IF('TRACKER - 20220622'!V63&lt;&gt;"",UPPER('TRACKER - 20220622'!V63),"")</f>
        <v/>
      </c>
      <c r="U60" t="str">
        <f>IF('TRACKER - 20220622'!W63&lt;&gt;"",UPPER('TRACKER - 20220622'!W63),"")</f>
        <v/>
      </c>
      <c r="V60" t="str">
        <f>IF('TRACKER - 20220622'!X63&lt;&gt;"",UPPER('TRACKER - 20220622'!X63),"")</f>
        <v>01/05/20 - REQUIREMENT DOCUMENT IN REVIEW - DISCCUSION WITH PLANIX</v>
      </c>
      <c r="W60" t="str">
        <f>IF('TRACKER - 20220622'!Y63&lt;&gt;"",UPPER('TRACKER - 20220622'!Y63),"")</f>
        <v>0</v>
      </c>
      <c r="X60" t="str">
        <f>IF('TRACKER - 20220622'!Z63&lt;&gt;"",UPPER('TRACKER - 20220622'!Z63),"")</f>
        <v>0</v>
      </c>
      <c r="Y60" t="str">
        <f>IF('TRACKER - 20220622'!AA63&lt;&gt;"",UPPER('TRACKER - 20220622'!AA63),"")</f>
        <v>0</v>
      </c>
      <c r="Z60" t="str">
        <f>IF('TRACKER - 20220622'!AB63&lt;&gt;"",UPPER('TRACKER - 20220622'!AB63),"")</f>
        <v>0</v>
      </c>
      <c r="AA60" t="str">
        <f>IF('TRACKER - 20220622'!AC63&lt;&gt;"",UPPER('TRACKER - 20220622'!AC63),"")</f>
        <v>0</v>
      </c>
      <c r="AB60" t="str">
        <f>IF('TRACKER - 20220622'!AE63&lt;&gt;"",UPPER('TRACKER - 20220622'!AE63),"")</f>
        <v>0</v>
      </c>
      <c r="AC60" t="str">
        <f>IF('TRACKER - 20220622'!AF63&lt;&gt;"",UPPER('TRACKER - 20220622'!AF63),"")</f>
        <v>0</v>
      </c>
      <c r="AD60" t="str">
        <f>IF('TRACKER - 20220622'!AG63&lt;&gt;"",UPPER('TRACKER - 20220622'!AG63),"")</f>
        <v>0</v>
      </c>
      <c r="AE60" t="str">
        <f>IF('TRACKER - 20220622'!AH63&lt;&gt;"",UPPER('TRACKER - 20220622'!AH63),"")</f>
        <v>-150</v>
      </c>
      <c r="AF60" t="str">
        <f>IF('TRACKER - 20220622'!AI63&lt;&gt;"",UPPER('TRACKER - 20220622'!AI63),"")</f>
        <v/>
      </c>
      <c r="AG60" t="str">
        <f>IF('TRACKER - 20220622'!AJ63&lt;&gt;"",UPPER('TRACKER - 20220622'!AJ63),"")</f>
        <v>0</v>
      </c>
      <c r="AH60" t="str">
        <f>IF('TRACKER - 20220622'!AK63&lt;&gt;"",UPPER('TRACKER - 20220622'!AK63),"")</f>
        <v/>
      </c>
      <c r="AI60" t="str">
        <f>IF('TRACKER - 20220622'!AL63&lt;&gt;"",UPPER('TRACKER - 20220622'!AL63),"")</f>
        <v>0</v>
      </c>
      <c r="AJ60" t="str">
        <f>IF('TRACKER - 20220622'!AM63&lt;&gt;"",UPPER('TRACKER - 20220622'!AM63),"")</f>
        <v>0</v>
      </c>
      <c r="AK60" t="str">
        <f>IF('TRACKER - 20220622'!AN63&lt;&gt;"",UPPER('TRACKER - 20220622'!AN63),"")</f>
        <v/>
      </c>
      <c r="AL60" t="str">
        <f>IF('TRACKER - 20220622'!AO63&lt;&gt;"",UPPER('TRACKER - 20220622'!AO63),"")</f>
        <v>0</v>
      </c>
      <c r="AM60" t="str">
        <f>IF('TRACKER - 20220622'!AP63&lt;&gt;"",UPPER('TRACKER - 20220622'!AP63),"")</f>
        <v>0</v>
      </c>
      <c r="AN60" t="str">
        <f>IF('TRACKER - 20220622'!AQ63&lt;&gt;"",UPPER('TRACKER - 20220622'!AQ63),"")</f>
        <v>0</v>
      </c>
      <c r="AO60" t="str">
        <f>IF('TRACKER - 20220622'!AR63&lt;&gt;"",UPPER('TRACKER - 20220622'!AR63),"")</f>
        <v>PRD</v>
      </c>
      <c r="AP60" t="str">
        <f>IF('TRACKER - 20220622'!AS63&lt;&gt;"",UPPER('TRACKER - 20220622'!AS63),"")</f>
        <v>BLG</v>
      </c>
      <c r="AQ60" t="str">
        <f>IF('TRACKER - 20220622'!AT63&lt;&gt;"",UPPER('TRACKER - 20220622'!AT63),"")</f>
        <v>N</v>
      </c>
      <c r="AR60" t="str">
        <f>IF('TRACKER - 20220622'!AU63&lt;&gt;"",UPPER('TRACKER - 20220622'!AU63),"")</f>
        <v>-150</v>
      </c>
      <c r="AS60" t="str">
        <f>IF('TRACKER - 20220622'!AV63&lt;&gt;"",UPPER('TRACKER - 20220622'!AV63),"")</f>
        <v/>
      </c>
      <c r="AT60" t="str">
        <f>IF('TRACKER - 20220622'!AW63&lt;&gt;"",UPPER('TRACKER - 20220622'!AW63),"")</f>
        <v>DESCR63</v>
      </c>
      <c r="AU60" t="str">
        <f>IF('TRACKER - 20220622'!AX63&lt;&gt;"",UPPER('TRACKER - 20220622'!AX63),"")</f>
        <v>REASON63</v>
      </c>
      <c r="AV60" t="str">
        <f>IF('TRACKER - 20220622'!BD76&lt;&gt;"",'TRACKER - 20220622'!BD76,"")</f>
        <v/>
      </c>
      <c r="AW60" t="str">
        <f>IF('TRACKER - 20220622'!BE76&lt;&gt;"",'TRACKER - 20220622'!BE76,"")</f>
        <v/>
      </c>
      <c r="AX60" t="str">
        <f>IF('TRACKER - 20220622'!BF76&lt;&gt;"",'TRACKER - 20220622'!BF76,"")</f>
        <v/>
      </c>
      <c r="AY60" t="str">
        <f>IF('TRACKER - 20220622'!BG76&lt;&gt;"",'TRACKER - 20220622'!BG76,"")</f>
        <v/>
      </c>
      <c r="AZ60" t="str">
        <f>IF('TRACKER - 20220622'!BH76&lt;&gt;"",'TRACKER - 20220622'!BH76,"")</f>
        <v/>
      </c>
      <c r="BA60" t="str">
        <f>IF('TRACKER - 20220622'!BI76&lt;&gt;"",'TRACKER - 20220622'!BI76,"")</f>
        <v/>
      </c>
      <c r="BB60" t="str">
        <f>IF('TRACKER - 20220622'!BJ76&lt;&gt;"",'TRACKER - 20220622'!BJ76,"")</f>
        <v/>
      </c>
      <c r="BC60" t="str">
        <f>IF('TRACKER - 20220622'!BK76&lt;&gt;"",'TRACKER - 20220622'!BK76,"")</f>
        <v/>
      </c>
      <c r="BD60" t="str">
        <f>IF('TRACKER - 20220622'!BL76&lt;&gt;"",'TRACKER - 20220622'!BL76,"")</f>
        <v/>
      </c>
      <c r="BE60" t="str">
        <f>IF('TRACKER - 20220622'!BM76&lt;&gt;"",'TRACKER - 20220622'!BM76,"")</f>
        <v/>
      </c>
      <c r="BF60" t="str">
        <f>IF('TRACKER - 20220622'!BN76&lt;&gt;"",'TRACKER - 20220622'!BN76,"")</f>
        <v/>
      </c>
      <c r="BG60" t="str">
        <f>IF('TRACKER - 20220622'!BO76&lt;&gt;"",'TRACKER - 20220622'!BO76,"")</f>
        <v/>
      </c>
    </row>
    <row r="61" spans="1:59">
      <c r="A61" t="str">
        <f>IF('TRACKER - 20220622'!A77&lt;&gt;"",UPPER('TRACKER - 20220622'!A77),"")</f>
        <v>PRODUCT BACKLOG</v>
      </c>
      <c r="B61" t="str">
        <f>IF('TRACKER - 20220622'!B77&lt;&gt;"",UPPER('TRACKER - 20220622'!B77),"")</f>
        <v>N</v>
      </c>
      <c r="C61" t="str">
        <f>IF('TRACKER - 20220622'!D64&lt;&gt;"",UPPER('TRACKER - 20220622'!D64),"")</f>
        <v/>
      </c>
      <c r="D61" t="str">
        <f>IF('TRACKER - 20220622'!F77&lt;&gt;"",UPPER('TRACKER - 20220622'!F77),"")</f>
        <v>PRD-BLG-2020-00000</v>
      </c>
      <c r="E61" t="str">
        <f>IF('TRACKER - 20220622'!H77&lt;&gt;"",'TRACKER - 20220622'!H77,"")</f>
        <v>DB Updgrades to be DB independent</v>
      </c>
      <c r="F61" t="str">
        <f t="shared" si="0"/>
        <v>PRD-BLG-2020-00000 DB Updgrades to be DB independent</v>
      </c>
      <c r="G61" t="str">
        <f t="shared" si="1"/>
        <v xml:space="preserve"> - DB Updgrades to be DB independent</v>
      </c>
      <c r="H61">
        <f>IF('TRACKER - 20220622'!J77&lt;&gt;"",'TRACKER - 20220622'!J77,"")</f>
        <v>0</v>
      </c>
      <c r="I61" t="str">
        <f>IF('TRACKER - 20220622'!K64&lt;&gt;"",UPPER('TRACKER - 20220622'!K64),"")</f>
        <v>43831</v>
      </c>
      <c r="J61" t="str">
        <f>IF('TRACKER - 20220622'!L64&lt;&gt;"",UPPER('TRACKER - 20220622'!L64),"")</f>
        <v>43831</v>
      </c>
      <c r="K61" t="str">
        <f>IF('TRACKER - 20220622'!M64&lt;&gt;"",UPPER('TRACKER - 20220622'!M64),"")</f>
        <v/>
      </c>
      <c r="L61" t="str">
        <f>IF('TRACKER - 20220622'!N64&lt;&gt;"",UPPER('TRACKER - 20220622'!N64),"")</f>
        <v/>
      </c>
      <c r="M61" t="str">
        <f>IF('TRACKER - 20220622'!O64&lt;&gt;"",UPPER('TRACKER - 20220622'!O64),"")</f>
        <v/>
      </c>
      <c r="N61" t="str">
        <f>IF('TRACKER - 20220622'!P64&lt;&gt;"",UPPER('TRACKER - 20220622'!P64),"")</f>
        <v/>
      </c>
      <c r="O61" t="str">
        <f>IF('TRACKER - 20220622'!Q64&lt;&gt;"",UPPER('TRACKER - 20220622'!Q64),"")</f>
        <v>PLATFORM</v>
      </c>
      <c r="P61" t="str">
        <f>IF('TRACKER - 20220622'!R64&lt;&gt;"",UPPER('TRACKER - 20220622'!R64),"")</f>
        <v>PRODUCT</v>
      </c>
      <c r="Q61" t="str">
        <f>IF('TRACKER - 20220622'!S64&lt;&gt;"",UPPER('TRACKER - 20220622'!S64),"")</f>
        <v>GAP</v>
      </c>
      <c r="R61" t="str">
        <f>IF('TRACKER - 20220622'!T64&lt;&gt;"",UPPER('TRACKER - 20220622'!T64),"")</f>
        <v>HIGH</v>
      </c>
      <c r="S61" t="str">
        <f>IF('TRACKER - 20220622'!U64&lt;&gt;"",UPPER('TRACKER - 20220622'!U64),"")</f>
        <v>HIGH</v>
      </c>
      <c r="T61" t="str">
        <f>IF('TRACKER - 20220622'!V64&lt;&gt;"",UPPER('TRACKER - 20220622'!V64),"")</f>
        <v/>
      </c>
      <c r="U61" t="str">
        <f>IF('TRACKER - 20220622'!W64&lt;&gt;"",UPPER('TRACKER - 20220622'!W64),"")</f>
        <v/>
      </c>
      <c r="V61" t="str">
        <f>IF('TRACKER - 20220622'!X64&lt;&gt;"",UPPER('TRACKER - 20220622'!X64),"")</f>
        <v>REPEATED REQ FROM NEW CLIENTS. THEY EXPECT MANUALS/GUIDES ETC TO BE FREELY AVAILABLE.
TWO PRONGED ATTACK - TAKE EXISTING DOCS PORT THEM TO FRESHDESK 'SOLUTIONS' CENTRAL VERSION. SECONDLY BUILD AND GROW. - ACTION: BAS REVIEW EXISTING HOW-TO, NM PRIME BA'S TO TAKE OWNERSHIP. SPLIT INTO IMMEDIATE TERM AND LONG TERM. WORK ON PRIORITISATION. CONSIDER EXTERNAL ADVICE.</v>
      </c>
      <c r="W61" t="str">
        <f>IF('TRACKER - 20220622'!Y64&lt;&gt;"",UPPER('TRACKER - 20220622'!Y64),"")</f>
        <v>0</v>
      </c>
      <c r="X61" t="str">
        <f>IF('TRACKER - 20220622'!Z64&lt;&gt;"",UPPER('TRACKER - 20220622'!Z64),"")</f>
        <v>0</v>
      </c>
      <c r="Y61" t="str">
        <f>IF('TRACKER - 20220622'!AA64&lt;&gt;"",UPPER('TRACKER - 20220622'!AA64),"")</f>
        <v>0</v>
      </c>
      <c r="Z61" t="str">
        <f>IF('TRACKER - 20220622'!AB64&lt;&gt;"",UPPER('TRACKER - 20220622'!AB64),"")</f>
        <v>0</v>
      </c>
      <c r="AA61" t="str">
        <f>IF('TRACKER - 20220622'!AC64&lt;&gt;"",UPPER('TRACKER - 20220622'!AC64),"")</f>
        <v>0</v>
      </c>
      <c r="AB61" t="str">
        <f>IF('TRACKER - 20220622'!AE64&lt;&gt;"",UPPER('TRACKER - 20220622'!AE64),"")</f>
        <v>0</v>
      </c>
      <c r="AC61" t="str">
        <f>IF('TRACKER - 20220622'!AF64&lt;&gt;"",UPPER('TRACKER - 20220622'!AF64),"")</f>
        <v>0</v>
      </c>
      <c r="AD61" t="str">
        <f>IF('TRACKER - 20220622'!AG64&lt;&gt;"",UPPER('TRACKER - 20220622'!AG64),"")</f>
        <v>0</v>
      </c>
      <c r="AE61" t="str">
        <f>IF('TRACKER - 20220622'!AH64&lt;&gt;"",UPPER('TRACKER - 20220622'!AH64),"")</f>
        <v>-150</v>
      </c>
      <c r="AF61" t="str">
        <f>IF('TRACKER - 20220622'!AI64&lt;&gt;"",UPPER('TRACKER - 20220622'!AI64),"")</f>
        <v/>
      </c>
      <c r="AG61" t="str">
        <f>IF('TRACKER - 20220622'!AJ64&lt;&gt;"",UPPER('TRACKER - 20220622'!AJ64),"")</f>
        <v>0</v>
      </c>
      <c r="AH61" t="str">
        <f>IF('TRACKER - 20220622'!AK64&lt;&gt;"",UPPER('TRACKER - 20220622'!AK64),"")</f>
        <v/>
      </c>
      <c r="AI61" t="str">
        <f>IF('TRACKER - 20220622'!AL64&lt;&gt;"",UPPER('TRACKER - 20220622'!AL64),"")</f>
        <v>0</v>
      </c>
      <c r="AJ61" t="str">
        <f>IF('TRACKER - 20220622'!AM64&lt;&gt;"",UPPER('TRACKER - 20220622'!AM64),"")</f>
        <v>0</v>
      </c>
      <c r="AK61" t="str">
        <f>IF('TRACKER - 20220622'!AN64&lt;&gt;"",UPPER('TRACKER - 20220622'!AN64),"")</f>
        <v/>
      </c>
      <c r="AL61" t="str">
        <f>IF('TRACKER - 20220622'!AO64&lt;&gt;"",UPPER('TRACKER - 20220622'!AO64),"")</f>
        <v>0</v>
      </c>
      <c r="AM61" t="str">
        <f>IF('TRACKER - 20220622'!AP64&lt;&gt;"",UPPER('TRACKER - 20220622'!AP64),"")</f>
        <v>0</v>
      </c>
      <c r="AN61" t="str">
        <f>IF('TRACKER - 20220622'!AQ64&lt;&gt;"",UPPER('TRACKER - 20220622'!AQ64),"")</f>
        <v>0</v>
      </c>
      <c r="AO61" t="str">
        <f>IF('TRACKER - 20220622'!AR64&lt;&gt;"",UPPER('TRACKER - 20220622'!AR64),"")</f>
        <v>PRD</v>
      </c>
      <c r="AP61" t="str">
        <f>IF('TRACKER - 20220622'!AS64&lt;&gt;"",UPPER('TRACKER - 20220622'!AS64),"")</f>
        <v>REQ</v>
      </c>
      <c r="AQ61" t="str">
        <f>IF('TRACKER - 20220622'!AT64&lt;&gt;"",UPPER('TRACKER - 20220622'!AT64),"")</f>
        <v>N</v>
      </c>
      <c r="AR61" t="str">
        <f>IF('TRACKER - 20220622'!AU64&lt;&gt;"",UPPER('TRACKER - 20220622'!AU64),"")</f>
        <v>-150</v>
      </c>
      <c r="AS61" t="str">
        <f>IF('TRACKER - 20220622'!AV64&lt;&gt;"",UPPER('TRACKER - 20220622'!AV64),"")</f>
        <v/>
      </c>
      <c r="AT61" t="str">
        <f>IF('TRACKER - 20220622'!AW64&lt;&gt;"",UPPER('TRACKER - 20220622'!AW64),"")</f>
        <v>DESCR64</v>
      </c>
      <c r="AU61" t="str">
        <f>IF('TRACKER - 20220622'!AX64&lt;&gt;"",UPPER('TRACKER - 20220622'!AX64),"")</f>
        <v>REASON64</v>
      </c>
      <c r="AV61" t="str">
        <f>IF('TRACKER - 20220622'!BD77&lt;&gt;"",'TRACKER - 20220622'!BD77,"")</f>
        <v/>
      </c>
      <c r="AW61" t="str">
        <f>IF('TRACKER - 20220622'!BE77&lt;&gt;"",'TRACKER - 20220622'!BE77,"")</f>
        <v/>
      </c>
      <c r="AX61" t="str">
        <f>IF('TRACKER - 20220622'!BF77&lt;&gt;"",'TRACKER - 20220622'!BF77,"")</f>
        <v/>
      </c>
      <c r="AY61" t="str">
        <f>IF('TRACKER - 20220622'!BG77&lt;&gt;"",'TRACKER - 20220622'!BG77,"")</f>
        <v/>
      </c>
      <c r="AZ61" t="str">
        <f>IF('TRACKER - 20220622'!BH77&lt;&gt;"",'TRACKER - 20220622'!BH77,"")</f>
        <v/>
      </c>
      <c r="BA61" t="str">
        <f>IF('TRACKER - 20220622'!BI77&lt;&gt;"",'TRACKER - 20220622'!BI77,"")</f>
        <v/>
      </c>
      <c r="BB61" t="str">
        <f>IF('TRACKER - 20220622'!BJ77&lt;&gt;"",'TRACKER - 20220622'!BJ77,"")</f>
        <v/>
      </c>
      <c r="BC61" t="str">
        <f>IF('TRACKER - 20220622'!BK77&lt;&gt;"",'TRACKER - 20220622'!BK77,"")</f>
        <v/>
      </c>
      <c r="BD61" t="str">
        <f>IF('TRACKER - 20220622'!BL77&lt;&gt;"",'TRACKER - 20220622'!BL77,"")</f>
        <v/>
      </c>
      <c r="BE61" t="str">
        <f>IF('TRACKER - 20220622'!BM77&lt;&gt;"",'TRACKER - 20220622'!BM77,"")</f>
        <v/>
      </c>
      <c r="BF61" t="str">
        <f>IF('TRACKER - 20220622'!BN77&lt;&gt;"",'TRACKER - 20220622'!BN77,"")</f>
        <v/>
      </c>
      <c r="BG61" t="str">
        <f>IF('TRACKER - 20220622'!BO77&lt;&gt;"",'TRACKER - 20220622'!BO77,"")</f>
        <v/>
      </c>
    </row>
    <row r="62" spans="1:59">
      <c r="A62" t="str">
        <f>IF('TRACKER - 20220622'!A78&lt;&gt;"",UPPER('TRACKER - 20220622'!A78),"")</f>
        <v>PRODUCT BACKLOG</v>
      </c>
      <c r="B62" t="str">
        <f>IF('TRACKER - 20220622'!B78&lt;&gt;"",UPPER('TRACKER - 20220622'!B78),"")</f>
        <v>N</v>
      </c>
      <c r="C62" t="str">
        <f>IF('TRACKER - 20220622'!D65&lt;&gt;"",UPPER('TRACKER - 20220622'!D65),"")</f>
        <v/>
      </c>
      <c r="D62" t="str">
        <f>IF('TRACKER - 20220622'!F78&lt;&gt;"",UPPER('TRACKER - 20220622'!F78),"")</f>
        <v>PRD-BLG-2020-00000</v>
      </c>
      <c r="E62" t="str">
        <f>IF('TRACKER - 20220622'!H78&lt;&gt;"",'TRACKER - 20220622'!H78,"")</f>
        <v>Partial Early Termination - Across Luminor Products</v>
      </c>
      <c r="F62" t="str">
        <f t="shared" si="0"/>
        <v>PRD-BLG-2020-00000 Partial Early Termination - Across Luminor Products</v>
      </c>
      <c r="G62" t="str">
        <f t="shared" si="1"/>
        <v xml:space="preserve"> - Partial Early Termination - Across Luminor Products</v>
      </c>
      <c r="H62">
        <f>IF('TRACKER - 20220622'!J78&lt;&gt;"",'TRACKER - 20220622'!J78,"")</f>
        <v>0</v>
      </c>
      <c r="I62" t="str">
        <f>IF('TRACKER - 20220622'!K65&lt;&gt;"",UPPER('TRACKER - 20220622'!K65),"")</f>
        <v>44081</v>
      </c>
      <c r="J62" t="str">
        <f>IF('TRACKER - 20220622'!L65&lt;&gt;"",UPPER('TRACKER - 20220622'!L65),"")</f>
        <v>44081</v>
      </c>
      <c r="K62" t="str">
        <f>IF('TRACKER - 20220622'!M65&lt;&gt;"",UPPER('TRACKER - 20220622'!M65),"")</f>
        <v/>
      </c>
      <c r="L62" t="str">
        <f>IF('TRACKER - 20220622'!N65&lt;&gt;"",UPPER('TRACKER - 20220622'!N65),"")</f>
        <v/>
      </c>
      <c r="M62" t="str">
        <f>IF('TRACKER - 20220622'!O65&lt;&gt;"",UPPER('TRACKER - 20220622'!O65),"")</f>
        <v/>
      </c>
      <c r="N62" t="str">
        <f>IF('TRACKER - 20220622'!P65&lt;&gt;"",UPPER('TRACKER - 20220622'!P65),"")</f>
        <v/>
      </c>
      <c r="O62" t="str">
        <f>IF('TRACKER - 20220622'!Q65&lt;&gt;"",UPPER('TRACKER - 20220622'!Q65),"")</f>
        <v>PLATFORM</v>
      </c>
      <c r="P62" t="str">
        <f>IF('TRACKER - 20220622'!R65&lt;&gt;"",UPPER('TRACKER - 20220622'!R65),"")</f>
        <v>MARKET</v>
      </c>
      <c r="Q62" t="str">
        <f>IF('TRACKER - 20220622'!S65&lt;&gt;"",UPPER('TRACKER - 20220622'!S65),"")</f>
        <v/>
      </c>
      <c r="R62" t="str">
        <f>IF('TRACKER - 20220622'!T65&lt;&gt;"",UPPER('TRACKER - 20220622'!T65),"")</f>
        <v/>
      </c>
      <c r="S62" t="str">
        <f>IF('TRACKER - 20220622'!U65&lt;&gt;"",UPPER('TRACKER - 20220622'!U65),"")</f>
        <v/>
      </c>
      <c r="T62" t="str">
        <f>IF('TRACKER - 20220622'!V65&lt;&gt;"",UPPER('TRACKER - 20220622'!V65),"")</f>
        <v/>
      </c>
      <c r="U62" t="str">
        <f>IF('TRACKER - 20220622'!W65&lt;&gt;"",UPPER('TRACKER - 20220622'!W65),"")</f>
        <v/>
      </c>
      <c r="V62" t="str">
        <f>IF('TRACKER - 20220622'!X65&lt;&gt;"",UPPER('TRACKER - 20220622'!X65),"")</f>
        <v/>
      </c>
      <c r="W62" t="str">
        <f>IF('TRACKER - 20220622'!Y65&lt;&gt;"",UPPER('TRACKER - 20220622'!Y65),"")</f>
        <v>0</v>
      </c>
      <c r="X62" t="str">
        <f>IF('TRACKER - 20220622'!Z65&lt;&gt;"",UPPER('TRACKER - 20220622'!Z65),"")</f>
        <v>0</v>
      </c>
      <c r="Y62" t="str">
        <f>IF('TRACKER - 20220622'!AA65&lt;&gt;"",UPPER('TRACKER - 20220622'!AA65),"")</f>
        <v>0</v>
      </c>
      <c r="Z62" t="str">
        <f>IF('TRACKER - 20220622'!AB65&lt;&gt;"",UPPER('TRACKER - 20220622'!AB65),"")</f>
        <v>0</v>
      </c>
      <c r="AA62" t="str">
        <f>IF('TRACKER - 20220622'!AC65&lt;&gt;"",UPPER('TRACKER - 20220622'!AC65),"")</f>
        <v>0</v>
      </c>
      <c r="AB62" t="str">
        <f>IF('TRACKER - 20220622'!AE65&lt;&gt;"",UPPER('TRACKER - 20220622'!AE65),"")</f>
        <v>0</v>
      </c>
      <c r="AC62" t="str">
        <f>IF('TRACKER - 20220622'!AF65&lt;&gt;"",UPPER('TRACKER - 20220622'!AF65),"")</f>
        <v>0</v>
      </c>
      <c r="AD62" t="str">
        <f>IF('TRACKER - 20220622'!AG65&lt;&gt;"",UPPER('TRACKER - 20220622'!AG65),"")</f>
        <v>0</v>
      </c>
      <c r="AE62" t="str">
        <f>IF('TRACKER - 20220622'!AH65&lt;&gt;"",UPPER('TRACKER - 20220622'!AH65),"")</f>
        <v>-150</v>
      </c>
      <c r="AF62" t="str">
        <f>IF('TRACKER - 20220622'!AI65&lt;&gt;"",UPPER('TRACKER - 20220622'!AI65),"")</f>
        <v/>
      </c>
      <c r="AG62" t="str">
        <f>IF('TRACKER - 20220622'!AJ65&lt;&gt;"",UPPER('TRACKER - 20220622'!AJ65),"")</f>
        <v>0</v>
      </c>
      <c r="AH62" t="str">
        <f>IF('TRACKER - 20220622'!AK65&lt;&gt;"",UPPER('TRACKER - 20220622'!AK65),"")</f>
        <v/>
      </c>
      <c r="AI62" t="str">
        <f>IF('TRACKER - 20220622'!AL65&lt;&gt;"",UPPER('TRACKER - 20220622'!AL65),"")</f>
        <v>0</v>
      </c>
      <c r="AJ62" t="str">
        <f>IF('TRACKER - 20220622'!AM65&lt;&gt;"",UPPER('TRACKER - 20220622'!AM65),"")</f>
        <v>0</v>
      </c>
      <c r="AK62" t="str">
        <f>IF('TRACKER - 20220622'!AN65&lt;&gt;"",UPPER('TRACKER - 20220622'!AN65),"")</f>
        <v/>
      </c>
      <c r="AL62" t="str">
        <f>IF('TRACKER - 20220622'!AO65&lt;&gt;"",UPPER('TRACKER - 20220622'!AO65),"")</f>
        <v>0</v>
      </c>
      <c r="AM62" t="str">
        <f>IF('TRACKER - 20220622'!AP65&lt;&gt;"",UPPER('TRACKER - 20220622'!AP65),"")</f>
        <v>0</v>
      </c>
      <c r="AN62" t="str">
        <f>IF('TRACKER - 20220622'!AQ65&lt;&gt;"",UPPER('TRACKER - 20220622'!AQ65),"")</f>
        <v>0</v>
      </c>
      <c r="AO62" t="str">
        <f>IF('TRACKER - 20220622'!AR65&lt;&gt;"",UPPER('TRACKER - 20220622'!AR65),"")</f>
        <v>PRD</v>
      </c>
      <c r="AP62" t="str">
        <f>IF('TRACKER - 20220622'!AS65&lt;&gt;"",UPPER('TRACKER - 20220622'!AS65),"")</f>
        <v>BLG</v>
      </c>
      <c r="AQ62" t="str">
        <f>IF('TRACKER - 20220622'!AT65&lt;&gt;"",UPPER('TRACKER - 20220622'!AT65),"")</f>
        <v>N</v>
      </c>
      <c r="AR62" t="str">
        <f>IF('TRACKER - 20220622'!AU65&lt;&gt;"",UPPER('TRACKER - 20220622'!AU65),"")</f>
        <v>-150</v>
      </c>
      <c r="AS62" t="str">
        <f>IF('TRACKER - 20220622'!AV65&lt;&gt;"",UPPER('TRACKER - 20220622'!AV65),"")</f>
        <v/>
      </c>
      <c r="AT62" t="str">
        <f>IF('TRACKER - 20220622'!AW65&lt;&gt;"",UPPER('TRACKER - 20220622'!AW65),"")</f>
        <v>DESCR65</v>
      </c>
      <c r="AU62" t="str">
        <f>IF('TRACKER - 20220622'!AX65&lt;&gt;"",UPPER('TRACKER - 20220622'!AX65),"")</f>
        <v>REASON65</v>
      </c>
      <c r="AV62" t="str">
        <f>IF('TRACKER - 20220622'!BD78&lt;&gt;"",'TRACKER - 20220622'!BD78,"")</f>
        <v/>
      </c>
      <c r="AW62" t="str">
        <f>IF('TRACKER - 20220622'!BE78&lt;&gt;"",'TRACKER - 20220622'!BE78,"")</f>
        <v/>
      </c>
      <c r="AX62" t="str">
        <f>IF('TRACKER - 20220622'!BF78&lt;&gt;"",'TRACKER - 20220622'!BF78,"")</f>
        <v/>
      </c>
      <c r="AY62" t="str">
        <f>IF('TRACKER - 20220622'!BG78&lt;&gt;"",'TRACKER - 20220622'!BG78,"")</f>
        <v/>
      </c>
      <c r="AZ62" t="str">
        <f>IF('TRACKER - 20220622'!BH78&lt;&gt;"",'TRACKER - 20220622'!BH78,"")</f>
        <v/>
      </c>
      <c r="BA62" t="str">
        <f>IF('TRACKER - 20220622'!BI78&lt;&gt;"",'TRACKER - 20220622'!BI78,"")</f>
        <v/>
      </c>
      <c r="BB62" t="str">
        <f>IF('TRACKER - 20220622'!BJ78&lt;&gt;"",'TRACKER - 20220622'!BJ78,"")</f>
        <v/>
      </c>
      <c r="BC62" t="str">
        <f>IF('TRACKER - 20220622'!BK78&lt;&gt;"",'TRACKER - 20220622'!BK78,"")</f>
        <v/>
      </c>
      <c r="BD62" t="str">
        <f>IF('TRACKER - 20220622'!BL78&lt;&gt;"",'TRACKER - 20220622'!BL78,"")</f>
        <v/>
      </c>
      <c r="BE62" t="str">
        <f>IF('TRACKER - 20220622'!BM78&lt;&gt;"",'TRACKER - 20220622'!BM78,"")</f>
        <v/>
      </c>
      <c r="BF62" t="str">
        <f>IF('TRACKER - 20220622'!BN78&lt;&gt;"",'TRACKER - 20220622'!BN78,"")</f>
        <v/>
      </c>
      <c r="BG62" t="str">
        <f>IF('TRACKER - 20220622'!BO78&lt;&gt;"",'TRACKER - 20220622'!BO78,"")</f>
        <v/>
      </c>
    </row>
    <row r="63" spans="1:59">
      <c r="A63" t="str">
        <f>IF('TRACKER - 20220622'!A79&lt;&gt;"",UPPER('TRACKER - 20220622'!A79),"")</f>
        <v>PRODUCT BACKLOG</v>
      </c>
      <c r="B63" t="str">
        <f>IF('TRACKER - 20220622'!B79&lt;&gt;"",UPPER('TRACKER - 20220622'!B79),"")</f>
        <v>N</v>
      </c>
      <c r="C63" t="str">
        <f>IF('TRACKER - 20220622'!D66&lt;&gt;"",UPPER('TRACKER - 20220622'!D66),"")</f>
        <v/>
      </c>
      <c r="D63" t="str">
        <f>IF('TRACKER - 20220622'!F79&lt;&gt;"",UPPER('TRACKER - 20220622'!F79),"")</f>
        <v>PRD-BLG-2021-33783</v>
      </c>
      <c r="E63" t="str">
        <f>IF('TRACKER - 20220622'!H79&lt;&gt;"",'TRACKER - 20220622'!H79,"")</f>
        <v>Search bank account information via various identifiers</v>
      </c>
      <c r="F63" t="str">
        <f t="shared" si="0"/>
        <v>PRD-BLG-2021-33783 Search bank account information via various identifiers</v>
      </c>
      <c r="G63" t="str">
        <f t="shared" si="1"/>
        <v xml:space="preserve"> - Search bank account information via various identifiers</v>
      </c>
      <c r="H63">
        <f>IF('TRACKER - 20220622'!J79&lt;&gt;"",'TRACKER - 20220622'!J79,"")</f>
        <v>0</v>
      </c>
      <c r="I63" t="str">
        <f>IF('TRACKER - 20220622'!K66&lt;&gt;"",UPPER('TRACKER - 20220622'!K66),"")</f>
        <v>44091</v>
      </c>
      <c r="J63" t="str">
        <f>IF('TRACKER - 20220622'!L66&lt;&gt;"",UPPER('TRACKER - 20220622'!L66),"")</f>
        <v>44091</v>
      </c>
      <c r="K63" t="str">
        <f>IF('TRACKER - 20220622'!M66&lt;&gt;"",UPPER('TRACKER - 20220622'!M66),"")</f>
        <v/>
      </c>
      <c r="L63" t="str">
        <f>IF('TRACKER - 20220622'!N66&lt;&gt;"",UPPER('TRACKER - 20220622'!N66),"")</f>
        <v/>
      </c>
      <c r="M63" t="str">
        <f>IF('TRACKER - 20220622'!O66&lt;&gt;"",UPPER('TRACKER - 20220622'!O66),"")</f>
        <v/>
      </c>
      <c r="N63" t="str">
        <f>IF('TRACKER - 20220622'!P66&lt;&gt;"",UPPER('TRACKER - 20220622'!P66),"")</f>
        <v/>
      </c>
      <c r="O63" t="str">
        <f>IF('TRACKER - 20220622'!Q66&lt;&gt;"",UPPER('TRACKER - 20220622'!Q66),"")</f>
        <v>TREASURY</v>
      </c>
      <c r="P63" t="str">
        <f>IF('TRACKER - 20220622'!R66&lt;&gt;"",UPPER('TRACKER - 20220622'!R66),"")</f>
        <v>MARKET</v>
      </c>
      <c r="Q63" t="str">
        <f>IF('TRACKER - 20220622'!S66&lt;&gt;"",UPPER('TRACKER - 20220622'!S66),"")</f>
        <v/>
      </c>
      <c r="R63" t="str">
        <f>IF('TRACKER - 20220622'!T66&lt;&gt;"",UPPER('TRACKER - 20220622'!T66),"")</f>
        <v/>
      </c>
      <c r="S63" t="str">
        <f>IF('TRACKER - 20220622'!U66&lt;&gt;"",UPPER('TRACKER - 20220622'!U66),"")</f>
        <v/>
      </c>
      <c r="T63" t="str">
        <f>IF('TRACKER - 20220622'!V66&lt;&gt;"",UPPER('TRACKER - 20220622'!V66),"")</f>
        <v/>
      </c>
      <c r="U63" t="str">
        <f>IF('TRACKER - 20220622'!W66&lt;&gt;"",UPPER('TRACKER - 20220622'!W66),"")</f>
        <v/>
      </c>
      <c r="V63" t="str">
        <f>IF('TRACKER - 20220622'!X66&lt;&gt;"",UPPER('TRACKER - 20220622'!X66),"")</f>
        <v>17/09/20 - RAISED DURING ACCOUNT MANAGEMENT MEETING</v>
      </c>
      <c r="W63" t="str">
        <f>IF('TRACKER - 20220622'!Y66&lt;&gt;"",UPPER('TRACKER - 20220622'!Y66),"")</f>
        <v>0</v>
      </c>
      <c r="X63" t="str">
        <f>IF('TRACKER - 20220622'!Z66&lt;&gt;"",UPPER('TRACKER - 20220622'!Z66),"")</f>
        <v>0</v>
      </c>
      <c r="Y63" t="str">
        <f>IF('TRACKER - 20220622'!AA66&lt;&gt;"",UPPER('TRACKER - 20220622'!AA66),"")</f>
        <v>0</v>
      </c>
      <c r="Z63" t="str">
        <f>IF('TRACKER - 20220622'!AB66&lt;&gt;"",UPPER('TRACKER - 20220622'!AB66),"")</f>
        <v>0</v>
      </c>
      <c r="AA63" t="str">
        <f>IF('TRACKER - 20220622'!AC66&lt;&gt;"",UPPER('TRACKER - 20220622'!AC66),"")</f>
        <v>0</v>
      </c>
      <c r="AB63" t="str">
        <f>IF('TRACKER - 20220622'!AE66&lt;&gt;"",UPPER('TRACKER - 20220622'!AE66),"")</f>
        <v>0</v>
      </c>
      <c r="AC63" t="str">
        <f>IF('TRACKER - 20220622'!AF66&lt;&gt;"",UPPER('TRACKER - 20220622'!AF66),"")</f>
        <v>0</v>
      </c>
      <c r="AD63" t="str">
        <f>IF('TRACKER - 20220622'!AG66&lt;&gt;"",UPPER('TRACKER - 20220622'!AG66),"")</f>
        <v>0</v>
      </c>
      <c r="AE63" t="str">
        <f>IF('TRACKER - 20220622'!AH66&lt;&gt;"",UPPER('TRACKER - 20220622'!AH66),"")</f>
        <v>-150</v>
      </c>
      <c r="AF63" t="str">
        <f>IF('TRACKER - 20220622'!AI66&lt;&gt;"",UPPER('TRACKER - 20220622'!AI66),"")</f>
        <v/>
      </c>
      <c r="AG63" t="str">
        <f>IF('TRACKER - 20220622'!AJ66&lt;&gt;"",UPPER('TRACKER - 20220622'!AJ66),"")</f>
        <v>0</v>
      </c>
      <c r="AH63" t="str">
        <f>IF('TRACKER - 20220622'!AK66&lt;&gt;"",UPPER('TRACKER - 20220622'!AK66),"")</f>
        <v/>
      </c>
      <c r="AI63" t="str">
        <f>IF('TRACKER - 20220622'!AL66&lt;&gt;"",UPPER('TRACKER - 20220622'!AL66),"")</f>
        <v>0</v>
      </c>
      <c r="AJ63" t="str">
        <f>IF('TRACKER - 20220622'!AM66&lt;&gt;"",UPPER('TRACKER - 20220622'!AM66),"")</f>
        <v>0</v>
      </c>
      <c r="AK63" t="str">
        <f>IF('TRACKER - 20220622'!AN66&lt;&gt;"",UPPER('TRACKER - 20220622'!AN66),"")</f>
        <v/>
      </c>
      <c r="AL63" t="str">
        <f>IF('TRACKER - 20220622'!AO66&lt;&gt;"",UPPER('TRACKER - 20220622'!AO66),"")</f>
        <v>0</v>
      </c>
      <c r="AM63" t="str">
        <f>IF('TRACKER - 20220622'!AP66&lt;&gt;"",UPPER('TRACKER - 20220622'!AP66),"")</f>
        <v>0</v>
      </c>
      <c r="AN63" t="str">
        <f>IF('TRACKER - 20220622'!AQ66&lt;&gt;"",UPPER('TRACKER - 20220622'!AQ66),"")</f>
        <v>0</v>
      </c>
      <c r="AO63" t="str">
        <f>IF('TRACKER - 20220622'!AR66&lt;&gt;"",UPPER('TRACKER - 20220622'!AR66),"")</f>
        <v>PRD</v>
      </c>
      <c r="AP63" t="str">
        <f>IF('TRACKER - 20220622'!AS66&lt;&gt;"",UPPER('TRACKER - 20220622'!AS66),"")</f>
        <v>BLG</v>
      </c>
      <c r="AQ63" t="str">
        <f>IF('TRACKER - 20220622'!AT66&lt;&gt;"",UPPER('TRACKER - 20220622'!AT66),"")</f>
        <v>N</v>
      </c>
      <c r="AR63" t="str">
        <f>IF('TRACKER - 20220622'!AU66&lt;&gt;"",UPPER('TRACKER - 20220622'!AU66),"")</f>
        <v>-150</v>
      </c>
      <c r="AS63" t="str">
        <f>IF('TRACKER - 20220622'!AV66&lt;&gt;"",UPPER('TRACKER - 20220622'!AV66),"")</f>
        <v/>
      </c>
      <c r="AT63" t="str">
        <f>IF('TRACKER - 20220622'!AW66&lt;&gt;"",UPPER('TRACKER - 20220622'!AW66),"")</f>
        <v>DESCR66</v>
      </c>
      <c r="AU63" t="str">
        <f>IF('TRACKER - 20220622'!AX66&lt;&gt;"",UPPER('TRACKER - 20220622'!AX66),"")</f>
        <v>REASON66</v>
      </c>
      <c r="AV63" t="str">
        <f>IF('TRACKER - 20220622'!BD79&lt;&gt;"",'TRACKER - 20220622'!BD79,"")</f>
        <v/>
      </c>
      <c r="AW63" t="str">
        <f>IF('TRACKER - 20220622'!BE79&lt;&gt;"",'TRACKER - 20220622'!BE79,"")</f>
        <v/>
      </c>
      <c r="AX63" t="str">
        <f>IF('TRACKER - 20220622'!BF79&lt;&gt;"",'TRACKER - 20220622'!BF79,"")</f>
        <v/>
      </c>
      <c r="AY63" t="str">
        <f>IF('TRACKER - 20220622'!BG79&lt;&gt;"",'TRACKER - 20220622'!BG79,"")</f>
        <v/>
      </c>
      <c r="AZ63" t="str">
        <f>IF('TRACKER - 20220622'!BH79&lt;&gt;"",'TRACKER - 20220622'!BH79,"")</f>
        <v/>
      </c>
      <c r="BA63" t="str">
        <f>IF('TRACKER - 20220622'!BI79&lt;&gt;"",'TRACKER - 20220622'!BI79,"")</f>
        <v/>
      </c>
      <c r="BB63" t="str">
        <f>IF('TRACKER - 20220622'!BJ79&lt;&gt;"",'TRACKER - 20220622'!BJ79,"")</f>
        <v/>
      </c>
      <c r="BC63" t="str">
        <f>IF('TRACKER - 20220622'!BK79&lt;&gt;"",'TRACKER - 20220622'!BK79,"")</f>
        <v/>
      </c>
      <c r="BD63" t="str">
        <f>IF('TRACKER - 20220622'!BL79&lt;&gt;"",'TRACKER - 20220622'!BL79,"")</f>
        <v/>
      </c>
      <c r="BE63" t="str">
        <f>IF('TRACKER - 20220622'!BM79&lt;&gt;"",'TRACKER - 20220622'!BM79,"")</f>
        <v/>
      </c>
      <c r="BF63" t="str">
        <f>IF('TRACKER - 20220622'!BN79&lt;&gt;"",'TRACKER - 20220622'!BN79,"")</f>
        <v/>
      </c>
      <c r="BG63" t="str">
        <f>IF('TRACKER - 20220622'!BO79&lt;&gt;"",'TRACKER - 20220622'!BO79,"")</f>
        <v/>
      </c>
    </row>
    <row r="64" spans="1:59">
      <c r="A64" t="str">
        <f>IF('TRACKER - 20220622'!A80&lt;&gt;"",UPPER('TRACKER - 20220622'!A80),"")</f>
        <v>PRODUCT BACKLOG</v>
      </c>
      <c r="B64" t="str">
        <f>IF('TRACKER - 20220622'!B80&lt;&gt;"",UPPER('TRACKER - 20220622'!B80),"")</f>
        <v>N</v>
      </c>
      <c r="C64" t="str">
        <f>IF('TRACKER - 20220622'!D67&lt;&gt;"",UPPER('TRACKER - 20220622'!D67),"")</f>
        <v>7</v>
      </c>
      <c r="D64" t="str">
        <f>IF('TRACKER - 20220622'!F80&lt;&gt;"",UPPER('TRACKER - 20220622'!F80),"")</f>
        <v>PRD-BLG-2021-33765</v>
      </c>
      <c r="E64" t="str">
        <f>IF('TRACKER - 20220622'!H80&lt;&gt;"",'TRACKER - 20220622'!H80,"")</f>
        <v>Create &amp; Issue client invoices for services.</v>
      </c>
      <c r="F64" t="str">
        <f t="shared" si="0"/>
        <v>PRD-BLG-2021-33765 Create &amp; Issue client invoices for services.</v>
      </c>
      <c r="G64" t="str">
        <f t="shared" si="1"/>
        <v>00007 - Create &amp; Issue client invoices for services.</v>
      </c>
      <c r="H64">
        <f>IF('TRACKER - 20220622'!J80&lt;&gt;"",'TRACKER - 20220622'!J80,"")</f>
        <v>0</v>
      </c>
      <c r="I64" t="str">
        <f>IF('TRACKER - 20220622'!K67&lt;&gt;"",UPPER('TRACKER - 20220622'!K67),"")</f>
        <v>43952</v>
      </c>
      <c r="J64" t="str">
        <f>IF('TRACKER - 20220622'!L67&lt;&gt;"",UPPER('TRACKER - 20220622'!L67),"")</f>
        <v>43952</v>
      </c>
      <c r="K64" t="str">
        <f>IF('TRACKER - 20220622'!M67&lt;&gt;"",UPPER('TRACKER - 20220622'!M67),"")</f>
        <v/>
      </c>
      <c r="L64" t="str">
        <f>IF('TRACKER - 20220622'!N67&lt;&gt;"",UPPER('TRACKER - 20220622'!N67),"")</f>
        <v/>
      </c>
      <c r="M64" t="str">
        <f>IF('TRACKER - 20220622'!O67&lt;&gt;"",UPPER('TRACKER - 20220622'!O67),"")</f>
        <v/>
      </c>
      <c r="N64" t="str">
        <f>IF('TRACKER - 20220622'!P67&lt;&gt;"",UPPER('TRACKER - 20220622'!P67),"")</f>
        <v/>
      </c>
      <c r="O64" t="str">
        <f>IF('TRACKER - 20220622'!Q67&lt;&gt;"",UPPER('TRACKER - 20220622'!Q67),"")</f>
        <v>TREASURY</v>
      </c>
      <c r="P64" t="str">
        <f>IF('TRACKER - 20220622'!R67&lt;&gt;"",UPPER('TRACKER - 20220622'!R67),"")</f>
        <v>MARKET</v>
      </c>
      <c r="Q64" t="str">
        <f>IF('TRACKER - 20220622'!S67&lt;&gt;"",UPPER('TRACKER - 20220622'!S67),"")</f>
        <v/>
      </c>
      <c r="R64" t="str">
        <f>IF('TRACKER - 20220622'!T67&lt;&gt;"",UPPER('TRACKER - 20220622'!T67),"")</f>
        <v/>
      </c>
      <c r="S64" t="str">
        <f>IF('TRACKER - 20220622'!U67&lt;&gt;"",UPPER('TRACKER - 20220622'!U67),"")</f>
        <v/>
      </c>
      <c r="T64" t="str">
        <f>IF('TRACKER - 20220622'!V67&lt;&gt;"",UPPER('TRACKER - 20220622'!V67),"")</f>
        <v/>
      </c>
      <c r="U64" t="str">
        <f>IF('TRACKER - 20220622'!W67&lt;&gt;"",UPPER('TRACKER - 20220622'!W67),"")</f>
        <v/>
      </c>
      <c r="V64" t="str">
        <f>IF('TRACKER - 20220622'!X67&lt;&gt;"",UPPER('TRACKER - 20220622'!X67),"")</f>
        <v/>
      </c>
      <c r="W64" t="str">
        <f>IF('TRACKER - 20220622'!Y67&lt;&gt;"",UPPER('TRACKER - 20220622'!Y67),"")</f>
        <v>0</v>
      </c>
      <c r="X64" t="str">
        <f>IF('TRACKER - 20220622'!Z67&lt;&gt;"",UPPER('TRACKER - 20220622'!Z67),"")</f>
        <v>0</v>
      </c>
      <c r="Y64" t="str">
        <f>IF('TRACKER - 20220622'!AA67&lt;&gt;"",UPPER('TRACKER - 20220622'!AA67),"")</f>
        <v>0</v>
      </c>
      <c r="Z64" t="str">
        <f>IF('TRACKER - 20220622'!AB67&lt;&gt;"",UPPER('TRACKER - 20220622'!AB67),"")</f>
        <v>0</v>
      </c>
      <c r="AA64" t="str">
        <f>IF('TRACKER - 20220622'!AC67&lt;&gt;"",UPPER('TRACKER - 20220622'!AC67),"")</f>
        <v>0</v>
      </c>
      <c r="AB64" t="str">
        <f>IF('TRACKER - 20220622'!AE67&lt;&gt;"",UPPER('TRACKER - 20220622'!AE67),"")</f>
        <v>0</v>
      </c>
      <c r="AC64" t="str">
        <f>IF('TRACKER - 20220622'!AF67&lt;&gt;"",UPPER('TRACKER - 20220622'!AF67),"")</f>
        <v>0</v>
      </c>
      <c r="AD64" t="str">
        <f>IF('TRACKER - 20220622'!AG67&lt;&gt;"",UPPER('TRACKER - 20220622'!AG67),"")</f>
        <v>0</v>
      </c>
      <c r="AE64" t="str">
        <f>IF('TRACKER - 20220622'!AH67&lt;&gt;"",UPPER('TRACKER - 20220622'!AH67),"")</f>
        <v>-150</v>
      </c>
      <c r="AF64" t="str">
        <f>IF('TRACKER - 20220622'!AI67&lt;&gt;"",UPPER('TRACKER - 20220622'!AI67),"")</f>
        <v/>
      </c>
      <c r="AG64" t="str">
        <f>IF('TRACKER - 20220622'!AJ67&lt;&gt;"",UPPER('TRACKER - 20220622'!AJ67),"")</f>
        <v>0</v>
      </c>
      <c r="AH64" t="str">
        <f>IF('TRACKER - 20220622'!AK67&lt;&gt;"",UPPER('TRACKER - 20220622'!AK67),"")</f>
        <v/>
      </c>
      <c r="AI64" t="str">
        <f>IF('TRACKER - 20220622'!AL67&lt;&gt;"",UPPER('TRACKER - 20220622'!AL67),"")</f>
        <v>0</v>
      </c>
      <c r="AJ64" t="str">
        <f>IF('TRACKER - 20220622'!AM67&lt;&gt;"",UPPER('TRACKER - 20220622'!AM67),"")</f>
        <v>0</v>
      </c>
      <c r="AK64" t="str">
        <f>IF('TRACKER - 20220622'!AN67&lt;&gt;"",UPPER('TRACKER - 20220622'!AN67),"")</f>
        <v/>
      </c>
      <c r="AL64" t="str">
        <f>IF('TRACKER - 20220622'!AO67&lt;&gt;"",UPPER('TRACKER - 20220622'!AO67),"")</f>
        <v>0</v>
      </c>
      <c r="AM64" t="str">
        <f>IF('TRACKER - 20220622'!AP67&lt;&gt;"",UPPER('TRACKER - 20220622'!AP67),"")</f>
        <v>0</v>
      </c>
      <c r="AN64" t="str">
        <f>IF('TRACKER - 20220622'!AQ67&lt;&gt;"",UPPER('TRACKER - 20220622'!AQ67),"")</f>
        <v>0</v>
      </c>
      <c r="AO64" t="str">
        <f>IF('TRACKER - 20220622'!AR67&lt;&gt;"",UPPER('TRACKER - 20220622'!AR67),"")</f>
        <v>PRD</v>
      </c>
      <c r="AP64" t="str">
        <f>IF('TRACKER - 20220622'!AS67&lt;&gt;"",UPPER('TRACKER - 20220622'!AS67),"")</f>
        <v>BLG</v>
      </c>
      <c r="AQ64" t="str">
        <f>IF('TRACKER - 20220622'!AT67&lt;&gt;"",UPPER('TRACKER - 20220622'!AT67),"")</f>
        <v>N</v>
      </c>
      <c r="AR64" t="str">
        <f>IF('TRACKER - 20220622'!AU67&lt;&gt;"",UPPER('TRACKER - 20220622'!AU67),"")</f>
        <v>-150</v>
      </c>
      <c r="AS64" t="str">
        <f>IF('TRACKER - 20220622'!AV67&lt;&gt;"",UPPER('TRACKER - 20220622'!AV67),"")</f>
        <v/>
      </c>
      <c r="AT64" t="str">
        <f>IF('TRACKER - 20220622'!AW67&lt;&gt;"",UPPER('TRACKER - 20220622'!AW67),"")</f>
        <v>DESCR67</v>
      </c>
      <c r="AU64" t="str">
        <f>IF('TRACKER - 20220622'!AX67&lt;&gt;"",UPPER('TRACKER - 20220622'!AX67),"")</f>
        <v>REASON67</v>
      </c>
      <c r="AV64" t="str">
        <f>IF('TRACKER - 20220622'!BD80&lt;&gt;"",'TRACKER - 20220622'!BD80,"")</f>
        <v/>
      </c>
      <c r="AW64" t="str">
        <f>IF('TRACKER - 20220622'!BE80&lt;&gt;"",'TRACKER - 20220622'!BE80,"")</f>
        <v/>
      </c>
      <c r="AX64" t="str">
        <f>IF('TRACKER - 20220622'!BF80&lt;&gt;"",'TRACKER - 20220622'!BF80,"")</f>
        <v/>
      </c>
      <c r="AY64" t="str">
        <f>IF('TRACKER - 20220622'!BG80&lt;&gt;"",'TRACKER - 20220622'!BG80,"")</f>
        <v/>
      </c>
      <c r="AZ64" t="str">
        <f>IF('TRACKER - 20220622'!BH80&lt;&gt;"",'TRACKER - 20220622'!BH80,"")</f>
        <v/>
      </c>
      <c r="BA64" t="str">
        <f>IF('TRACKER - 20220622'!BI80&lt;&gt;"",'TRACKER - 20220622'!BI80,"")</f>
        <v/>
      </c>
      <c r="BB64" t="str">
        <f>IF('TRACKER - 20220622'!BJ80&lt;&gt;"",'TRACKER - 20220622'!BJ80,"")</f>
        <v/>
      </c>
      <c r="BC64" t="str">
        <f>IF('TRACKER - 20220622'!BK80&lt;&gt;"",'TRACKER - 20220622'!BK80,"")</f>
        <v/>
      </c>
      <c r="BD64" t="str">
        <f>IF('TRACKER - 20220622'!BL80&lt;&gt;"",'TRACKER - 20220622'!BL80,"")</f>
        <v/>
      </c>
      <c r="BE64" t="str">
        <f>IF('TRACKER - 20220622'!BM80&lt;&gt;"",'TRACKER - 20220622'!BM80,"")</f>
        <v/>
      </c>
      <c r="BF64" t="str">
        <f>IF('TRACKER - 20220622'!BN80&lt;&gt;"",'TRACKER - 20220622'!BN80,"")</f>
        <v/>
      </c>
      <c r="BG64" t="str">
        <f>IF('TRACKER - 20220622'!BO80&lt;&gt;"",'TRACKER - 20220622'!BO80,"")</f>
        <v/>
      </c>
    </row>
    <row r="65" spans="1:59">
      <c r="A65" t="str">
        <f>IF('TRACKER - 20220622'!A81&lt;&gt;"",UPPER('TRACKER - 20220622'!A81),"")</f>
        <v>PRODUCT BACKLOG</v>
      </c>
      <c r="B65" t="str">
        <f>IF('TRACKER - 20220622'!B81&lt;&gt;"",UPPER('TRACKER - 20220622'!B81),"")</f>
        <v>N</v>
      </c>
      <c r="C65" t="str">
        <f>IF('TRACKER - 20220622'!D68&lt;&gt;"",UPPER('TRACKER - 20220622'!D68),"")</f>
        <v>23</v>
      </c>
      <c r="D65" t="str">
        <f>IF('TRACKER - 20220622'!F81&lt;&gt;"",UPPER('TRACKER - 20220622'!F81),"")</f>
        <v>PRD-BLG-2021-33758</v>
      </c>
      <c r="E65" t="str">
        <f>IF('TRACKER - 20220622'!H81&lt;&gt;"",'TRACKER - 20220622'!H81,"")</f>
        <v>Upload Bank Invoice Data</v>
      </c>
      <c r="F65" t="str">
        <f t="shared" si="0"/>
        <v>PRD-BLG-2021-33758 Upload Bank Invoice Data</v>
      </c>
      <c r="G65" t="str">
        <f t="shared" si="1"/>
        <v>00023 - Upload Bank Invoice Data</v>
      </c>
      <c r="H65">
        <f>IF('TRACKER - 20220622'!J81&lt;&gt;"",'TRACKER - 20220622'!J81,"")</f>
        <v>0</v>
      </c>
      <c r="I65" t="str">
        <f>IF('TRACKER - 20220622'!K68&lt;&gt;"",UPPER('TRACKER - 20220622'!K68),"")</f>
        <v>44131</v>
      </c>
      <c r="J65" t="str">
        <f>IF('TRACKER - 20220622'!L68&lt;&gt;"",UPPER('TRACKER - 20220622'!L68),"")</f>
        <v>44131</v>
      </c>
      <c r="K65" t="str">
        <f>IF('TRACKER - 20220622'!M68&lt;&gt;"",UPPER('TRACKER - 20220622'!M68),"")</f>
        <v/>
      </c>
      <c r="L65" t="str">
        <f>IF('TRACKER - 20220622'!N68&lt;&gt;"",UPPER('TRACKER - 20220622'!N68),"")</f>
        <v/>
      </c>
      <c r="M65" t="str">
        <f>IF('TRACKER - 20220622'!O68&lt;&gt;"",UPPER('TRACKER - 20220622'!O68),"")</f>
        <v/>
      </c>
      <c r="N65" t="str">
        <f>IF('TRACKER - 20220622'!P68&lt;&gt;"",UPPER('TRACKER - 20220622'!P68),"")</f>
        <v/>
      </c>
      <c r="O65" t="str">
        <f>IF('TRACKER - 20220622'!Q68&lt;&gt;"",UPPER('TRACKER - 20220622'!Q68),"")</f>
        <v>PLATFORM</v>
      </c>
      <c r="P65" t="str">
        <f>IF('TRACKER - 20220622'!R68&lt;&gt;"",UPPER('TRACKER - 20220622'!R68),"")</f>
        <v>PRODUCT</v>
      </c>
      <c r="Q65" t="str">
        <f>IF('TRACKER - 20220622'!S68&lt;&gt;"",UPPER('TRACKER - 20220622'!S68),"")</f>
        <v>DEFECT</v>
      </c>
      <c r="R65" t="str">
        <f>IF('TRACKER - 20220622'!T68&lt;&gt;"",UPPER('TRACKER - 20220622'!T68),"")</f>
        <v/>
      </c>
      <c r="S65" t="str">
        <f>IF('TRACKER - 20220622'!U68&lt;&gt;"",UPPER('TRACKER - 20220622'!U68),"")</f>
        <v/>
      </c>
      <c r="T65" t="str">
        <f>IF('TRACKER - 20220622'!V68&lt;&gt;"",UPPER('TRACKER - 20220622'!V68),"")</f>
        <v>44356</v>
      </c>
      <c r="U65" t="str">
        <f>IF('TRACKER - 20220622'!W68&lt;&gt;"",UPPER('TRACKER - 20220622'!W68),"")</f>
        <v>A TEMP FIX HAS BEEN APPLIED. CAN BE REVISITED AS A NORMAL DEFECT.</v>
      </c>
      <c r="V65" t="str">
        <f>IF('TRACKER - 20220622'!X68&lt;&gt;"",UPPER('TRACKER - 20220622'!X68),"")</f>
        <v>ZENITH HAVE FOUND THAT GIVEN THEIR VOLUMES DEAL REF'S ARE BEING DUPLICATED AS THEY DUE TO THE 99999 FORMAT. SUGGEST YYMMDD99999 AS A NEW FORMAT. EXISTING DEAL NUMBERS TO STAY THE SAME, ONLY NEW DEALS. IE. 20102700001</v>
      </c>
      <c r="W65" t="str">
        <f>IF('TRACKER - 20220622'!Y68&lt;&gt;"",UPPER('TRACKER - 20220622'!Y68),"")</f>
        <v>0</v>
      </c>
      <c r="X65" t="str">
        <f>IF('TRACKER - 20220622'!Z68&lt;&gt;"",UPPER('TRACKER - 20220622'!Z68),"")</f>
        <v>0</v>
      </c>
      <c r="Y65" t="str">
        <f>IF('TRACKER - 20220622'!AA68&lt;&gt;"",UPPER('TRACKER - 20220622'!AA68),"")</f>
        <v>0</v>
      </c>
      <c r="Z65" t="str">
        <f>IF('TRACKER - 20220622'!AB68&lt;&gt;"",UPPER('TRACKER - 20220622'!AB68),"")</f>
        <v>0</v>
      </c>
      <c r="AA65" t="str">
        <f>IF('TRACKER - 20220622'!AC68&lt;&gt;"",UPPER('TRACKER - 20220622'!AC68),"")</f>
        <v>0</v>
      </c>
      <c r="AB65" t="str">
        <f>IF('TRACKER - 20220622'!AE68&lt;&gt;"",UPPER('TRACKER - 20220622'!AE68),"")</f>
        <v>0</v>
      </c>
      <c r="AC65" t="str">
        <f>IF('TRACKER - 20220622'!AF68&lt;&gt;"",UPPER('TRACKER - 20220622'!AF68),"")</f>
        <v>0</v>
      </c>
      <c r="AD65" t="str">
        <f>IF('TRACKER - 20220622'!AG68&lt;&gt;"",UPPER('TRACKER - 20220622'!AG68),"")</f>
        <v>0</v>
      </c>
      <c r="AE65" t="str">
        <f>IF('TRACKER - 20220622'!AH68&lt;&gt;"",UPPER('TRACKER - 20220622'!AH68),"")</f>
        <v>-150</v>
      </c>
      <c r="AF65" t="str">
        <f>IF('TRACKER - 20220622'!AI68&lt;&gt;"",UPPER('TRACKER - 20220622'!AI68),"")</f>
        <v/>
      </c>
      <c r="AG65" t="str">
        <f>IF('TRACKER - 20220622'!AJ68&lt;&gt;"",UPPER('TRACKER - 20220622'!AJ68),"")</f>
        <v>0</v>
      </c>
      <c r="AH65" t="str">
        <f>IF('TRACKER - 20220622'!AK68&lt;&gt;"",UPPER('TRACKER - 20220622'!AK68),"")</f>
        <v/>
      </c>
      <c r="AI65" t="str">
        <f>IF('TRACKER - 20220622'!AL68&lt;&gt;"",UPPER('TRACKER - 20220622'!AL68),"")</f>
        <v>0</v>
      </c>
      <c r="AJ65" t="str">
        <f>IF('TRACKER - 20220622'!AM68&lt;&gt;"",UPPER('TRACKER - 20220622'!AM68),"")</f>
        <v>0</v>
      </c>
      <c r="AK65" t="str">
        <f>IF('TRACKER - 20220622'!AN68&lt;&gt;"",UPPER('TRACKER - 20220622'!AN68),"")</f>
        <v/>
      </c>
      <c r="AL65" t="str">
        <f>IF('TRACKER - 20220622'!AO68&lt;&gt;"",UPPER('TRACKER - 20220622'!AO68),"")</f>
        <v>0</v>
      </c>
      <c r="AM65" t="str">
        <f>IF('TRACKER - 20220622'!AP68&lt;&gt;"",UPPER('TRACKER - 20220622'!AP68),"")</f>
        <v>0</v>
      </c>
      <c r="AN65" t="str">
        <f>IF('TRACKER - 20220622'!AQ68&lt;&gt;"",UPPER('TRACKER - 20220622'!AQ68),"")</f>
        <v>0</v>
      </c>
      <c r="AO65" t="str">
        <f>IF('TRACKER - 20220622'!AR68&lt;&gt;"",UPPER('TRACKER - 20220622'!AR68),"")</f>
        <v>PRD</v>
      </c>
      <c r="AP65" t="str">
        <f>IF('TRACKER - 20220622'!AS68&lt;&gt;"",UPPER('TRACKER - 20220622'!AS68),"")</f>
        <v>BLG</v>
      </c>
      <c r="AQ65" t="str">
        <f>IF('TRACKER - 20220622'!AT68&lt;&gt;"",UPPER('TRACKER - 20220622'!AT68),"")</f>
        <v>N</v>
      </c>
      <c r="AR65" t="str">
        <f>IF('TRACKER - 20220622'!AU68&lt;&gt;"",UPPER('TRACKER - 20220622'!AU68),"")</f>
        <v>-150</v>
      </c>
      <c r="AS65" t="str">
        <f>IF('TRACKER - 20220622'!AV68&lt;&gt;"",UPPER('TRACKER - 20220622'!AV68),"")</f>
        <v/>
      </c>
      <c r="AT65" t="str">
        <f>IF('TRACKER - 20220622'!AW68&lt;&gt;"",UPPER('TRACKER - 20220622'!AW68),"")</f>
        <v>DESCR68</v>
      </c>
      <c r="AU65" t="str">
        <f>IF('TRACKER - 20220622'!AX68&lt;&gt;"",UPPER('TRACKER - 20220622'!AX68),"")</f>
        <v>REASON68</v>
      </c>
      <c r="AV65" t="str">
        <f>IF('TRACKER - 20220622'!BD81&lt;&gt;"",'TRACKER - 20220622'!BD81,"")</f>
        <v/>
      </c>
      <c r="AW65" t="str">
        <f>IF('TRACKER - 20220622'!BE81&lt;&gt;"",'TRACKER - 20220622'!BE81,"")</f>
        <v/>
      </c>
      <c r="AX65" t="str">
        <f>IF('TRACKER - 20220622'!BF81&lt;&gt;"",'TRACKER - 20220622'!BF81,"")</f>
        <v/>
      </c>
      <c r="AY65" t="str">
        <f>IF('TRACKER - 20220622'!BG81&lt;&gt;"",'TRACKER - 20220622'!BG81,"")</f>
        <v/>
      </c>
      <c r="AZ65" t="str">
        <f>IF('TRACKER - 20220622'!BH81&lt;&gt;"",'TRACKER - 20220622'!BH81,"")</f>
        <v/>
      </c>
      <c r="BA65" t="str">
        <f>IF('TRACKER - 20220622'!BI81&lt;&gt;"",'TRACKER - 20220622'!BI81,"")</f>
        <v/>
      </c>
      <c r="BB65" t="str">
        <f>IF('TRACKER - 20220622'!BJ81&lt;&gt;"",'TRACKER - 20220622'!BJ81,"")</f>
        <v/>
      </c>
      <c r="BC65" t="str">
        <f>IF('TRACKER - 20220622'!BK81&lt;&gt;"",'TRACKER - 20220622'!BK81,"")</f>
        <v/>
      </c>
      <c r="BD65" t="str">
        <f>IF('TRACKER - 20220622'!BL81&lt;&gt;"",'TRACKER - 20220622'!BL81,"")</f>
        <v/>
      </c>
      <c r="BE65" t="str">
        <f>IF('TRACKER - 20220622'!BM81&lt;&gt;"",'TRACKER - 20220622'!BM81,"")</f>
        <v/>
      </c>
      <c r="BF65" t="str">
        <f>IF('TRACKER - 20220622'!BN81&lt;&gt;"",'TRACKER - 20220622'!BN81,"")</f>
        <v/>
      </c>
      <c r="BG65" t="str">
        <f>IF('TRACKER - 20220622'!BO81&lt;&gt;"",'TRACKER - 20220622'!BO81,"")</f>
        <v/>
      </c>
    </row>
    <row r="66" spans="1:59">
      <c r="A66" t="str">
        <f>IF('TRACKER - 20220622'!A82&lt;&gt;"",UPPER('TRACKER - 20220622'!A82),"")</f>
        <v>PRODUCT BACKLOG</v>
      </c>
      <c r="B66" t="str">
        <f>IF('TRACKER - 20220622'!B82&lt;&gt;"",UPPER('TRACKER - 20220622'!B82),"")</f>
        <v>N</v>
      </c>
      <c r="C66" t="str">
        <f>IF('TRACKER - 20220622'!D69&lt;&gt;"",UPPER('TRACKER - 20220622'!D69),"")</f>
        <v>25</v>
      </c>
      <c r="D66" t="str">
        <f>IF('TRACKER - 20220622'!F82&lt;&gt;"",UPPER('TRACKER - 20220622'!F82),"")</f>
        <v>PRD-BLG-2021-00002</v>
      </c>
      <c r="E66" t="str">
        <f>IF('TRACKER - 20220622'!H82&lt;&gt;"",'TRACKER - 20220622'!H82,"")</f>
        <v>Simplified Upgrade Process</v>
      </c>
      <c r="F66" t="str">
        <f t="shared" si="0"/>
        <v>PRD-BLG-2021-00002 Simplified Upgrade Process</v>
      </c>
      <c r="G66" t="str">
        <f t="shared" si="1"/>
        <v>00025 - Simplified Upgrade Process</v>
      </c>
      <c r="H66">
        <f>IF('TRACKER - 20220622'!J82&lt;&gt;"",'TRACKER - 20220622'!J82,"")</f>
        <v>0</v>
      </c>
      <c r="I66" t="str">
        <f>IF('TRACKER - 20220622'!K69&lt;&gt;"",UPPER('TRACKER - 20220622'!K69),"")</f>
        <v>0</v>
      </c>
      <c r="J66" t="str">
        <f>IF('TRACKER - 20220622'!L69&lt;&gt;"",UPPER('TRACKER - 20220622'!L69),"")</f>
        <v/>
      </c>
      <c r="K66" t="str">
        <f>IF('TRACKER - 20220622'!M69&lt;&gt;"",UPPER('TRACKER - 20220622'!M69),"")</f>
        <v/>
      </c>
      <c r="L66" t="str">
        <f>IF('TRACKER - 20220622'!N69&lt;&gt;"",UPPER('TRACKER - 20220622'!N69),"")</f>
        <v/>
      </c>
      <c r="M66" t="str">
        <f>IF('TRACKER - 20220622'!O69&lt;&gt;"",UPPER('TRACKER - 20220622'!O69),"")</f>
        <v/>
      </c>
      <c r="N66" t="str">
        <f>IF('TRACKER - 20220622'!P69&lt;&gt;"",UPPER('TRACKER - 20220622'!P69),"")</f>
        <v/>
      </c>
      <c r="O66" t="str">
        <f>IF('TRACKER - 20220622'!Q69&lt;&gt;"",UPPER('TRACKER - 20220622'!Q69),"")</f>
        <v>TREASURY</v>
      </c>
      <c r="P66" t="str">
        <f>IF('TRACKER - 20220622'!R69&lt;&gt;"",UPPER('TRACKER - 20220622'!R69),"")</f>
        <v>MARKET</v>
      </c>
      <c r="Q66" t="str">
        <f>IF('TRACKER - 20220622'!S69&lt;&gt;"",UPPER('TRACKER - 20220622'!S69),"")</f>
        <v>DEFECT</v>
      </c>
      <c r="R66" t="str">
        <f>IF('TRACKER - 20220622'!T69&lt;&gt;"",UPPER('TRACKER - 20220622'!T69),"")</f>
        <v>HIGH</v>
      </c>
      <c r="S66" t="str">
        <f>IF('TRACKER - 20220622'!U69&lt;&gt;"",UPPER('TRACKER - 20220622'!U69),"")</f>
        <v>LOW</v>
      </c>
      <c r="T66" t="str">
        <f>IF('TRACKER - 20220622'!V69&lt;&gt;"",UPPER('TRACKER - 20220622'!V69),"")</f>
        <v/>
      </c>
      <c r="U66" t="str">
        <f>IF('TRACKER - 20220622'!W69&lt;&gt;"",UPPER('TRACKER - 20220622'!W69),"")</f>
        <v/>
      </c>
      <c r="V66" t="str">
        <f>IF('TRACKER - 20220622'!X69&lt;&gt;"",UPPER('TRACKER - 20220622'!X69),"")</f>
        <v>29/10/20 - REVIEWED - VALIDATE &amp; PASS TO OPS TO BUILD - TEST CASES ALREADY PROVIDED BY LMR. VALIDATE DATA ENTRY AGAINST TEST CASES.
CHECK ALL DERIVATIVE PRODUCTS AGAINST EMIR REPORTABLE LISTS.</v>
      </c>
      <c r="W66" t="str">
        <f>IF('TRACKER - 20220622'!Y69&lt;&gt;"",UPPER('TRACKER - 20220622'!Y69),"")</f>
        <v>0</v>
      </c>
      <c r="X66" t="str">
        <f>IF('TRACKER - 20220622'!Z69&lt;&gt;"",UPPER('TRACKER - 20220622'!Z69),"")</f>
        <v>0</v>
      </c>
      <c r="Y66" t="str">
        <f>IF('TRACKER - 20220622'!AA69&lt;&gt;"",UPPER('TRACKER - 20220622'!AA69),"")</f>
        <v>0</v>
      </c>
      <c r="Z66" t="str">
        <f>IF('TRACKER - 20220622'!AB69&lt;&gt;"",UPPER('TRACKER - 20220622'!AB69),"")</f>
        <v>0</v>
      </c>
      <c r="AA66" t="str">
        <f>IF('TRACKER - 20220622'!AC69&lt;&gt;"",UPPER('TRACKER - 20220622'!AC69),"")</f>
        <v>0</v>
      </c>
      <c r="AB66" t="str">
        <f>IF('TRACKER - 20220622'!AE69&lt;&gt;"",UPPER('TRACKER - 20220622'!AE69),"")</f>
        <v>0</v>
      </c>
      <c r="AC66" t="str">
        <f>IF('TRACKER - 20220622'!AF69&lt;&gt;"",UPPER('TRACKER - 20220622'!AF69),"")</f>
        <v>0</v>
      </c>
      <c r="AD66" t="str">
        <f>IF('TRACKER - 20220622'!AG69&lt;&gt;"",UPPER('TRACKER - 20220622'!AG69),"")</f>
        <v>0</v>
      </c>
      <c r="AE66" t="str">
        <f>IF('TRACKER - 20220622'!AH69&lt;&gt;"",UPPER('TRACKER - 20220622'!AH69),"")</f>
        <v>-150</v>
      </c>
      <c r="AF66" t="str">
        <f>IF('TRACKER - 20220622'!AI69&lt;&gt;"",UPPER('TRACKER - 20220622'!AI69),"")</f>
        <v/>
      </c>
      <c r="AG66" t="str">
        <f>IF('TRACKER - 20220622'!AJ69&lt;&gt;"",UPPER('TRACKER - 20220622'!AJ69),"")</f>
        <v>0</v>
      </c>
      <c r="AH66" t="str">
        <f>IF('TRACKER - 20220622'!AK69&lt;&gt;"",UPPER('TRACKER - 20220622'!AK69),"")</f>
        <v/>
      </c>
      <c r="AI66" t="str">
        <f>IF('TRACKER - 20220622'!AL69&lt;&gt;"",UPPER('TRACKER - 20220622'!AL69),"")</f>
        <v>0</v>
      </c>
      <c r="AJ66" t="str">
        <f>IF('TRACKER - 20220622'!AM69&lt;&gt;"",UPPER('TRACKER - 20220622'!AM69),"")</f>
        <v>0</v>
      </c>
      <c r="AK66" t="str">
        <f>IF('TRACKER - 20220622'!AN69&lt;&gt;"",UPPER('TRACKER - 20220622'!AN69),"")</f>
        <v/>
      </c>
      <c r="AL66" t="str">
        <f>IF('TRACKER - 20220622'!AO69&lt;&gt;"",UPPER('TRACKER - 20220622'!AO69),"")</f>
        <v>0</v>
      </c>
      <c r="AM66" t="str">
        <f>IF('TRACKER - 20220622'!AP69&lt;&gt;"",UPPER('TRACKER - 20220622'!AP69),"")</f>
        <v>0</v>
      </c>
      <c r="AN66" t="str">
        <f>IF('TRACKER - 20220622'!AQ69&lt;&gt;"",UPPER('TRACKER - 20220622'!AQ69),"")</f>
        <v>0</v>
      </c>
      <c r="AO66" t="str">
        <f>IF('TRACKER - 20220622'!AR69&lt;&gt;"",UPPER('TRACKER - 20220622'!AR69),"")</f>
        <v>PRD</v>
      </c>
      <c r="AP66" t="str">
        <f>IF('TRACKER - 20220622'!AS69&lt;&gt;"",UPPER('TRACKER - 20220622'!AS69),"")</f>
        <v>BLG</v>
      </c>
      <c r="AQ66" t="str">
        <f>IF('TRACKER - 20220622'!AT69&lt;&gt;"",UPPER('TRACKER - 20220622'!AT69),"")</f>
        <v>N</v>
      </c>
      <c r="AR66" t="str">
        <f>IF('TRACKER - 20220622'!AU69&lt;&gt;"",UPPER('TRACKER - 20220622'!AU69),"")</f>
        <v>-150</v>
      </c>
      <c r="AS66" t="str">
        <f>IF('TRACKER - 20220622'!AV69&lt;&gt;"",UPPER('TRACKER - 20220622'!AV69),"")</f>
        <v/>
      </c>
      <c r="AT66" t="str">
        <f>IF('TRACKER - 20220622'!AW69&lt;&gt;"",UPPER('TRACKER - 20220622'!AW69),"")</f>
        <v>DESCR69</v>
      </c>
      <c r="AU66" t="str">
        <f>IF('TRACKER - 20220622'!AX69&lt;&gt;"",UPPER('TRACKER - 20220622'!AX69),"")</f>
        <v>REASON69</v>
      </c>
      <c r="AV66" t="str">
        <f>IF('TRACKER - 20220622'!BD82&lt;&gt;"",'TRACKER - 20220622'!BD82,"")</f>
        <v/>
      </c>
      <c r="AW66" t="str">
        <f>IF('TRACKER - 20220622'!BE82&lt;&gt;"",'TRACKER - 20220622'!BE82,"")</f>
        <v/>
      </c>
      <c r="AX66" t="str">
        <f>IF('TRACKER - 20220622'!BF82&lt;&gt;"",'TRACKER - 20220622'!BF82,"")</f>
        <v/>
      </c>
      <c r="AY66" t="str">
        <f>IF('TRACKER - 20220622'!BG82&lt;&gt;"",'TRACKER - 20220622'!BG82,"")</f>
        <v/>
      </c>
      <c r="AZ66" t="str">
        <f>IF('TRACKER - 20220622'!BH82&lt;&gt;"",'TRACKER - 20220622'!BH82,"")</f>
        <v/>
      </c>
      <c r="BA66" t="str">
        <f>IF('TRACKER - 20220622'!BI82&lt;&gt;"",'TRACKER - 20220622'!BI82,"")</f>
        <v/>
      </c>
      <c r="BB66" t="str">
        <f>IF('TRACKER - 20220622'!BJ82&lt;&gt;"",'TRACKER - 20220622'!BJ82,"")</f>
        <v/>
      </c>
      <c r="BC66" t="str">
        <f>IF('TRACKER - 20220622'!BK82&lt;&gt;"",'TRACKER - 20220622'!BK82,"")</f>
        <v/>
      </c>
      <c r="BD66" t="str">
        <f>IF('TRACKER - 20220622'!BL82&lt;&gt;"",'TRACKER - 20220622'!BL82,"")</f>
        <v/>
      </c>
      <c r="BE66" t="str">
        <f>IF('TRACKER - 20220622'!BM82&lt;&gt;"",'TRACKER - 20220622'!BM82,"")</f>
        <v/>
      </c>
      <c r="BF66" t="str">
        <f>IF('TRACKER - 20220622'!BN82&lt;&gt;"",'TRACKER - 20220622'!BN82,"")</f>
        <v/>
      </c>
      <c r="BG66" t="str">
        <f>IF('TRACKER - 20220622'!BO82&lt;&gt;"",'TRACKER - 20220622'!BO82,"")</f>
        <v/>
      </c>
    </row>
    <row r="67" spans="1:59">
      <c r="A67" t="str">
        <f>IF('TRACKER - 20220622'!A83&lt;&gt;"",UPPER('TRACKER - 20220622'!A83),"")</f>
        <v>PRODUCT BACKLOG</v>
      </c>
      <c r="B67" t="str">
        <f>IF('TRACKER - 20220622'!B83&lt;&gt;"",UPPER('TRACKER - 20220622'!B83),"")</f>
        <v>N</v>
      </c>
      <c r="C67" t="str">
        <f>IF('TRACKER - 20220622'!D70&lt;&gt;"",UPPER('TRACKER - 20220622'!D70),"")</f>
        <v>18</v>
      </c>
      <c r="D67" t="str">
        <f>IF('TRACKER - 20220622'!F83&lt;&gt;"",UPPER('TRACKER - 20220622'!F83),"")</f>
        <v>PRD-BLG-2021-00000</v>
      </c>
      <c r="E67" t="str">
        <f>IF('TRACKER - 20220622'!H83&lt;&gt;"",'TRACKER - 20220622'!H83,"")</f>
        <v>Witholding Tax + Accounting in GL</v>
      </c>
      <c r="F67" t="str">
        <f t="shared" ref="F67:F130" si="2">D67&amp;" "&amp;E67</f>
        <v>PRD-BLG-2021-00000 Witholding Tax + Accounting in GL</v>
      </c>
      <c r="G67" t="str">
        <f t="shared" ref="G67:G130" si="3">AK67&amp;TEXT(C67,"00000")&amp;" - "&amp;E67</f>
        <v>00018 - Witholding Tax + Accounting in GL</v>
      </c>
      <c r="H67">
        <f>IF('TRACKER - 20220622'!J83&lt;&gt;"",'TRACKER - 20220622'!J83,"")</f>
        <v>0</v>
      </c>
      <c r="I67" t="str">
        <f>IF('TRACKER - 20220622'!K70&lt;&gt;"",UPPER('TRACKER - 20220622'!K70),"")</f>
        <v>44070</v>
      </c>
      <c r="J67" t="str">
        <f>IF('TRACKER - 20220622'!L70&lt;&gt;"",UPPER('TRACKER - 20220622'!L70),"")</f>
        <v>44070</v>
      </c>
      <c r="K67" t="str">
        <f>IF('TRACKER - 20220622'!M70&lt;&gt;"",UPPER('TRACKER - 20220622'!M70),"")</f>
        <v/>
      </c>
      <c r="L67" t="str">
        <f>IF('TRACKER - 20220622'!N70&lt;&gt;"",UPPER('TRACKER - 20220622'!N70),"")</f>
        <v/>
      </c>
      <c r="M67" t="str">
        <f>IF('TRACKER - 20220622'!O70&lt;&gt;"",UPPER('TRACKER - 20220622'!O70),"")</f>
        <v/>
      </c>
      <c r="N67" t="str">
        <f>IF('TRACKER - 20220622'!P70&lt;&gt;"",UPPER('TRACKER - 20220622'!P70),"")</f>
        <v/>
      </c>
      <c r="O67" t="str">
        <f>IF('TRACKER - 20220622'!Q70&lt;&gt;"",UPPER('TRACKER - 20220622'!Q70),"")</f>
        <v>TREASURY</v>
      </c>
      <c r="P67" t="str">
        <f>IF('TRACKER - 20220622'!R70&lt;&gt;"",UPPER('TRACKER - 20220622'!R70),"")</f>
        <v>MARKET</v>
      </c>
      <c r="Q67" t="str">
        <f>IF('TRACKER - 20220622'!S70&lt;&gt;"",UPPER('TRACKER - 20220622'!S70),"")</f>
        <v/>
      </c>
      <c r="R67" t="str">
        <f>IF('TRACKER - 20220622'!T70&lt;&gt;"",UPPER('TRACKER - 20220622'!T70),"")</f>
        <v/>
      </c>
      <c r="S67" t="str">
        <f>IF('TRACKER - 20220622'!U70&lt;&gt;"",UPPER('TRACKER - 20220622'!U70),"")</f>
        <v/>
      </c>
      <c r="T67" t="str">
        <f>IF('TRACKER - 20220622'!V70&lt;&gt;"",UPPER('TRACKER - 20220622'!V70),"")</f>
        <v/>
      </c>
      <c r="U67" t="str">
        <f>IF('TRACKER - 20220622'!W70&lt;&gt;"",UPPER('TRACKER - 20220622'!W70),"")</f>
        <v/>
      </c>
      <c r="V67" t="str">
        <f>IF('TRACKER - 20220622'!X70&lt;&gt;"",UPPER('TRACKER - 20220622'!X70),"")</f>
        <v>15/09/20 - SELECTED TO PRODUCT ROADMAP INVESTIGATION</v>
      </c>
      <c r="W67" t="str">
        <f>IF('TRACKER - 20220622'!Y70&lt;&gt;"",UPPER('TRACKER - 20220622'!Y70),"")</f>
        <v>0</v>
      </c>
      <c r="X67" t="str">
        <f>IF('TRACKER - 20220622'!Z70&lt;&gt;"",UPPER('TRACKER - 20220622'!Z70),"")</f>
        <v>0</v>
      </c>
      <c r="Y67" t="str">
        <f>IF('TRACKER - 20220622'!AA70&lt;&gt;"",UPPER('TRACKER - 20220622'!AA70),"")</f>
        <v>0</v>
      </c>
      <c r="Z67" t="str">
        <f>IF('TRACKER - 20220622'!AB70&lt;&gt;"",UPPER('TRACKER - 20220622'!AB70),"")</f>
        <v>0</v>
      </c>
      <c r="AA67" t="str">
        <f>IF('TRACKER - 20220622'!AC70&lt;&gt;"",UPPER('TRACKER - 20220622'!AC70),"")</f>
        <v>0</v>
      </c>
      <c r="AB67" t="str">
        <f>IF('TRACKER - 20220622'!AE70&lt;&gt;"",UPPER('TRACKER - 20220622'!AE70),"")</f>
        <v>0</v>
      </c>
      <c r="AC67" t="str">
        <f>IF('TRACKER - 20220622'!AF70&lt;&gt;"",UPPER('TRACKER - 20220622'!AF70),"")</f>
        <v>0</v>
      </c>
      <c r="AD67" t="str">
        <f>IF('TRACKER - 20220622'!AG70&lt;&gt;"",UPPER('TRACKER - 20220622'!AG70),"")</f>
        <v>0</v>
      </c>
      <c r="AE67" t="str">
        <f>IF('TRACKER - 20220622'!AH70&lt;&gt;"",UPPER('TRACKER - 20220622'!AH70),"")</f>
        <v>-150</v>
      </c>
      <c r="AF67" t="str">
        <f>IF('TRACKER - 20220622'!AI70&lt;&gt;"",UPPER('TRACKER - 20220622'!AI70),"")</f>
        <v/>
      </c>
      <c r="AG67" t="str">
        <f>IF('TRACKER - 20220622'!AJ70&lt;&gt;"",UPPER('TRACKER - 20220622'!AJ70),"")</f>
        <v>0</v>
      </c>
      <c r="AH67" t="str">
        <f>IF('TRACKER - 20220622'!AK70&lt;&gt;"",UPPER('TRACKER - 20220622'!AK70),"")</f>
        <v/>
      </c>
      <c r="AI67" t="str">
        <f>IF('TRACKER - 20220622'!AL70&lt;&gt;"",UPPER('TRACKER - 20220622'!AL70),"")</f>
        <v>0</v>
      </c>
      <c r="AJ67" t="str">
        <f>IF('TRACKER - 20220622'!AM70&lt;&gt;"",UPPER('TRACKER - 20220622'!AM70),"")</f>
        <v>0</v>
      </c>
      <c r="AK67" t="str">
        <f>IF('TRACKER - 20220622'!AN70&lt;&gt;"",UPPER('TRACKER - 20220622'!AN70),"")</f>
        <v/>
      </c>
      <c r="AL67" t="str">
        <f>IF('TRACKER - 20220622'!AO70&lt;&gt;"",UPPER('TRACKER - 20220622'!AO70),"")</f>
        <v>0</v>
      </c>
      <c r="AM67" t="str">
        <f>IF('TRACKER - 20220622'!AP70&lt;&gt;"",UPPER('TRACKER - 20220622'!AP70),"")</f>
        <v>0</v>
      </c>
      <c r="AN67" t="str">
        <f>IF('TRACKER - 20220622'!AQ70&lt;&gt;"",UPPER('TRACKER - 20220622'!AQ70),"")</f>
        <v>0</v>
      </c>
      <c r="AO67" t="str">
        <f>IF('TRACKER - 20220622'!AR70&lt;&gt;"",UPPER('TRACKER - 20220622'!AR70),"")</f>
        <v>PRD</v>
      </c>
      <c r="AP67" t="str">
        <f>IF('TRACKER - 20220622'!AS70&lt;&gt;"",UPPER('TRACKER - 20220622'!AS70),"")</f>
        <v>BLG</v>
      </c>
      <c r="AQ67" t="str">
        <f>IF('TRACKER - 20220622'!AT70&lt;&gt;"",UPPER('TRACKER - 20220622'!AT70),"")</f>
        <v>N</v>
      </c>
      <c r="AR67" t="str">
        <f>IF('TRACKER - 20220622'!AU70&lt;&gt;"",UPPER('TRACKER - 20220622'!AU70),"")</f>
        <v>-150</v>
      </c>
      <c r="AS67" t="str">
        <f>IF('TRACKER - 20220622'!AV70&lt;&gt;"",UPPER('TRACKER - 20220622'!AV70),"")</f>
        <v/>
      </c>
      <c r="AT67" t="str">
        <f>IF('TRACKER - 20220622'!AW70&lt;&gt;"",UPPER('TRACKER - 20220622'!AW70),"")</f>
        <v>DESCR70</v>
      </c>
      <c r="AU67" t="str">
        <f>IF('TRACKER - 20220622'!AX70&lt;&gt;"",UPPER('TRACKER - 20220622'!AX70),"")</f>
        <v>REASON70</v>
      </c>
      <c r="AV67" t="str">
        <f>IF('TRACKER - 20220622'!BD83&lt;&gt;"",'TRACKER - 20220622'!BD83,"")</f>
        <v/>
      </c>
      <c r="AW67" t="str">
        <f>IF('TRACKER - 20220622'!BE83&lt;&gt;"",'TRACKER - 20220622'!BE83,"")</f>
        <v/>
      </c>
      <c r="AX67" t="str">
        <f>IF('TRACKER - 20220622'!BF83&lt;&gt;"",'TRACKER - 20220622'!BF83,"")</f>
        <v/>
      </c>
      <c r="AY67" t="str">
        <f>IF('TRACKER - 20220622'!BG83&lt;&gt;"",'TRACKER - 20220622'!BG83,"")</f>
        <v/>
      </c>
      <c r="AZ67" t="str">
        <f>IF('TRACKER - 20220622'!BH83&lt;&gt;"",'TRACKER - 20220622'!BH83,"")</f>
        <v/>
      </c>
      <c r="BA67" t="str">
        <f>IF('TRACKER - 20220622'!BI83&lt;&gt;"",'TRACKER - 20220622'!BI83,"")</f>
        <v/>
      </c>
      <c r="BB67" t="str">
        <f>IF('TRACKER - 20220622'!BJ83&lt;&gt;"",'TRACKER - 20220622'!BJ83,"")</f>
        <v/>
      </c>
      <c r="BC67" t="str">
        <f>IF('TRACKER - 20220622'!BK83&lt;&gt;"",'TRACKER - 20220622'!BK83,"")</f>
        <v/>
      </c>
      <c r="BD67" t="str">
        <f>IF('TRACKER - 20220622'!BL83&lt;&gt;"",'TRACKER - 20220622'!BL83,"")</f>
        <v/>
      </c>
      <c r="BE67" t="str">
        <f>IF('TRACKER - 20220622'!BM83&lt;&gt;"",'TRACKER - 20220622'!BM83,"")</f>
        <v/>
      </c>
      <c r="BF67" t="str">
        <f>IF('TRACKER - 20220622'!BN83&lt;&gt;"",'TRACKER - 20220622'!BN83,"")</f>
        <v/>
      </c>
      <c r="BG67" t="str">
        <f>IF('TRACKER - 20220622'!BO83&lt;&gt;"",'TRACKER - 20220622'!BO83,"")</f>
        <v/>
      </c>
    </row>
    <row r="68" spans="1:59">
      <c r="A68" t="str">
        <f>IF('TRACKER - 20220622'!A84&lt;&gt;"",UPPER('TRACKER - 20220622'!A84),"")</f>
        <v>PRODUCT BACKLOG</v>
      </c>
      <c r="B68" t="str">
        <f>IF('TRACKER - 20220622'!B84&lt;&gt;"",UPPER('TRACKER - 20220622'!B84),"")</f>
        <v>N</v>
      </c>
      <c r="C68" t="str">
        <f>IF('TRACKER - 20220622'!D71&lt;&gt;"",UPPER('TRACKER - 20220622'!D71),"")</f>
        <v>20</v>
      </c>
      <c r="D68" t="str">
        <f>IF('TRACKER - 20220622'!F84&lt;&gt;"",UPPER('TRACKER - 20220622'!F84),"")</f>
        <v>PRD-BLG-2021-00000</v>
      </c>
      <c r="E68" t="str">
        <f>IF('TRACKER - 20220622'!H84&lt;&gt;"",'TRACKER - 20220622'!H84,"")</f>
        <v>Internal Accounts to update Nostros &amp; be available as settlement instructions in payments.</v>
      </c>
      <c r="F68" t="str">
        <f t="shared" si="2"/>
        <v>PRD-BLG-2021-00000 Internal Accounts to update Nostros &amp; be available as settlement instructions in payments.</v>
      </c>
      <c r="G68" t="str">
        <f t="shared" si="3"/>
        <v>00020 - Internal Accounts to update Nostros &amp; be available as settlement instructions in payments.</v>
      </c>
      <c r="H68">
        <f>IF('TRACKER - 20220622'!J84&lt;&gt;"",'TRACKER - 20220622'!J84,"")</f>
        <v>0</v>
      </c>
      <c r="I68" t="str">
        <f>IF('TRACKER - 20220622'!K71&lt;&gt;"",UPPER('TRACKER - 20220622'!K71),"")</f>
        <v>44070</v>
      </c>
      <c r="J68" t="str">
        <f>IF('TRACKER - 20220622'!L71&lt;&gt;"",UPPER('TRACKER - 20220622'!L71),"")</f>
        <v>44070</v>
      </c>
      <c r="K68" t="str">
        <f>IF('TRACKER - 20220622'!M71&lt;&gt;"",UPPER('TRACKER - 20220622'!M71),"")</f>
        <v/>
      </c>
      <c r="L68" t="str">
        <f>IF('TRACKER - 20220622'!N71&lt;&gt;"",UPPER('TRACKER - 20220622'!N71),"")</f>
        <v/>
      </c>
      <c r="M68" t="str">
        <f>IF('TRACKER - 20220622'!O71&lt;&gt;"",UPPER('TRACKER - 20220622'!O71),"")</f>
        <v/>
      </c>
      <c r="N68" t="str">
        <f>IF('TRACKER - 20220622'!P71&lt;&gt;"",UPPER('TRACKER - 20220622'!P71),"")</f>
        <v/>
      </c>
      <c r="O68" t="str">
        <f>IF('TRACKER - 20220622'!Q71&lt;&gt;"",UPPER('TRACKER - 20220622'!Q71),"")</f>
        <v>PARTNER</v>
      </c>
      <c r="P68" t="str">
        <f>IF('TRACKER - 20220622'!R71&lt;&gt;"",UPPER('TRACKER - 20220622'!R71),"")</f>
        <v>MARKET</v>
      </c>
      <c r="Q68" t="str">
        <f>IF('TRACKER - 20220622'!S71&lt;&gt;"",UPPER('TRACKER - 20220622'!S71),"")</f>
        <v/>
      </c>
      <c r="R68" t="str">
        <f>IF('TRACKER - 20220622'!T71&lt;&gt;"",UPPER('TRACKER - 20220622'!T71),"")</f>
        <v/>
      </c>
      <c r="S68" t="str">
        <f>IF('TRACKER - 20220622'!U71&lt;&gt;"",UPPER('TRACKER - 20220622'!U71),"")</f>
        <v/>
      </c>
      <c r="T68" t="str">
        <f>IF('TRACKER - 20220622'!V71&lt;&gt;"",UPPER('TRACKER - 20220622'!V71),"")</f>
        <v/>
      </c>
      <c r="U68" t="str">
        <f>IF('TRACKER - 20220622'!W71&lt;&gt;"",UPPER('TRACKER - 20220622'!W71),"")</f>
        <v/>
      </c>
      <c r="V68" t="str">
        <f>IF('TRACKER - 20220622'!X71&lt;&gt;"",UPPER('TRACKER - 20220622'!X71),"")</f>
        <v>15/09/20 - SELECTED TO PRODUCT ROADMAP INVESTIGATION</v>
      </c>
      <c r="W68" t="str">
        <f>IF('TRACKER - 20220622'!Y71&lt;&gt;"",UPPER('TRACKER - 20220622'!Y71),"")</f>
        <v>0</v>
      </c>
      <c r="X68" t="str">
        <f>IF('TRACKER - 20220622'!Z71&lt;&gt;"",UPPER('TRACKER - 20220622'!Z71),"")</f>
        <v>0</v>
      </c>
      <c r="Y68" t="str">
        <f>IF('TRACKER - 20220622'!AA71&lt;&gt;"",UPPER('TRACKER - 20220622'!AA71),"")</f>
        <v>0</v>
      </c>
      <c r="Z68" t="str">
        <f>IF('TRACKER - 20220622'!AB71&lt;&gt;"",UPPER('TRACKER - 20220622'!AB71),"")</f>
        <v>0</v>
      </c>
      <c r="AA68" t="str">
        <f>IF('TRACKER - 20220622'!AC71&lt;&gt;"",UPPER('TRACKER - 20220622'!AC71),"")</f>
        <v>0</v>
      </c>
      <c r="AB68" t="str">
        <f>IF('TRACKER - 20220622'!AE71&lt;&gt;"",UPPER('TRACKER - 20220622'!AE71),"")</f>
        <v>0</v>
      </c>
      <c r="AC68" t="str">
        <f>IF('TRACKER - 20220622'!AF71&lt;&gt;"",UPPER('TRACKER - 20220622'!AF71),"")</f>
        <v>0</v>
      </c>
      <c r="AD68" t="str">
        <f>IF('TRACKER - 20220622'!AG71&lt;&gt;"",UPPER('TRACKER - 20220622'!AG71),"")</f>
        <v>0</v>
      </c>
      <c r="AE68" t="str">
        <f>IF('TRACKER - 20220622'!AH71&lt;&gt;"",UPPER('TRACKER - 20220622'!AH71),"")</f>
        <v>-150</v>
      </c>
      <c r="AF68" t="str">
        <f>IF('TRACKER - 20220622'!AI71&lt;&gt;"",UPPER('TRACKER - 20220622'!AI71),"")</f>
        <v/>
      </c>
      <c r="AG68" t="str">
        <f>IF('TRACKER - 20220622'!AJ71&lt;&gt;"",UPPER('TRACKER - 20220622'!AJ71),"")</f>
        <v>0</v>
      </c>
      <c r="AH68" t="str">
        <f>IF('TRACKER - 20220622'!AK71&lt;&gt;"",UPPER('TRACKER - 20220622'!AK71),"")</f>
        <v/>
      </c>
      <c r="AI68" t="str">
        <f>IF('TRACKER - 20220622'!AL71&lt;&gt;"",UPPER('TRACKER - 20220622'!AL71),"")</f>
        <v>0</v>
      </c>
      <c r="AJ68" t="str">
        <f>IF('TRACKER - 20220622'!AM71&lt;&gt;"",UPPER('TRACKER - 20220622'!AM71),"")</f>
        <v>0</v>
      </c>
      <c r="AK68" t="str">
        <f>IF('TRACKER - 20220622'!AN71&lt;&gt;"",UPPER('TRACKER - 20220622'!AN71),"")</f>
        <v/>
      </c>
      <c r="AL68" t="str">
        <f>IF('TRACKER - 20220622'!AO71&lt;&gt;"",UPPER('TRACKER - 20220622'!AO71),"")</f>
        <v>0</v>
      </c>
      <c r="AM68" t="str">
        <f>IF('TRACKER - 20220622'!AP71&lt;&gt;"",UPPER('TRACKER - 20220622'!AP71),"")</f>
        <v>0</v>
      </c>
      <c r="AN68" t="str">
        <f>IF('TRACKER - 20220622'!AQ71&lt;&gt;"",UPPER('TRACKER - 20220622'!AQ71),"")</f>
        <v>0</v>
      </c>
      <c r="AO68" t="str">
        <f>IF('TRACKER - 20220622'!AR71&lt;&gt;"",UPPER('TRACKER - 20220622'!AR71),"")</f>
        <v>PRD</v>
      </c>
      <c r="AP68" t="str">
        <f>IF('TRACKER - 20220622'!AS71&lt;&gt;"",UPPER('TRACKER - 20220622'!AS71),"")</f>
        <v>BLG</v>
      </c>
      <c r="AQ68" t="str">
        <f>IF('TRACKER - 20220622'!AT71&lt;&gt;"",UPPER('TRACKER - 20220622'!AT71),"")</f>
        <v>N</v>
      </c>
      <c r="AR68" t="str">
        <f>IF('TRACKER - 20220622'!AU71&lt;&gt;"",UPPER('TRACKER - 20220622'!AU71),"")</f>
        <v>-150</v>
      </c>
      <c r="AS68" t="str">
        <f>IF('TRACKER - 20220622'!AV71&lt;&gt;"",UPPER('TRACKER - 20220622'!AV71),"")</f>
        <v/>
      </c>
      <c r="AT68" t="str">
        <f>IF('TRACKER - 20220622'!AW71&lt;&gt;"",UPPER('TRACKER - 20220622'!AW71),"")</f>
        <v>DESCR71</v>
      </c>
      <c r="AU68" t="str">
        <f>IF('TRACKER - 20220622'!AX71&lt;&gt;"",UPPER('TRACKER - 20220622'!AX71),"")</f>
        <v>REASON71</v>
      </c>
      <c r="AV68" t="str">
        <f>IF('TRACKER - 20220622'!BD84&lt;&gt;"",'TRACKER - 20220622'!BD84,"")</f>
        <v/>
      </c>
      <c r="AW68" t="str">
        <f>IF('TRACKER - 20220622'!BE84&lt;&gt;"",'TRACKER - 20220622'!BE84,"")</f>
        <v/>
      </c>
      <c r="AX68" t="str">
        <f>IF('TRACKER - 20220622'!BF84&lt;&gt;"",'TRACKER - 20220622'!BF84,"")</f>
        <v/>
      </c>
      <c r="AY68" t="str">
        <f>IF('TRACKER - 20220622'!BG84&lt;&gt;"",'TRACKER - 20220622'!BG84,"")</f>
        <v/>
      </c>
      <c r="AZ68" t="str">
        <f>IF('TRACKER - 20220622'!BH84&lt;&gt;"",'TRACKER - 20220622'!BH84,"")</f>
        <v/>
      </c>
      <c r="BA68" t="str">
        <f>IF('TRACKER - 20220622'!BI84&lt;&gt;"",'TRACKER - 20220622'!BI84,"")</f>
        <v/>
      </c>
      <c r="BB68" t="str">
        <f>IF('TRACKER - 20220622'!BJ84&lt;&gt;"",'TRACKER - 20220622'!BJ84,"")</f>
        <v/>
      </c>
      <c r="BC68" t="str">
        <f>IF('TRACKER - 20220622'!BK84&lt;&gt;"",'TRACKER - 20220622'!BK84,"")</f>
        <v/>
      </c>
      <c r="BD68" t="str">
        <f>IF('TRACKER - 20220622'!BL84&lt;&gt;"",'TRACKER - 20220622'!BL84,"")</f>
        <v/>
      </c>
      <c r="BE68" t="str">
        <f>IF('TRACKER - 20220622'!BM84&lt;&gt;"",'TRACKER - 20220622'!BM84,"")</f>
        <v/>
      </c>
      <c r="BF68" t="str">
        <f>IF('TRACKER - 20220622'!BN84&lt;&gt;"",'TRACKER - 20220622'!BN84,"")</f>
        <v/>
      </c>
      <c r="BG68" t="str">
        <f>IF('TRACKER - 20220622'!BO84&lt;&gt;"",'TRACKER - 20220622'!BO84,"")</f>
        <v/>
      </c>
    </row>
    <row r="69" spans="1:59">
      <c r="A69" t="str">
        <f>IF('TRACKER - 20220622'!A85&lt;&gt;"",UPPER('TRACKER - 20220622'!A85),"")</f>
        <v>PRODUCT BACKLOG</v>
      </c>
      <c r="B69" t="str">
        <f>IF('TRACKER - 20220622'!B85&lt;&gt;"",UPPER('TRACKER - 20220622'!B85),"")</f>
        <v>N</v>
      </c>
      <c r="C69" t="str">
        <f>IF('TRACKER - 20220622'!D72&lt;&gt;"",UPPER('TRACKER - 20220622'!D72),"")</f>
        <v>33665</v>
      </c>
      <c r="D69" t="str">
        <f>IF('TRACKER - 20220622'!F85&lt;&gt;"",UPPER('TRACKER - 20220622'!F85),"")</f>
        <v>PRD-BLG-2021-00000</v>
      </c>
      <c r="E69" t="str">
        <f>IF('TRACKER - 20220622'!H85&lt;&gt;"",'TRACKER - 20220622'!H85,"")</f>
        <v>Remove Hardcoding behind Fundamental Deal Types</v>
      </c>
      <c r="F69" t="str">
        <f t="shared" si="2"/>
        <v>PRD-BLG-2021-00000 Remove Hardcoding behind Fundamental Deal Types</v>
      </c>
      <c r="G69" t="str">
        <f t="shared" si="3"/>
        <v>33665 - Remove Hardcoding behind Fundamental Deal Types</v>
      </c>
      <c r="H69">
        <f>IF('TRACKER - 20220622'!J85&lt;&gt;"",'TRACKER - 20220622'!J85,"")</f>
        <v>0</v>
      </c>
      <c r="I69" t="str">
        <f>IF('TRACKER - 20220622'!K72&lt;&gt;"",UPPER('TRACKER - 20220622'!K72),"")</f>
        <v>44152</v>
      </c>
      <c r="J69" t="str">
        <f>IF('TRACKER - 20220622'!L72&lt;&gt;"",UPPER('TRACKER - 20220622'!L72),"")</f>
        <v>44083</v>
      </c>
      <c r="K69" t="str">
        <f>IF('TRACKER - 20220622'!M72&lt;&gt;"",UPPER('TRACKER - 20220622'!M72),"")</f>
        <v/>
      </c>
      <c r="L69" t="str">
        <f>IF('TRACKER - 20220622'!N72&lt;&gt;"",UPPER('TRACKER - 20220622'!N72),"")</f>
        <v/>
      </c>
      <c r="M69" t="str">
        <f>IF('TRACKER - 20220622'!O72&lt;&gt;"",UPPER('TRACKER - 20220622'!O72),"")</f>
        <v/>
      </c>
      <c r="N69" t="str">
        <f>IF('TRACKER - 20220622'!P72&lt;&gt;"",UPPER('TRACKER - 20220622'!P72),"")</f>
        <v/>
      </c>
      <c r="O69" t="str">
        <f>IF('TRACKER - 20220622'!Q72&lt;&gt;"",UPPER('TRACKER - 20220622'!Q72),"")</f>
        <v>PLATFORM</v>
      </c>
      <c r="P69" t="str">
        <f>IF('TRACKER - 20220622'!R72&lt;&gt;"",UPPER('TRACKER - 20220622'!R72),"")</f>
        <v>MARKET</v>
      </c>
      <c r="Q69" t="str">
        <f>IF('TRACKER - 20220622'!S72&lt;&gt;"",UPPER('TRACKER - 20220622'!S72),"")</f>
        <v/>
      </c>
      <c r="R69" t="str">
        <f>IF('TRACKER - 20220622'!T72&lt;&gt;"",UPPER('TRACKER - 20220622'!T72),"")</f>
        <v/>
      </c>
      <c r="S69" t="str">
        <f>IF('TRACKER - 20220622'!U72&lt;&gt;"",UPPER('TRACKER - 20220622'!U72),"")</f>
        <v/>
      </c>
      <c r="T69" t="str">
        <f>IF('TRACKER - 20220622'!V72&lt;&gt;"",UPPER('TRACKER - 20220622'!V72),"")</f>
        <v/>
      </c>
      <c r="U69" t="str">
        <f>IF('TRACKER - 20220622'!W72&lt;&gt;"",UPPER('TRACKER - 20220622'!W72),"")</f>
        <v/>
      </c>
      <c r="V69" t="str">
        <f>IF('TRACKER - 20220622'!X72&lt;&gt;"",UPPER('TRACKER - 20220622'!X72),"")</f>
        <v>17/11/20 - BC NOT MOVING FORWARD - GENERIC REQ - SELECTED FOR BACKLOG.
04/01/21 - BCMOF - ADDED TO PRODUCT BACKLOG</v>
      </c>
      <c r="W69" t="str">
        <f>IF('TRACKER - 20220622'!Y72&lt;&gt;"",UPPER('TRACKER - 20220622'!Y72),"")</f>
        <v>0</v>
      </c>
      <c r="X69" t="str">
        <f>IF('TRACKER - 20220622'!Z72&lt;&gt;"",UPPER('TRACKER - 20220622'!Z72),"")</f>
        <v>0</v>
      </c>
      <c r="Y69" t="str">
        <f>IF('TRACKER - 20220622'!AA72&lt;&gt;"",UPPER('TRACKER - 20220622'!AA72),"")</f>
        <v>0</v>
      </c>
      <c r="Z69" t="str">
        <f>IF('TRACKER - 20220622'!AB72&lt;&gt;"",UPPER('TRACKER - 20220622'!AB72),"")</f>
        <v>0</v>
      </c>
      <c r="AA69" t="str">
        <f>IF('TRACKER - 20220622'!AC72&lt;&gt;"",UPPER('TRACKER - 20220622'!AC72),"")</f>
        <v>0</v>
      </c>
      <c r="AB69" t="str">
        <f>IF('TRACKER - 20220622'!AE72&lt;&gt;"",UPPER('TRACKER - 20220622'!AE72),"")</f>
        <v>0</v>
      </c>
      <c r="AC69" t="str">
        <f>IF('TRACKER - 20220622'!AF72&lt;&gt;"",UPPER('TRACKER - 20220622'!AF72),"")</f>
        <v>0</v>
      </c>
      <c r="AD69" t="str">
        <f>IF('TRACKER - 20220622'!AG72&lt;&gt;"",UPPER('TRACKER - 20220622'!AG72),"")</f>
        <v>0</v>
      </c>
      <c r="AE69" t="str">
        <f>IF('TRACKER - 20220622'!AH72&lt;&gt;"",UPPER('TRACKER - 20220622'!AH72),"")</f>
        <v>-150</v>
      </c>
      <c r="AF69" t="str">
        <f>IF('TRACKER - 20220622'!AI72&lt;&gt;"",UPPER('TRACKER - 20220622'!AI72),"")</f>
        <v/>
      </c>
      <c r="AG69" t="str">
        <f>IF('TRACKER - 20220622'!AJ72&lt;&gt;"",UPPER('TRACKER - 20220622'!AJ72),"")</f>
        <v>0</v>
      </c>
      <c r="AH69" t="str">
        <f>IF('TRACKER - 20220622'!AK72&lt;&gt;"",UPPER('TRACKER - 20220622'!AK72),"")</f>
        <v/>
      </c>
      <c r="AI69" t="str">
        <f>IF('TRACKER - 20220622'!AL72&lt;&gt;"",UPPER('TRACKER - 20220622'!AL72),"")</f>
        <v>0</v>
      </c>
      <c r="AJ69" t="str">
        <f>IF('TRACKER - 20220622'!AM72&lt;&gt;"",UPPER('TRACKER - 20220622'!AM72),"")</f>
        <v>0</v>
      </c>
      <c r="AK69" t="str">
        <f>IF('TRACKER - 20220622'!AN72&lt;&gt;"",UPPER('TRACKER - 20220622'!AN72),"")</f>
        <v/>
      </c>
      <c r="AL69" t="str">
        <f>IF('TRACKER - 20220622'!AO72&lt;&gt;"",UPPER('TRACKER - 20220622'!AO72),"")</f>
        <v>0</v>
      </c>
      <c r="AM69" t="str">
        <f>IF('TRACKER - 20220622'!AP72&lt;&gt;"",UPPER('TRACKER - 20220622'!AP72),"")</f>
        <v>0</v>
      </c>
      <c r="AN69" t="str">
        <f>IF('TRACKER - 20220622'!AQ72&lt;&gt;"",UPPER('TRACKER - 20220622'!AQ72),"")</f>
        <v>0</v>
      </c>
      <c r="AO69" t="str">
        <f>IF('TRACKER - 20220622'!AR72&lt;&gt;"",UPPER('TRACKER - 20220622'!AR72),"")</f>
        <v>PRD</v>
      </c>
      <c r="AP69" t="str">
        <f>IF('TRACKER - 20220622'!AS72&lt;&gt;"",UPPER('TRACKER - 20220622'!AS72),"")</f>
        <v>BLG</v>
      </c>
      <c r="AQ69" t="str">
        <f>IF('TRACKER - 20220622'!AT72&lt;&gt;"",UPPER('TRACKER - 20220622'!AT72),"")</f>
        <v>N</v>
      </c>
      <c r="AR69" t="str">
        <f>IF('TRACKER - 20220622'!AU72&lt;&gt;"",UPPER('TRACKER - 20220622'!AU72),"")</f>
        <v>-150</v>
      </c>
      <c r="AS69" t="str">
        <f>IF('TRACKER - 20220622'!AV72&lt;&gt;"",UPPER('TRACKER - 20220622'!AV72),"")</f>
        <v/>
      </c>
      <c r="AT69" t="str">
        <f>IF('TRACKER - 20220622'!AW72&lt;&gt;"",UPPER('TRACKER - 20220622'!AW72),"")</f>
        <v>DESCR72</v>
      </c>
      <c r="AU69" t="str">
        <f>IF('TRACKER - 20220622'!AX72&lt;&gt;"",UPPER('TRACKER - 20220622'!AX72),"")</f>
        <v>REASON72</v>
      </c>
      <c r="AV69" t="str">
        <f>IF('TRACKER - 20220622'!BD85&lt;&gt;"",'TRACKER - 20220622'!BD85,"")</f>
        <v/>
      </c>
      <c r="AW69" t="str">
        <f>IF('TRACKER - 20220622'!BE85&lt;&gt;"",'TRACKER - 20220622'!BE85,"")</f>
        <v/>
      </c>
      <c r="AX69" t="str">
        <f>IF('TRACKER - 20220622'!BF85&lt;&gt;"",'TRACKER - 20220622'!BF85,"")</f>
        <v/>
      </c>
      <c r="AY69" t="str">
        <f>IF('TRACKER - 20220622'!BG85&lt;&gt;"",'TRACKER - 20220622'!BG85,"")</f>
        <v/>
      </c>
      <c r="AZ69" t="str">
        <f>IF('TRACKER - 20220622'!BH85&lt;&gt;"",'TRACKER - 20220622'!BH85,"")</f>
        <v/>
      </c>
      <c r="BA69" t="str">
        <f>IF('TRACKER - 20220622'!BI85&lt;&gt;"",'TRACKER - 20220622'!BI85,"")</f>
        <v/>
      </c>
      <c r="BB69" t="str">
        <f>IF('TRACKER - 20220622'!BJ85&lt;&gt;"",'TRACKER - 20220622'!BJ85,"")</f>
        <v/>
      </c>
      <c r="BC69" t="str">
        <f>IF('TRACKER - 20220622'!BK85&lt;&gt;"",'TRACKER - 20220622'!BK85,"")</f>
        <v/>
      </c>
      <c r="BD69" t="str">
        <f>IF('TRACKER - 20220622'!BL85&lt;&gt;"",'TRACKER - 20220622'!BL85,"")</f>
        <v/>
      </c>
      <c r="BE69" t="str">
        <f>IF('TRACKER - 20220622'!BM85&lt;&gt;"",'TRACKER - 20220622'!BM85,"")</f>
        <v/>
      </c>
      <c r="BF69" t="str">
        <f>IF('TRACKER - 20220622'!BN85&lt;&gt;"",'TRACKER - 20220622'!BN85,"")</f>
        <v/>
      </c>
      <c r="BG69" t="str">
        <f>IF('TRACKER - 20220622'!BO85&lt;&gt;"",'TRACKER - 20220622'!BO85,"")</f>
        <v/>
      </c>
    </row>
    <row r="70" spans="1:59">
      <c r="A70" t="str">
        <f>IF('TRACKER - 20220622'!A86&lt;&gt;"",UPPER('TRACKER - 20220622'!A86),"")</f>
        <v>PRODUCT BACKLOG</v>
      </c>
      <c r="B70" t="str">
        <f>IF('TRACKER - 20220622'!B86&lt;&gt;"",UPPER('TRACKER - 20220622'!B86),"")</f>
        <v>N</v>
      </c>
      <c r="C70" t="str">
        <f>IF('TRACKER - 20220622'!D73&lt;&gt;"",UPPER('TRACKER - 20220622'!D73),"")</f>
        <v/>
      </c>
      <c r="D70" t="str">
        <f>IF('TRACKER - 20220622'!F86&lt;&gt;"",UPPER('TRACKER - 20220622'!F86),"")</f>
        <v>PRD-BLG-2021-00000</v>
      </c>
      <c r="E70" t="str">
        <f>IF('TRACKER - 20220622'!H86&lt;&gt;"",'TRACKER - 20220622'!H86,"")</f>
        <v>Improved Logging</v>
      </c>
      <c r="F70" t="str">
        <f t="shared" si="2"/>
        <v>PRD-BLG-2021-00000 Improved Logging</v>
      </c>
      <c r="G70" t="str">
        <f t="shared" si="3"/>
        <v xml:space="preserve"> - Improved Logging</v>
      </c>
      <c r="H70">
        <f>IF('TRACKER - 20220622'!J86&lt;&gt;"",'TRACKER - 20220622'!J86,"")</f>
        <v>0</v>
      </c>
      <c r="I70" t="str">
        <f>IF('TRACKER - 20220622'!K73&lt;&gt;"",UPPER('TRACKER - 20220622'!K73),"")</f>
        <v>44152</v>
      </c>
      <c r="J70" t="str">
        <f>IF('TRACKER - 20220622'!L73&lt;&gt;"",UPPER('TRACKER - 20220622'!L73),"")</f>
        <v>44083</v>
      </c>
      <c r="K70" t="str">
        <f>IF('TRACKER - 20220622'!M73&lt;&gt;"",UPPER('TRACKER - 20220622'!M73),"")</f>
        <v/>
      </c>
      <c r="L70" t="str">
        <f>IF('TRACKER - 20220622'!N73&lt;&gt;"",UPPER('TRACKER - 20220622'!N73),"")</f>
        <v/>
      </c>
      <c r="M70" t="str">
        <f>IF('TRACKER - 20220622'!O73&lt;&gt;"",UPPER('TRACKER - 20220622'!O73),"")</f>
        <v/>
      </c>
      <c r="N70" t="str">
        <f>IF('TRACKER - 20220622'!P73&lt;&gt;"",UPPER('TRACKER - 20220622'!P73),"")</f>
        <v/>
      </c>
      <c r="O70" t="str">
        <f>IF('TRACKER - 20220622'!Q73&lt;&gt;"",UPPER('TRACKER - 20220622'!Q73),"")</f>
        <v>PLATFORM</v>
      </c>
      <c r="P70" t="str">
        <f>IF('TRACKER - 20220622'!R73&lt;&gt;"",UPPER('TRACKER - 20220622'!R73),"")</f>
        <v>MARKET</v>
      </c>
      <c r="Q70" t="str">
        <f>IF('TRACKER - 20220622'!S73&lt;&gt;"",UPPER('TRACKER - 20220622'!S73),"")</f>
        <v/>
      </c>
      <c r="R70" t="str">
        <f>IF('TRACKER - 20220622'!T73&lt;&gt;"",UPPER('TRACKER - 20220622'!T73),"")</f>
        <v/>
      </c>
      <c r="S70" t="str">
        <f>IF('TRACKER - 20220622'!U73&lt;&gt;"",UPPER('TRACKER - 20220622'!U73),"")</f>
        <v/>
      </c>
      <c r="T70" t="str">
        <f>IF('TRACKER - 20220622'!V73&lt;&gt;"",UPPER('TRACKER - 20220622'!V73),"")</f>
        <v/>
      </c>
      <c r="U70" t="str">
        <f>IF('TRACKER - 20220622'!W73&lt;&gt;"",UPPER('TRACKER - 20220622'!W73),"")</f>
        <v/>
      </c>
      <c r="V70" t="str">
        <f>IF('TRACKER - 20220622'!X73&lt;&gt;"",UPPER('TRACKER - 20220622'!X73),"")</f>
        <v>17/11/20 - BC NOT MOVING FORWARD - GENERIC REQ - SELECTED FOR BACKLOG.</v>
      </c>
      <c r="W70" t="str">
        <f>IF('TRACKER - 20220622'!Y73&lt;&gt;"",UPPER('TRACKER - 20220622'!Y73),"")</f>
        <v>0</v>
      </c>
      <c r="X70" t="str">
        <f>IF('TRACKER - 20220622'!Z73&lt;&gt;"",UPPER('TRACKER - 20220622'!Z73),"")</f>
        <v>0</v>
      </c>
      <c r="Y70" t="str">
        <f>IF('TRACKER - 20220622'!AA73&lt;&gt;"",UPPER('TRACKER - 20220622'!AA73),"")</f>
        <v>0</v>
      </c>
      <c r="Z70" t="str">
        <f>IF('TRACKER - 20220622'!AB73&lt;&gt;"",UPPER('TRACKER - 20220622'!AB73),"")</f>
        <v>0</v>
      </c>
      <c r="AA70" t="str">
        <f>IF('TRACKER - 20220622'!AC73&lt;&gt;"",UPPER('TRACKER - 20220622'!AC73),"")</f>
        <v>0</v>
      </c>
      <c r="AB70" t="str">
        <f>IF('TRACKER - 20220622'!AE73&lt;&gt;"",UPPER('TRACKER - 20220622'!AE73),"")</f>
        <v>0</v>
      </c>
      <c r="AC70" t="str">
        <f>IF('TRACKER - 20220622'!AF73&lt;&gt;"",UPPER('TRACKER - 20220622'!AF73),"")</f>
        <v>0</v>
      </c>
      <c r="AD70" t="str">
        <f>IF('TRACKER - 20220622'!AG73&lt;&gt;"",UPPER('TRACKER - 20220622'!AG73),"")</f>
        <v>0</v>
      </c>
      <c r="AE70" t="str">
        <f>IF('TRACKER - 20220622'!AH73&lt;&gt;"",UPPER('TRACKER - 20220622'!AH73),"")</f>
        <v>-150</v>
      </c>
      <c r="AF70" t="str">
        <f>IF('TRACKER - 20220622'!AI73&lt;&gt;"",UPPER('TRACKER - 20220622'!AI73),"")</f>
        <v/>
      </c>
      <c r="AG70" t="str">
        <f>IF('TRACKER - 20220622'!AJ73&lt;&gt;"",UPPER('TRACKER - 20220622'!AJ73),"")</f>
        <v>0</v>
      </c>
      <c r="AH70" t="str">
        <f>IF('TRACKER - 20220622'!AK73&lt;&gt;"",UPPER('TRACKER - 20220622'!AK73),"")</f>
        <v/>
      </c>
      <c r="AI70" t="str">
        <f>IF('TRACKER - 20220622'!AL73&lt;&gt;"",UPPER('TRACKER - 20220622'!AL73),"")</f>
        <v>0</v>
      </c>
      <c r="AJ70" t="str">
        <f>IF('TRACKER - 20220622'!AM73&lt;&gt;"",UPPER('TRACKER - 20220622'!AM73),"")</f>
        <v>0</v>
      </c>
      <c r="AK70" t="str">
        <f>IF('TRACKER - 20220622'!AN73&lt;&gt;"",UPPER('TRACKER - 20220622'!AN73),"")</f>
        <v/>
      </c>
      <c r="AL70" t="str">
        <f>IF('TRACKER - 20220622'!AO73&lt;&gt;"",UPPER('TRACKER - 20220622'!AO73),"")</f>
        <v>0</v>
      </c>
      <c r="AM70" t="str">
        <f>IF('TRACKER - 20220622'!AP73&lt;&gt;"",UPPER('TRACKER - 20220622'!AP73),"")</f>
        <v>0</v>
      </c>
      <c r="AN70" t="str">
        <f>IF('TRACKER - 20220622'!AQ73&lt;&gt;"",UPPER('TRACKER - 20220622'!AQ73),"")</f>
        <v>0</v>
      </c>
      <c r="AO70" t="str">
        <f>IF('TRACKER - 20220622'!AR73&lt;&gt;"",UPPER('TRACKER - 20220622'!AR73),"")</f>
        <v>PRD</v>
      </c>
      <c r="AP70" t="str">
        <f>IF('TRACKER - 20220622'!AS73&lt;&gt;"",UPPER('TRACKER - 20220622'!AS73),"")</f>
        <v>BLG</v>
      </c>
      <c r="AQ70" t="str">
        <f>IF('TRACKER - 20220622'!AT73&lt;&gt;"",UPPER('TRACKER - 20220622'!AT73),"")</f>
        <v>N</v>
      </c>
      <c r="AR70" t="str">
        <f>IF('TRACKER - 20220622'!AU73&lt;&gt;"",UPPER('TRACKER - 20220622'!AU73),"")</f>
        <v>-150</v>
      </c>
      <c r="AS70" t="str">
        <f>IF('TRACKER - 20220622'!AV73&lt;&gt;"",UPPER('TRACKER - 20220622'!AV73),"")</f>
        <v/>
      </c>
      <c r="AT70" t="str">
        <f>IF('TRACKER - 20220622'!AW73&lt;&gt;"",UPPER('TRACKER - 20220622'!AW73),"")</f>
        <v>DESCR73</v>
      </c>
      <c r="AU70" t="str">
        <f>IF('TRACKER - 20220622'!AX73&lt;&gt;"",UPPER('TRACKER - 20220622'!AX73),"")</f>
        <v>REASON73</v>
      </c>
      <c r="AV70" t="str">
        <f>IF('TRACKER - 20220622'!BD86&lt;&gt;"",'TRACKER - 20220622'!BD86,"")</f>
        <v/>
      </c>
      <c r="AW70" t="str">
        <f>IF('TRACKER - 20220622'!BE86&lt;&gt;"",'TRACKER - 20220622'!BE86,"")</f>
        <v/>
      </c>
      <c r="AX70" t="str">
        <f>IF('TRACKER - 20220622'!BF86&lt;&gt;"",'TRACKER - 20220622'!BF86,"")</f>
        <v/>
      </c>
      <c r="AY70" t="str">
        <f>IF('TRACKER - 20220622'!BG86&lt;&gt;"",'TRACKER - 20220622'!BG86,"")</f>
        <v/>
      </c>
      <c r="AZ70" t="str">
        <f>IF('TRACKER - 20220622'!BH86&lt;&gt;"",'TRACKER - 20220622'!BH86,"")</f>
        <v/>
      </c>
      <c r="BA70" t="str">
        <f>IF('TRACKER - 20220622'!BI86&lt;&gt;"",'TRACKER - 20220622'!BI86,"")</f>
        <v/>
      </c>
      <c r="BB70" t="str">
        <f>IF('TRACKER - 20220622'!BJ86&lt;&gt;"",'TRACKER - 20220622'!BJ86,"")</f>
        <v/>
      </c>
      <c r="BC70" t="str">
        <f>IF('TRACKER - 20220622'!BK86&lt;&gt;"",'TRACKER - 20220622'!BK86,"")</f>
        <v/>
      </c>
      <c r="BD70" t="str">
        <f>IF('TRACKER - 20220622'!BL86&lt;&gt;"",'TRACKER - 20220622'!BL86,"")</f>
        <v/>
      </c>
      <c r="BE70" t="str">
        <f>IF('TRACKER - 20220622'!BM86&lt;&gt;"",'TRACKER - 20220622'!BM86,"")</f>
        <v/>
      </c>
      <c r="BF70" t="str">
        <f>IF('TRACKER - 20220622'!BN86&lt;&gt;"",'TRACKER - 20220622'!BN86,"")</f>
        <v/>
      </c>
      <c r="BG70" t="str">
        <f>IF('TRACKER - 20220622'!BO86&lt;&gt;"",'TRACKER - 20220622'!BO86,"")</f>
        <v/>
      </c>
    </row>
    <row r="71" spans="1:59">
      <c r="A71" t="str">
        <f>IF('TRACKER - 20220622'!A87&lt;&gt;"",UPPER('TRACKER - 20220622'!A87),"")</f>
        <v>PRODUCT BACKLOG</v>
      </c>
      <c r="B71" t="str">
        <f>IF('TRACKER - 20220622'!B87&lt;&gt;"",UPPER('TRACKER - 20220622'!B87),"")</f>
        <v>N</v>
      </c>
      <c r="C71" t="str">
        <f>IF('TRACKER - 20220622'!D74&lt;&gt;"",UPPER('TRACKER - 20220622'!D74),"")</f>
        <v>33669</v>
      </c>
      <c r="D71" t="str">
        <f>IF('TRACKER - 20220622'!F87&lt;&gt;"",UPPER('TRACKER - 20220622'!F87),"")</f>
        <v>PRD-BLG-2021-00000</v>
      </c>
      <c r="E71" t="str">
        <f>IF('TRACKER - 20220622'!H87&lt;&gt;"",'TRACKER - 20220622'!H87,"")</f>
        <v>CI Technical Quality &amp; Resilience</v>
      </c>
      <c r="F71" t="str">
        <f t="shared" si="2"/>
        <v>PRD-BLG-2021-00000 CI Technical Quality &amp; Resilience</v>
      </c>
      <c r="G71" t="str">
        <f t="shared" si="3"/>
        <v>33669 - CI Technical Quality &amp; Resilience</v>
      </c>
      <c r="H71">
        <f>IF('TRACKER - 20220622'!J87&lt;&gt;"",'TRACKER - 20220622'!J87,"")</f>
        <v>0</v>
      </c>
      <c r="I71" t="str">
        <f>IF('TRACKER - 20220622'!K74&lt;&gt;"",UPPER('TRACKER - 20220622'!K74),"")</f>
        <v>44098</v>
      </c>
      <c r="J71" t="str">
        <f>IF('TRACKER - 20220622'!L74&lt;&gt;"",UPPER('TRACKER - 20220622'!L74),"")</f>
        <v>44098</v>
      </c>
      <c r="K71" t="str">
        <f>IF('TRACKER - 20220622'!M74&lt;&gt;"",UPPER('TRACKER - 20220622'!M74),"")</f>
        <v/>
      </c>
      <c r="L71" t="str">
        <f>IF('TRACKER - 20220622'!N74&lt;&gt;"",UPPER('TRACKER - 20220622'!N74),"")</f>
        <v/>
      </c>
      <c r="M71" t="str">
        <f>IF('TRACKER - 20220622'!O74&lt;&gt;"",UPPER('TRACKER - 20220622'!O74),"")</f>
        <v/>
      </c>
      <c r="N71" t="str">
        <f>IF('TRACKER - 20220622'!P74&lt;&gt;"",UPPER('TRACKER - 20220622'!P74),"")</f>
        <v/>
      </c>
      <c r="O71" t="str">
        <f>IF('TRACKER - 20220622'!Q74&lt;&gt;"",UPPER('TRACKER - 20220622'!Q74),"")</f>
        <v>PLATFORM</v>
      </c>
      <c r="P71" t="str">
        <f>IF('TRACKER - 20220622'!R74&lt;&gt;"",UPPER('TRACKER - 20220622'!R74),"")</f>
        <v>MARKET</v>
      </c>
      <c r="Q71" t="str">
        <f>IF('TRACKER - 20220622'!S74&lt;&gt;"",UPPER('TRACKER - 20220622'!S74),"")</f>
        <v/>
      </c>
      <c r="R71" t="str">
        <f>IF('TRACKER - 20220622'!T74&lt;&gt;"",UPPER('TRACKER - 20220622'!T74),"")</f>
        <v/>
      </c>
      <c r="S71" t="str">
        <f>IF('TRACKER - 20220622'!U74&lt;&gt;"",UPPER('TRACKER - 20220622'!U74),"")</f>
        <v/>
      </c>
      <c r="T71" t="str">
        <f>IF('TRACKER - 20220622'!V74&lt;&gt;"",UPPER('TRACKER - 20220622'!V74),"")</f>
        <v/>
      </c>
      <c r="U71" t="str">
        <f>IF('TRACKER - 20220622'!W74&lt;&gt;"",UPPER('TRACKER - 20220622'!W74),"")</f>
        <v/>
      </c>
      <c r="V71" t="str">
        <f>IF('TRACKER - 20220622'!X74&lt;&gt;"",UPPER('TRACKER - 20220622'!X74),"")</f>
        <v>05/10/20 - CANCELLED DUPLICATE OF EBAM</v>
      </c>
      <c r="W71" t="str">
        <f>IF('TRACKER - 20220622'!Y74&lt;&gt;"",UPPER('TRACKER - 20220622'!Y74),"")</f>
        <v>0</v>
      </c>
      <c r="X71" t="str">
        <f>IF('TRACKER - 20220622'!Z74&lt;&gt;"",UPPER('TRACKER - 20220622'!Z74),"")</f>
        <v>0</v>
      </c>
      <c r="Y71" t="str">
        <f>IF('TRACKER - 20220622'!AA74&lt;&gt;"",UPPER('TRACKER - 20220622'!AA74),"")</f>
        <v>0</v>
      </c>
      <c r="Z71" t="str">
        <f>IF('TRACKER - 20220622'!AB74&lt;&gt;"",UPPER('TRACKER - 20220622'!AB74),"")</f>
        <v>0</v>
      </c>
      <c r="AA71" t="str">
        <f>IF('TRACKER - 20220622'!AC74&lt;&gt;"",UPPER('TRACKER - 20220622'!AC74),"")</f>
        <v>0</v>
      </c>
      <c r="AB71" t="str">
        <f>IF('TRACKER - 20220622'!AE74&lt;&gt;"",UPPER('TRACKER - 20220622'!AE74),"")</f>
        <v>0</v>
      </c>
      <c r="AC71" t="str">
        <f>IF('TRACKER - 20220622'!AF74&lt;&gt;"",UPPER('TRACKER - 20220622'!AF74),"")</f>
        <v>0</v>
      </c>
      <c r="AD71" t="str">
        <f>IF('TRACKER - 20220622'!AG74&lt;&gt;"",UPPER('TRACKER - 20220622'!AG74),"")</f>
        <v>0</v>
      </c>
      <c r="AE71" t="str">
        <f>IF('TRACKER - 20220622'!AH74&lt;&gt;"",UPPER('TRACKER - 20220622'!AH74),"")</f>
        <v>-150</v>
      </c>
      <c r="AF71" t="str">
        <f>IF('TRACKER - 20220622'!AI74&lt;&gt;"",UPPER('TRACKER - 20220622'!AI74),"")</f>
        <v/>
      </c>
      <c r="AG71" t="str">
        <f>IF('TRACKER - 20220622'!AJ74&lt;&gt;"",UPPER('TRACKER - 20220622'!AJ74),"")</f>
        <v>0</v>
      </c>
      <c r="AH71" t="str">
        <f>IF('TRACKER - 20220622'!AK74&lt;&gt;"",UPPER('TRACKER - 20220622'!AK74),"")</f>
        <v/>
      </c>
      <c r="AI71" t="str">
        <f>IF('TRACKER - 20220622'!AL74&lt;&gt;"",UPPER('TRACKER - 20220622'!AL74),"")</f>
        <v>0</v>
      </c>
      <c r="AJ71" t="str">
        <f>IF('TRACKER - 20220622'!AM74&lt;&gt;"",UPPER('TRACKER - 20220622'!AM74),"")</f>
        <v>0</v>
      </c>
      <c r="AK71" t="str">
        <f>IF('TRACKER - 20220622'!AN74&lt;&gt;"",UPPER('TRACKER - 20220622'!AN74),"")</f>
        <v/>
      </c>
      <c r="AL71" t="str">
        <f>IF('TRACKER - 20220622'!AO74&lt;&gt;"",UPPER('TRACKER - 20220622'!AO74),"")</f>
        <v>0</v>
      </c>
      <c r="AM71" t="str">
        <f>IF('TRACKER - 20220622'!AP74&lt;&gt;"",UPPER('TRACKER - 20220622'!AP74),"")</f>
        <v>0</v>
      </c>
      <c r="AN71" t="str">
        <f>IF('TRACKER - 20220622'!AQ74&lt;&gt;"",UPPER('TRACKER - 20220622'!AQ74),"")</f>
        <v>0</v>
      </c>
      <c r="AO71" t="str">
        <f>IF('TRACKER - 20220622'!AR74&lt;&gt;"",UPPER('TRACKER - 20220622'!AR74),"")</f>
        <v>PRD</v>
      </c>
      <c r="AP71" t="str">
        <f>IF('TRACKER - 20220622'!AS74&lt;&gt;"",UPPER('TRACKER - 20220622'!AS74),"")</f>
        <v>BLG</v>
      </c>
      <c r="AQ71" t="str">
        <f>IF('TRACKER - 20220622'!AT74&lt;&gt;"",UPPER('TRACKER - 20220622'!AT74),"")</f>
        <v>N</v>
      </c>
      <c r="AR71" t="str">
        <f>IF('TRACKER - 20220622'!AU74&lt;&gt;"",UPPER('TRACKER - 20220622'!AU74),"")</f>
        <v>-150</v>
      </c>
      <c r="AS71" t="str">
        <f>IF('TRACKER - 20220622'!AV74&lt;&gt;"",UPPER('TRACKER - 20220622'!AV74),"")</f>
        <v/>
      </c>
      <c r="AT71" t="str">
        <f>IF('TRACKER - 20220622'!AW74&lt;&gt;"",UPPER('TRACKER - 20220622'!AW74),"")</f>
        <v>DESCR74</v>
      </c>
      <c r="AU71" t="str">
        <f>IF('TRACKER - 20220622'!AX74&lt;&gt;"",UPPER('TRACKER - 20220622'!AX74),"")</f>
        <v>REASON74</v>
      </c>
      <c r="AV71" t="str">
        <f>IF('TRACKER - 20220622'!BD87&lt;&gt;"",'TRACKER - 20220622'!BD87,"")</f>
        <v/>
      </c>
      <c r="AW71" t="str">
        <f>IF('TRACKER - 20220622'!BE87&lt;&gt;"",'TRACKER - 20220622'!BE87,"")</f>
        <v/>
      </c>
      <c r="AX71" t="str">
        <f>IF('TRACKER - 20220622'!BF87&lt;&gt;"",'TRACKER - 20220622'!BF87,"")</f>
        <v/>
      </c>
      <c r="AY71" t="str">
        <f>IF('TRACKER - 20220622'!BG87&lt;&gt;"",'TRACKER - 20220622'!BG87,"")</f>
        <v/>
      </c>
      <c r="AZ71" t="str">
        <f>IF('TRACKER - 20220622'!BH87&lt;&gt;"",'TRACKER - 20220622'!BH87,"")</f>
        <v/>
      </c>
      <c r="BA71" t="str">
        <f>IF('TRACKER - 20220622'!BI87&lt;&gt;"",'TRACKER - 20220622'!BI87,"")</f>
        <v/>
      </c>
      <c r="BB71" t="str">
        <f>IF('TRACKER - 20220622'!BJ87&lt;&gt;"",'TRACKER - 20220622'!BJ87,"")</f>
        <v/>
      </c>
      <c r="BC71" t="str">
        <f>IF('TRACKER - 20220622'!BK87&lt;&gt;"",'TRACKER - 20220622'!BK87,"")</f>
        <v/>
      </c>
      <c r="BD71" t="str">
        <f>IF('TRACKER - 20220622'!BL87&lt;&gt;"",'TRACKER - 20220622'!BL87,"")</f>
        <v/>
      </c>
      <c r="BE71" t="str">
        <f>IF('TRACKER - 20220622'!BM87&lt;&gt;"",'TRACKER - 20220622'!BM87,"")</f>
        <v/>
      </c>
      <c r="BF71" t="str">
        <f>IF('TRACKER - 20220622'!BN87&lt;&gt;"",'TRACKER - 20220622'!BN87,"")</f>
        <v/>
      </c>
      <c r="BG71" t="str">
        <f>IF('TRACKER - 20220622'!BO87&lt;&gt;"",'TRACKER - 20220622'!BO87,"")</f>
        <v/>
      </c>
    </row>
    <row r="72" spans="1:59">
      <c r="A72" t="str">
        <f>IF('TRACKER - 20220622'!A88&lt;&gt;"",UPPER('TRACKER - 20220622'!A88),"")</f>
        <v>PRODUCT BACKLOG</v>
      </c>
      <c r="B72" t="str">
        <f>IF('TRACKER - 20220622'!B88&lt;&gt;"",UPPER('TRACKER - 20220622'!B88),"")</f>
        <v>N</v>
      </c>
      <c r="C72" t="str">
        <f>IF('TRACKER - 20220622'!D75&lt;&gt;"",UPPER('TRACKER - 20220622'!D75),"")</f>
        <v>27428</v>
      </c>
      <c r="D72" t="str">
        <f>IF('TRACKER - 20220622'!F88&lt;&gt;"",UPPER('TRACKER - 20220622'!F88),"")</f>
        <v>PRD-BLG-2021-00000</v>
      </c>
      <c r="E72" t="str">
        <f>IF('TRACKER - 20220622'!H88&lt;&gt;"",'TRACKER - 20220622'!H88,"")</f>
        <v>ePayments - Account Number Masking</v>
      </c>
      <c r="F72" t="str">
        <f t="shared" si="2"/>
        <v>PRD-BLG-2021-00000 ePayments - Account Number Masking</v>
      </c>
      <c r="G72" t="str">
        <f t="shared" si="3"/>
        <v>27428 - ePayments - Account Number Masking</v>
      </c>
      <c r="H72">
        <f>IF('TRACKER - 20220622'!J88&lt;&gt;"",'TRACKER - 20220622'!J88,"")</f>
        <v>0</v>
      </c>
      <c r="I72" t="str">
        <f>IF('TRACKER - 20220622'!K75&lt;&gt;"",UPPER('TRACKER - 20220622'!K75),"")</f>
        <v>44152</v>
      </c>
      <c r="J72" t="str">
        <f>IF('TRACKER - 20220622'!L75&lt;&gt;"",UPPER('TRACKER - 20220622'!L75),"")</f>
        <v>44098</v>
      </c>
      <c r="K72" t="str">
        <f>IF('TRACKER - 20220622'!M75&lt;&gt;"",UPPER('TRACKER - 20220622'!M75),"")</f>
        <v/>
      </c>
      <c r="L72" t="str">
        <f>IF('TRACKER - 20220622'!N75&lt;&gt;"",UPPER('TRACKER - 20220622'!N75),"")</f>
        <v/>
      </c>
      <c r="M72" t="str">
        <f>IF('TRACKER - 20220622'!O75&lt;&gt;"",UPPER('TRACKER - 20220622'!O75),"")</f>
        <v/>
      </c>
      <c r="N72" t="str">
        <f>IF('TRACKER - 20220622'!P75&lt;&gt;"",UPPER('TRACKER - 20220622'!P75),"")</f>
        <v/>
      </c>
      <c r="O72" t="str">
        <f>IF('TRACKER - 20220622'!Q75&lt;&gt;"",UPPER('TRACKER - 20220622'!Q75),"")</f>
        <v>PLATFORM</v>
      </c>
      <c r="P72" t="str">
        <f>IF('TRACKER - 20220622'!R75&lt;&gt;"",UPPER('TRACKER - 20220622'!R75),"")</f>
        <v>MARKET</v>
      </c>
      <c r="Q72" t="str">
        <f>IF('TRACKER - 20220622'!S75&lt;&gt;"",UPPER('TRACKER - 20220622'!S75),"")</f>
        <v/>
      </c>
      <c r="R72" t="str">
        <f>IF('TRACKER - 20220622'!T75&lt;&gt;"",UPPER('TRACKER - 20220622'!T75),"")</f>
        <v/>
      </c>
      <c r="S72" t="str">
        <f>IF('TRACKER - 20220622'!U75&lt;&gt;"",UPPER('TRACKER - 20220622'!U75),"")</f>
        <v/>
      </c>
      <c r="T72" t="str">
        <f>IF('TRACKER - 20220622'!V75&lt;&gt;"",UPPER('TRACKER - 20220622'!V75),"")</f>
        <v/>
      </c>
      <c r="U72" t="str">
        <f>IF('TRACKER - 20220622'!W75&lt;&gt;"",UPPER('TRACKER - 20220622'!W75),"")</f>
        <v/>
      </c>
      <c r="V72" t="str">
        <f>IF('TRACKER - 20220622'!X75&lt;&gt;"",UPPER('TRACKER - 20220622'!X75),"")</f>
        <v>17/11/20 - BC NOT MOVING FORWARD - GENERIC REQ - SELECTED FOR BACKLOG.</v>
      </c>
      <c r="W72" t="str">
        <f>IF('TRACKER - 20220622'!Y75&lt;&gt;"",UPPER('TRACKER - 20220622'!Y75),"")</f>
        <v>0</v>
      </c>
      <c r="X72" t="str">
        <f>IF('TRACKER - 20220622'!Z75&lt;&gt;"",UPPER('TRACKER - 20220622'!Z75),"")</f>
        <v>0</v>
      </c>
      <c r="Y72" t="str">
        <f>IF('TRACKER - 20220622'!AA75&lt;&gt;"",UPPER('TRACKER - 20220622'!AA75),"")</f>
        <v>0</v>
      </c>
      <c r="Z72" t="str">
        <f>IF('TRACKER - 20220622'!AB75&lt;&gt;"",UPPER('TRACKER - 20220622'!AB75),"")</f>
        <v>0</v>
      </c>
      <c r="AA72" t="str">
        <f>IF('TRACKER - 20220622'!AC75&lt;&gt;"",UPPER('TRACKER - 20220622'!AC75),"")</f>
        <v>0</v>
      </c>
      <c r="AB72" t="str">
        <f>IF('TRACKER - 20220622'!AE75&lt;&gt;"",UPPER('TRACKER - 20220622'!AE75),"")</f>
        <v>0</v>
      </c>
      <c r="AC72" t="str">
        <f>IF('TRACKER - 20220622'!AF75&lt;&gt;"",UPPER('TRACKER - 20220622'!AF75),"")</f>
        <v>0</v>
      </c>
      <c r="AD72" t="str">
        <f>IF('TRACKER - 20220622'!AG75&lt;&gt;"",UPPER('TRACKER - 20220622'!AG75),"")</f>
        <v>0</v>
      </c>
      <c r="AE72" t="str">
        <f>IF('TRACKER - 20220622'!AH75&lt;&gt;"",UPPER('TRACKER - 20220622'!AH75),"")</f>
        <v>-150</v>
      </c>
      <c r="AF72" t="str">
        <f>IF('TRACKER - 20220622'!AI75&lt;&gt;"",UPPER('TRACKER - 20220622'!AI75),"")</f>
        <v/>
      </c>
      <c r="AG72" t="str">
        <f>IF('TRACKER - 20220622'!AJ75&lt;&gt;"",UPPER('TRACKER - 20220622'!AJ75),"")</f>
        <v>0</v>
      </c>
      <c r="AH72" t="str">
        <f>IF('TRACKER - 20220622'!AK75&lt;&gt;"",UPPER('TRACKER - 20220622'!AK75),"")</f>
        <v/>
      </c>
      <c r="AI72" t="str">
        <f>IF('TRACKER - 20220622'!AL75&lt;&gt;"",UPPER('TRACKER - 20220622'!AL75),"")</f>
        <v>0</v>
      </c>
      <c r="AJ72" t="str">
        <f>IF('TRACKER - 20220622'!AM75&lt;&gt;"",UPPER('TRACKER - 20220622'!AM75),"")</f>
        <v>0</v>
      </c>
      <c r="AK72" t="str">
        <f>IF('TRACKER - 20220622'!AN75&lt;&gt;"",UPPER('TRACKER - 20220622'!AN75),"")</f>
        <v/>
      </c>
      <c r="AL72" t="str">
        <f>IF('TRACKER - 20220622'!AO75&lt;&gt;"",UPPER('TRACKER - 20220622'!AO75),"")</f>
        <v>0</v>
      </c>
      <c r="AM72" t="str">
        <f>IF('TRACKER - 20220622'!AP75&lt;&gt;"",UPPER('TRACKER - 20220622'!AP75),"")</f>
        <v>0</v>
      </c>
      <c r="AN72" t="str">
        <f>IF('TRACKER - 20220622'!AQ75&lt;&gt;"",UPPER('TRACKER - 20220622'!AQ75),"")</f>
        <v>0</v>
      </c>
      <c r="AO72" t="str">
        <f>IF('TRACKER - 20220622'!AR75&lt;&gt;"",UPPER('TRACKER - 20220622'!AR75),"")</f>
        <v>PRD</v>
      </c>
      <c r="AP72" t="str">
        <f>IF('TRACKER - 20220622'!AS75&lt;&gt;"",UPPER('TRACKER - 20220622'!AS75),"")</f>
        <v>BLG</v>
      </c>
      <c r="AQ72" t="str">
        <f>IF('TRACKER - 20220622'!AT75&lt;&gt;"",UPPER('TRACKER - 20220622'!AT75),"")</f>
        <v>N</v>
      </c>
      <c r="AR72" t="str">
        <f>IF('TRACKER - 20220622'!AU75&lt;&gt;"",UPPER('TRACKER - 20220622'!AU75),"")</f>
        <v>-150</v>
      </c>
      <c r="AS72" t="str">
        <f>IF('TRACKER - 20220622'!AV75&lt;&gt;"",UPPER('TRACKER - 20220622'!AV75),"")</f>
        <v/>
      </c>
      <c r="AT72" t="str">
        <f>IF('TRACKER - 20220622'!AW75&lt;&gt;"",UPPER('TRACKER - 20220622'!AW75),"")</f>
        <v>DESCR75</v>
      </c>
      <c r="AU72" t="str">
        <f>IF('TRACKER - 20220622'!AX75&lt;&gt;"",UPPER('TRACKER - 20220622'!AX75),"")</f>
        <v>REASON75</v>
      </c>
      <c r="AV72" t="str">
        <f>IF('TRACKER - 20220622'!BD88&lt;&gt;"",'TRACKER - 20220622'!BD88,"")</f>
        <v/>
      </c>
      <c r="AW72" t="str">
        <f>IF('TRACKER - 20220622'!BE88&lt;&gt;"",'TRACKER - 20220622'!BE88,"")</f>
        <v/>
      </c>
      <c r="AX72" t="str">
        <f>IF('TRACKER - 20220622'!BF88&lt;&gt;"",'TRACKER - 20220622'!BF88,"")</f>
        <v/>
      </c>
      <c r="AY72" t="str">
        <f>IF('TRACKER - 20220622'!BG88&lt;&gt;"",'TRACKER - 20220622'!BG88,"")</f>
        <v/>
      </c>
      <c r="AZ72" t="str">
        <f>IF('TRACKER - 20220622'!BH88&lt;&gt;"",'TRACKER - 20220622'!BH88,"")</f>
        <v/>
      </c>
      <c r="BA72" t="str">
        <f>IF('TRACKER - 20220622'!BI88&lt;&gt;"",'TRACKER - 20220622'!BI88,"")</f>
        <v/>
      </c>
      <c r="BB72" t="str">
        <f>IF('TRACKER - 20220622'!BJ88&lt;&gt;"",'TRACKER - 20220622'!BJ88,"")</f>
        <v/>
      </c>
      <c r="BC72" t="str">
        <f>IF('TRACKER - 20220622'!BK88&lt;&gt;"",'TRACKER - 20220622'!BK88,"")</f>
        <v/>
      </c>
      <c r="BD72" t="str">
        <f>IF('TRACKER - 20220622'!BL88&lt;&gt;"",'TRACKER - 20220622'!BL88,"")</f>
        <v/>
      </c>
      <c r="BE72" t="str">
        <f>IF('TRACKER - 20220622'!BM88&lt;&gt;"",'TRACKER - 20220622'!BM88,"")</f>
        <v/>
      </c>
      <c r="BF72" t="str">
        <f>IF('TRACKER - 20220622'!BN88&lt;&gt;"",'TRACKER - 20220622'!BN88,"")</f>
        <v/>
      </c>
      <c r="BG72" t="str">
        <f>IF('TRACKER - 20220622'!BO88&lt;&gt;"",'TRACKER - 20220622'!BO88,"")</f>
        <v/>
      </c>
    </row>
    <row r="73" spans="1:59">
      <c r="A73" t="str">
        <f>IF('TRACKER - 20220622'!A89&lt;&gt;"",UPPER('TRACKER - 20220622'!A89),"")</f>
        <v>PRODUCT ROADMAP</v>
      </c>
      <c r="B73" t="str">
        <f>IF('TRACKER - 20220622'!B89&lt;&gt;"",UPPER('TRACKER - 20220622'!B89),"")</f>
        <v>N</v>
      </c>
      <c r="C73" t="str">
        <f>IF('TRACKER - 20220622'!D76&lt;&gt;"",UPPER('TRACKER - 20220622'!D76),"")</f>
        <v/>
      </c>
      <c r="D73" t="str">
        <f>IF('TRACKER - 20220622'!F89&lt;&gt;"",UPPER('TRACKER - 20220622'!F89),"")</f>
        <v>PRD-REQ-2020-00001</v>
      </c>
      <c r="E73" t="str">
        <f>IF('TRACKER - 20220622'!H89&lt;&gt;"",'TRACKER - 20220622'!H89,"")</f>
        <v>Cash Forecasting</v>
      </c>
      <c r="F73" t="str">
        <f t="shared" si="2"/>
        <v>PRD-REQ-2020-00001 Cash Forecasting</v>
      </c>
      <c r="G73" t="str">
        <f t="shared" si="3"/>
        <v xml:space="preserve"> - Cash Forecasting</v>
      </c>
      <c r="H73">
        <f>IF('TRACKER - 20220622'!J89&lt;&gt;"",'TRACKER - 20220622'!J89,"")</f>
        <v>0</v>
      </c>
      <c r="I73" t="str">
        <f>IF('TRACKER - 20220622'!K76&lt;&gt;"",UPPER('TRACKER - 20220622'!K76),"")</f>
        <v>44153</v>
      </c>
      <c r="J73" t="str">
        <f>IF('TRACKER - 20220622'!L76&lt;&gt;"",UPPER('TRACKER - 20220622'!L76),"")</f>
        <v>44153</v>
      </c>
      <c r="K73" t="str">
        <f>IF('TRACKER - 20220622'!M76&lt;&gt;"",UPPER('TRACKER - 20220622'!M76),"")</f>
        <v/>
      </c>
      <c r="L73" t="str">
        <f>IF('TRACKER - 20220622'!N76&lt;&gt;"",UPPER('TRACKER - 20220622'!N76),"")</f>
        <v/>
      </c>
      <c r="M73" t="str">
        <f>IF('TRACKER - 20220622'!O76&lt;&gt;"",UPPER('TRACKER - 20220622'!O76),"")</f>
        <v/>
      </c>
      <c r="N73" t="str">
        <f>IF('TRACKER - 20220622'!P76&lt;&gt;"",UPPER('TRACKER - 20220622'!P76),"")</f>
        <v/>
      </c>
      <c r="O73" t="str">
        <f>IF('TRACKER - 20220622'!Q76&lt;&gt;"",UPPER('TRACKER - 20220622'!Q76),"")</f>
        <v>PLATFORM</v>
      </c>
      <c r="P73" t="str">
        <f>IF('TRACKER - 20220622'!R76&lt;&gt;"",UPPER('TRACKER - 20220622'!R76),"")</f>
        <v>TECHNICAL</v>
      </c>
      <c r="Q73" t="str">
        <f>IF('TRACKER - 20220622'!S76&lt;&gt;"",UPPER('TRACKER - 20220622'!S76),"")</f>
        <v>GAP</v>
      </c>
      <c r="R73" t="str">
        <f>IF('TRACKER - 20220622'!T76&lt;&gt;"",UPPER('TRACKER - 20220622'!T76),"")</f>
        <v/>
      </c>
      <c r="S73" t="str">
        <f>IF('TRACKER - 20220622'!U76&lt;&gt;"",UPPER('TRACKER - 20220622'!U76),"")</f>
        <v/>
      </c>
      <c r="T73" t="str">
        <f>IF('TRACKER - 20220622'!V76&lt;&gt;"",UPPER('TRACKER - 20220622'!V76),"")</f>
        <v/>
      </c>
      <c r="U73" t="str">
        <f>IF('TRACKER - 20220622'!W76&lt;&gt;"",UPPER('TRACKER - 20220622'!W76),"")</f>
        <v/>
      </c>
      <c r="V73" t="str">
        <f>IF('TRACKER - 20220622'!X76&lt;&gt;"",UPPER('TRACKER - 20220622'!X76),"")</f>
        <v>18/11/20 - POST N26 - ENSURE ALL DB USAGE IS IIN-LINE WITH RDS MODEL</v>
      </c>
      <c r="W73" t="str">
        <f>IF('TRACKER - 20220622'!Y76&lt;&gt;"",UPPER('TRACKER - 20220622'!Y76),"")</f>
        <v>0</v>
      </c>
      <c r="X73" t="str">
        <f>IF('TRACKER - 20220622'!Z76&lt;&gt;"",UPPER('TRACKER - 20220622'!Z76),"")</f>
        <v>0</v>
      </c>
      <c r="Y73" t="str">
        <f>IF('TRACKER - 20220622'!AA76&lt;&gt;"",UPPER('TRACKER - 20220622'!AA76),"")</f>
        <v>0</v>
      </c>
      <c r="Z73" t="str">
        <f>IF('TRACKER - 20220622'!AB76&lt;&gt;"",UPPER('TRACKER - 20220622'!AB76),"")</f>
        <v>0</v>
      </c>
      <c r="AA73" t="str">
        <f>IF('TRACKER - 20220622'!AC76&lt;&gt;"",UPPER('TRACKER - 20220622'!AC76),"")</f>
        <v>0</v>
      </c>
      <c r="AB73" t="str">
        <f>IF('TRACKER - 20220622'!AE76&lt;&gt;"",UPPER('TRACKER - 20220622'!AE76),"")</f>
        <v>0</v>
      </c>
      <c r="AC73" t="str">
        <f>IF('TRACKER - 20220622'!AF76&lt;&gt;"",UPPER('TRACKER - 20220622'!AF76),"")</f>
        <v>0</v>
      </c>
      <c r="AD73" t="str">
        <f>IF('TRACKER - 20220622'!AG76&lt;&gt;"",UPPER('TRACKER - 20220622'!AG76),"")</f>
        <v>0</v>
      </c>
      <c r="AE73" t="str">
        <f>IF('TRACKER - 20220622'!AH76&lt;&gt;"",UPPER('TRACKER - 20220622'!AH76),"")</f>
        <v>-150</v>
      </c>
      <c r="AF73" t="str">
        <f>IF('TRACKER - 20220622'!AI76&lt;&gt;"",UPPER('TRACKER - 20220622'!AI76),"")</f>
        <v/>
      </c>
      <c r="AG73" t="str">
        <f>IF('TRACKER - 20220622'!AJ76&lt;&gt;"",UPPER('TRACKER - 20220622'!AJ76),"")</f>
        <v>0</v>
      </c>
      <c r="AH73" t="str">
        <f>IF('TRACKER - 20220622'!AK76&lt;&gt;"",UPPER('TRACKER - 20220622'!AK76),"")</f>
        <v/>
      </c>
      <c r="AI73" t="str">
        <f>IF('TRACKER - 20220622'!AL76&lt;&gt;"",UPPER('TRACKER - 20220622'!AL76),"")</f>
        <v>0</v>
      </c>
      <c r="AJ73" t="str">
        <f>IF('TRACKER - 20220622'!AM76&lt;&gt;"",UPPER('TRACKER - 20220622'!AM76),"")</f>
        <v>0</v>
      </c>
      <c r="AK73" t="str">
        <f>IF('TRACKER - 20220622'!AN76&lt;&gt;"",UPPER('TRACKER - 20220622'!AN76),"")</f>
        <v/>
      </c>
      <c r="AL73" t="str">
        <f>IF('TRACKER - 20220622'!AO76&lt;&gt;"",UPPER('TRACKER - 20220622'!AO76),"")</f>
        <v>0</v>
      </c>
      <c r="AM73" t="str">
        <f>IF('TRACKER - 20220622'!AP76&lt;&gt;"",UPPER('TRACKER - 20220622'!AP76),"")</f>
        <v>0</v>
      </c>
      <c r="AN73" t="str">
        <f>IF('TRACKER - 20220622'!AQ76&lt;&gt;"",UPPER('TRACKER - 20220622'!AQ76),"")</f>
        <v>0</v>
      </c>
      <c r="AO73" t="str">
        <f>IF('TRACKER - 20220622'!AR76&lt;&gt;"",UPPER('TRACKER - 20220622'!AR76),"")</f>
        <v>PRD</v>
      </c>
      <c r="AP73" t="str">
        <f>IF('TRACKER - 20220622'!AS76&lt;&gt;"",UPPER('TRACKER - 20220622'!AS76),"")</f>
        <v>BLG</v>
      </c>
      <c r="AQ73" t="str">
        <f>IF('TRACKER - 20220622'!AT76&lt;&gt;"",UPPER('TRACKER - 20220622'!AT76),"")</f>
        <v>N</v>
      </c>
      <c r="AR73" t="str">
        <f>IF('TRACKER - 20220622'!AU76&lt;&gt;"",UPPER('TRACKER - 20220622'!AU76),"")</f>
        <v>-150</v>
      </c>
      <c r="AS73" t="str">
        <f>IF('TRACKER - 20220622'!AV76&lt;&gt;"",UPPER('TRACKER - 20220622'!AV76),"")</f>
        <v/>
      </c>
      <c r="AT73" t="str">
        <f>IF('TRACKER - 20220622'!AW76&lt;&gt;"",UPPER('TRACKER - 20220622'!AW76),"")</f>
        <v>RMB HAVE SEEN A MORE VARIED LEVEL OF EXPERIENCE IN THE USERS OF SIENA ETRADER. AT PRESENT THEY HAVE RETAIL USERS, AND EXPERIENCED CORPORATE USERS CONNECTING TO THE PLATFORM. 
REQUIRE IS TO ADD THE ABILITY TO REFINE THE DECIMAL PRECISION BY CHANNEL/CLIENT. THIS WILL REDUCE THE RISK ASSOCIATED WITH USERS BEING CONFUSED BY A LARGE NUMBER OF DECIMAL PLACES AND CHOOSING TO TRADE ELSEWHERE.</v>
      </c>
      <c r="AU73" t="str">
        <f>IF('TRACKER - 20220622'!AX76&lt;&gt;"",UPPER('TRACKER - 20220622'!AX76),"")</f>
        <v>A COMMON REQUIREMENT TO RECENT RFPS, THAT COULD BE IMPLEMENTED QUICKLY. 
TO HELP SECURE THE ROLE-OUT WORK TO MORE SUBSIDIARIES, AND DEMOSTRATE TO RMB THAT WE ARE ENGAGING WITH THEM.</v>
      </c>
      <c r="AV73" t="str">
        <f>IF('TRACKER - 20220622'!BD89&lt;&gt;"",'TRACKER - 20220622'!BD89,"")</f>
        <v/>
      </c>
      <c r="AW73" t="str">
        <f>IF('TRACKER - 20220622'!BE89&lt;&gt;"",'TRACKER - 20220622'!BE89,"")</f>
        <v/>
      </c>
      <c r="AX73" t="str">
        <f>IF('TRACKER - 20220622'!BF89&lt;&gt;"",'TRACKER - 20220622'!BF89,"")</f>
        <v/>
      </c>
      <c r="AY73" t="str">
        <f>IF('TRACKER - 20220622'!BG89&lt;&gt;"",'TRACKER - 20220622'!BG89,"")</f>
        <v/>
      </c>
      <c r="AZ73" t="str">
        <f>IF('TRACKER - 20220622'!BH89&lt;&gt;"",'TRACKER - 20220622'!BH89,"")</f>
        <v/>
      </c>
      <c r="BA73" t="str">
        <f>IF('TRACKER - 20220622'!BI89&lt;&gt;"",'TRACKER - 20220622'!BI89,"")</f>
        <v/>
      </c>
      <c r="BB73" t="str">
        <f>IF('TRACKER - 20220622'!BJ89&lt;&gt;"",'TRACKER - 20220622'!BJ89,"")</f>
        <v/>
      </c>
      <c r="BC73" t="str">
        <f>IF('TRACKER - 20220622'!BK89&lt;&gt;"",'TRACKER - 20220622'!BK89,"")</f>
        <v/>
      </c>
      <c r="BD73" t="str">
        <f>IF('TRACKER - 20220622'!BL89&lt;&gt;"",'TRACKER - 20220622'!BL89,"")</f>
        <v/>
      </c>
      <c r="BE73" t="str">
        <f>IF('TRACKER - 20220622'!BM89&lt;&gt;"",'TRACKER - 20220622'!BM89,"")</f>
        <v/>
      </c>
      <c r="BF73" t="str">
        <f>IF('TRACKER - 20220622'!BN89&lt;&gt;"",'TRACKER - 20220622'!BN89,"")</f>
        <v/>
      </c>
      <c r="BG73" t="str">
        <f>IF('TRACKER - 20220622'!BO89&lt;&gt;"",'TRACKER - 20220622'!BO89,"")</f>
        <v/>
      </c>
    </row>
    <row r="74" spans="1:59">
      <c r="A74" t="str">
        <f>IF('TRACKER - 20220622'!A90&lt;&gt;"",UPPER('TRACKER - 20220622'!A90),"")</f>
        <v>PRODUCT ROADMAP</v>
      </c>
      <c r="B74" t="str">
        <f>IF('TRACKER - 20220622'!B90&lt;&gt;"",UPPER('TRACKER - 20220622'!B90),"")</f>
        <v>N</v>
      </c>
      <c r="C74" t="str">
        <f>IF('TRACKER - 20220622'!D77&lt;&gt;"",UPPER('TRACKER - 20220622'!D77),"")</f>
        <v/>
      </c>
      <c r="D74" t="str">
        <f>IF('TRACKER - 20220622'!F90&lt;&gt;"",UPPER('TRACKER - 20220622'!F90),"")</f>
        <v>PRD-REQ-2020-00004</v>
      </c>
      <c r="E74" t="str">
        <f>IF('TRACKER - 20220622'!H90&lt;&gt;"",'TRACKER - 20220622'!H90,"")</f>
        <v>Reconciliations</v>
      </c>
      <c r="F74" t="str">
        <f t="shared" si="2"/>
        <v>PRD-REQ-2020-00004 Reconciliations</v>
      </c>
      <c r="G74" t="str">
        <f t="shared" si="3"/>
        <v xml:space="preserve"> - Reconciliations</v>
      </c>
      <c r="H74">
        <f>IF('TRACKER - 20220622'!J90&lt;&gt;"",'TRACKER - 20220622'!J90,"")</f>
        <v>0</v>
      </c>
      <c r="I74" t="str">
        <f>IF('TRACKER - 20220622'!K77&lt;&gt;"",UPPER('TRACKER - 20220622'!K77),"")</f>
        <v>44153</v>
      </c>
      <c r="J74" t="str">
        <f>IF('TRACKER - 20220622'!L77&lt;&gt;"",UPPER('TRACKER - 20220622'!L77),"")</f>
        <v>44153</v>
      </c>
      <c r="K74" t="str">
        <f>IF('TRACKER - 20220622'!M77&lt;&gt;"",UPPER('TRACKER - 20220622'!M77),"")</f>
        <v/>
      </c>
      <c r="L74" t="str">
        <f>IF('TRACKER - 20220622'!N77&lt;&gt;"",UPPER('TRACKER - 20220622'!N77),"")</f>
        <v/>
      </c>
      <c r="M74" t="str">
        <f>IF('TRACKER - 20220622'!O77&lt;&gt;"",UPPER('TRACKER - 20220622'!O77),"")</f>
        <v/>
      </c>
      <c r="N74" t="str">
        <f>IF('TRACKER - 20220622'!P77&lt;&gt;"",UPPER('TRACKER - 20220622'!P77),"")</f>
        <v/>
      </c>
      <c r="O74" t="str">
        <f>IF('TRACKER - 20220622'!Q77&lt;&gt;"",UPPER('TRACKER - 20220622'!Q77),"")</f>
        <v>PLATFORM</v>
      </c>
      <c r="P74" t="str">
        <f>IF('TRACKER - 20220622'!R77&lt;&gt;"",UPPER('TRACKER - 20220622'!R77),"")</f>
        <v>TECHNICAL</v>
      </c>
      <c r="Q74" t="str">
        <f>IF('TRACKER - 20220622'!S77&lt;&gt;"",UPPER('TRACKER - 20220622'!S77),"")</f>
        <v>NEW</v>
      </c>
      <c r="R74" t="str">
        <f>IF('TRACKER - 20220622'!T77&lt;&gt;"",UPPER('TRACKER - 20220622'!T77),"")</f>
        <v/>
      </c>
      <c r="S74" t="str">
        <f>IF('TRACKER - 20220622'!U77&lt;&gt;"",UPPER('TRACKER - 20220622'!U77),"")</f>
        <v/>
      </c>
      <c r="T74" t="str">
        <f>IF('TRACKER - 20220622'!V77&lt;&gt;"",UPPER('TRACKER - 20220622'!V77),"")</f>
        <v/>
      </c>
      <c r="U74" t="str">
        <f>IF('TRACKER - 20220622'!W77&lt;&gt;"",UPPER('TRACKER - 20220622'!W77),"")</f>
        <v/>
      </c>
      <c r="V74" t="str">
        <f>IF('TRACKER - 20220622'!X77&lt;&gt;"",UPPER('TRACKER - 20220622'!X77),"")</f>
        <v>18/11/20 - POST N26 - ENSURE DB UPGRADES ARE SUPPORTABLE IN CLOUD.</v>
      </c>
      <c r="W74" t="str">
        <f>IF('TRACKER - 20220622'!Y77&lt;&gt;"",UPPER('TRACKER - 20220622'!Y77),"")</f>
        <v>0</v>
      </c>
      <c r="X74" t="str">
        <f>IF('TRACKER - 20220622'!Z77&lt;&gt;"",UPPER('TRACKER - 20220622'!Z77),"")</f>
        <v>0</v>
      </c>
      <c r="Y74" t="str">
        <f>IF('TRACKER - 20220622'!AA77&lt;&gt;"",UPPER('TRACKER - 20220622'!AA77),"")</f>
        <v>0</v>
      </c>
      <c r="Z74" t="str">
        <f>IF('TRACKER - 20220622'!AB77&lt;&gt;"",UPPER('TRACKER - 20220622'!AB77),"")</f>
        <v>0</v>
      </c>
      <c r="AA74" t="str">
        <f>IF('TRACKER - 20220622'!AC77&lt;&gt;"",UPPER('TRACKER - 20220622'!AC77),"")</f>
        <v>0</v>
      </c>
      <c r="AB74" t="str">
        <f>IF('TRACKER - 20220622'!AE77&lt;&gt;"",UPPER('TRACKER - 20220622'!AE77),"")</f>
        <v>0</v>
      </c>
      <c r="AC74" t="str">
        <f>IF('TRACKER - 20220622'!AF77&lt;&gt;"",UPPER('TRACKER - 20220622'!AF77),"")</f>
        <v>0</v>
      </c>
      <c r="AD74" t="str">
        <f>IF('TRACKER - 20220622'!AG77&lt;&gt;"",UPPER('TRACKER - 20220622'!AG77),"")</f>
        <v>0</v>
      </c>
      <c r="AE74" t="str">
        <f>IF('TRACKER - 20220622'!AH77&lt;&gt;"",UPPER('TRACKER - 20220622'!AH77),"")</f>
        <v>-150</v>
      </c>
      <c r="AF74" t="str">
        <f>IF('TRACKER - 20220622'!AI77&lt;&gt;"",UPPER('TRACKER - 20220622'!AI77),"")</f>
        <v/>
      </c>
      <c r="AG74" t="str">
        <f>IF('TRACKER - 20220622'!AJ77&lt;&gt;"",UPPER('TRACKER - 20220622'!AJ77),"")</f>
        <v>0</v>
      </c>
      <c r="AH74" t="str">
        <f>IF('TRACKER - 20220622'!AK77&lt;&gt;"",UPPER('TRACKER - 20220622'!AK77),"")</f>
        <v/>
      </c>
      <c r="AI74" t="str">
        <f>IF('TRACKER - 20220622'!AL77&lt;&gt;"",UPPER('TRACKER - 20220622'!AL77),"")</f>
        <v>0</v>
      </c>
      <c r="AJ74" t="str">
        <f>IF('TRACKER - 20220622'!AM77&lt;&gt;"",UPPER('TRACKER - 20220622'!AM77),"")</f>
        <v>0</v>
      </c>
      <c r="AK74" t="str">
        <f>IF('TRACKER - 20220622'!AN77&lt;&gt;"",UPPER('TRACKER - 20220622'!AN77),"")</f>
        <v/>
      </c>
      <c r="AL74" t="str">
        <f>IF('TRACKER - 20220622'!AO77&lt;&gt;"",UPPER('TRACKER - 20220622'!AO77),"")</f>
        <v>0</v>
      </c>
      <c r="AM74" t="str">
        <f>IF('TRACKER - 20220622'!AP77&lt;&gt;"",UPPER('TRACKER - 20220622'!AP77),"")</f>
        <v>0</v>
      </c>
      <c r="AN74" t="str">
        <f>IF('TRACKER - 20220622'!AQ77&lt;&gt;"",UPPER('TRACKER - 20220622'!AQ77),"")</f>
        <v>0</v>
      </c>
      <c r="AO74" t="str">
        <f>IF('TRACKER - 20220622'!AR77&lt;&gt;"",UPPER('TRACKER - 20220622'!AR77),"")</f>
        <v>PRD</v>
      </c>
      <c r="AP74" t="str">
        <f>IF('TRACKER - 20220622'!AS77&lt;&gt;"",UPPER('TRACKER - 20220622'!AS77),"")</f>
        <v>BLG</v>
      </c>
      <c r="AQ74" t="str">
        <f>IF('TRACKER - 20220622'!AT77&lt;&gt;"",UPPER('TRACKER - 20220622'!AT77),"")</f>
        <v>N</v>
      </c>
      <c r="AR74" t="str">
        <f>IF('TRACKER - 20220622'!AU77&lt;&gt;"",UPPER('TRACKER - 20220622'!AU77),"")</f>
        <v>-150</v>
      </c>
      <c r="AS74" t="str">
        <f>IF('TRACKER - 20220622'!AV77&lt;&gt;"",UPPER('TRACKER - 20220622'!AV77),"")</f>
        <v/>
      </c>
      <c r="AT74" t="str">
        <f>IF('TRACKER - 20220622'!AW77&lt;&gt;"",UPPER('TRACKER - 20220622'!AW77),"")</f>
        <v>DESCR77</v>
      </c>
      <c r="AU74" t="str">
        <f>IF('TRACKER - 20220622'!AX77&lt;&gt;"",UPPER('TRACKER - 20220622'!AX77),"")</f>
        <v>REASON77</v>
      </c>
      <c r="AV74" t="str">
        <f>IF('TRACKER - 20220622'!BD90&lt;&gt;"",'TRACKER - 20220622'!BD90,"")</f>
        <v/>
      </c>
      <c r="AW74" t="str">
        <f>IF('TRACKER - 20220622'!BE90&lt;&gt;"",'TRACKER - 20220622'!BE90,"")</f>
        <v/>
      </c>
      <c r="AX74" t="str">
        <f>IF('TRACKER - 20220622'!BF90&lt;&gt;"",'TRACKER - 20220622'!BF90,"")</f>
        <v/>
      </c>
      <c r="AY74" t="str">
        <f>IF('TRACKER - 20220622'!BG90&lt;&gt;"",'TRACKER - 20220622'!BG90,"")</f>
        <v/>
      </c>
      <c r="AZ74" t="str">
        <f>IF('TRACKER - 20220622'!BH90&lt;&gt;"",'TRACKER - 20220622'!BH90,"")</f>
        <v/>
      </c>
      <c r="BA74" t="str">
        <f>IF('TRACKER - 20220622'!BI90&lt;&gt;"",'TRACKER - 20220622'!BI90,"")</f>
        <v/>
      </c>
      <c r="BB74" t="str">
        <f>IF('TRACKER - 20220622'!BJ90&lt;&gt;"",'TRACKER - 20220622'!BJ90,"")</f>
        <v/>
      </c>
      <c r="BC74" t="str">
        <f>IF('TRACKER - 20220622'!BK90&lt;&gt;"",'TRACKER - 20220622'!BK90,"")</f>
        <v/>
      </c>
      <c r="BD74" t="str">
        <f>IF('TRACKER - 20220622'!BL90&lt;&gt;"",'TRACKER - 20220622'!BL90,"")</f>
        <v/>
      </c>
      <c r="BE74" t="str">
        <f>IF('TRACKER - 20220622'!BM90&lt;&gt;"",'TRACKER - 20220622'!BM90,"")</f>
        <v/>
      </c>
      <c r="BF74" t="str">
        <f>IF('TRACKER - 20220622'!BN90&lt;&gt;"",'TRACKER - 20220622'!BN90,"")</f>
        <v/>
      </c>
      <c r="BG74" t="str">
        <f>IF('TRACKER - 20220622'!BO90&lt;&gt;"",'TRACKER - 20220622'!BO90,"")</f>
        <v/>
      </c>
    </row>
    <row r="75" spans="1:59">
      <c r="A75" t="str">
        <f>IF('TRACKER - 20220622'!A91&lt;&gt;"",UPPER('TRACKER - 20220622'!A91),"")</f>
        <v>PRODUCT ROADMAP</v>
      </c>
      <c r="B75" t="str">
        <f>IF('TRACKER - 20220622'!B91&lt;&gt;"",UPPER('TRACKER - 20220622'!B91),"")</f>
        <v>N</v>
      </c>
      <c r="C75" t="str">
        <f>IF('TRACKER - 20220622'!D78&lt;&gt;"",UPPER('TRACKER - 20220622'!D78),"")</f>
        <v/>
      </c>
      <c r="D75" t="str">
        <f>IF('TRACKER - 20220622'!F91&lt;&gt;"",UPPER('TRACKER - 20220622'!F91),"")</f>
        <v>PRD-REQ-2020-00006</v>
      </c>
      <c r="E75" t="str">
        <f>IF('TRACKER - 20220622'!H91&lt;&gt;"",'TRACKER - 20220622'!H91,"")</f>
        <v>SFTR</v>
      </c>
      <c r="F75" t="str">
        <f t="shared" si="2"/>
        <v>PRD-REQ-2020-00006 SFTR</v>
      </c>
      <c r="G75" t="str">
        <f t="shared" si="3"/>
        <v xml:space="preserve"> - SFTR</v>
      </c>
      <c r="H75">
        <f>IF('TRACKER - 20220622'!J91&lt;&gt;"",'TRACKER - 20220622'!J91,"")</f>
        <v>0</v>
      </c>
      <c r="I75" t="str">
        <f>IF('TRACKER - 20220622'!K78&lt;&gt;"",UPPER('TRACKER - 20220622'!K78),"")</f>
        <v>44153</v>
      </c>
      <c r="J75" t="str">
        <f>IF('TRACKER - 20220622'!L78&lt;&gt;"",UPPER('TRACKER - 20220622'!L78),"")</f>
        <v>44153</v>
      </c>
      <c r="K75" t="str">
        <f>IF('TRACKER - 20220622'!M78&lt;&gt;"",UPPER('TRACKER - 20220622'!M78),"")</f>
        <v/>
      </c>
      <c r="L75" t="str">
        <f>IF('TRACKER - 20220622'!N78&lt;&gt;"",UPPER('TRACKER - 20220622'!N78),"")</f>
        <v/>
      </c>
      <c r="M75" t="str">
        <f>IF('TRACKER - 20220622'!O78&lt;&gt;"",UPPER('TRACKER - 20220622'!O78),"")</f>
        <v/>
      </c>
      <c r="N75" t="str">
        <f>IF('TRACKER - 20220622'!P78&lt;&gt;"",UPPER('TRACKER - 20220622'!P78),"")</f>
        <v/>
      </c>
      <c r="O75" t="str">
        <f>IF('TRACKER - 20220622'!Q78&lt;&gt;"",UPPER('TRACKER - 20220622'!Q78),"")</f>
        <v>TREASURY</v>
      </c>
      <c r="P75" t="str">
        <f>IF('TRACKER - 20220622'!R78&lt;&gt;"",UPPER('TRACKER - 20220622'!R78),"")</f>
        <v>CLIENT</v>
      </c>
      <c r="Q75" t="str">
        <f>IF('TRACKER - 20220622'!S78&lt;&gt;"",UPPER('TRACKER - 20220622'!S78),"")</f>
        <v/>
      </c>
      <c r="R75" t="str">
        <f>IF('TRACKER - 20220622'!T78&lt;&gt;"",UPPER('TRACKER - 20220622'!T78),"")</f>
        <v/>
      </c>
      <c r="S75" t="str">
        <f>IF('TRACKER - 20220622'!U78&lt;&gt;"",UPPER('TRACKER - 20220622'!U78),"")</f>
        <v/>
      </c>
      <c r="T75" t="str">
        <f>IF('TRACKER - 20220622'!V78&lt;&gt;"",UPPER('TRACKER - 20220622'!V78),"")</f>
        <v/>
      </c>
      <c r="U75" t="str">
        <f>IF('TRACKER - 20220622'!W78&lt;&gt;"",UPPER('TRACKER - 20220622'!W78),"")</f>
        <v/>
      </c>
      <c r="V75" t="str">
        <f>IF('TRACKER - 20220622'!X78&lt;&gt;"",UPPER('TRACKER - 20220622'!X78),"")</f>
        <v>18/11/10 - POST LUMINOR - ENSURE FULL RANGE OF POST TRADE ACTIONS AVAILABLE.</v>
      </c>
      <c r="W75" t="str">
        <f>IF('TRACKER - 20220622'!Y78&lt;&gt;"",UPPER('TRACKER - 20220622'!Y78),"")</f>
        <v>0</v>
      </c>
      <c r="X75" t="str">
        <f>IF('TRACKER - 20220622'!Z78&lt;&gt;"",UPPER('TRACKER - 20220622'!Z78),"")</f>
        <v>0</v>
      </c>
      <c r="Y75" t="str">
        <f>IF('TRACKER - 20220622'!AA78&lt;&gt;"",UPPER('TRACKER - 20220622'!AA78),"")</f>
        <v>0</v>
      </c>
      <c r="Z75" t="str">
        <f>IF('TRACKER - 20220622'!AB78&lt;&gt;"",UPPER('TRACKER - 20220622'!AB78),"")</f>
        <v>0</v>
      </c>
      <c r="AA75" t="str">
        <f>IF('TRACKER - 20220622'!AC78&lt;&gt;"",UPPER('TRACKER - 20220622'!AC78),"")</f>
        <v>0</v>
      </c>
      <c r="AB75" t="str">
        <f>IF('TRACKER - 20220622'!AE78&lt;&gt;"",UPPER('TRACKER - 20220622'!AE78),"")</f>
        <v>0</v>
      </c>
      <c r="AC75" t="str">
        <f>IF('TRACKER - 20220622'!AF78&lt;&gt;"",UPPER('TRACKER - 20220622'!AF78),"")</f>
        <v>0</v>
      </c>
      <c r="AD75" t="str">
        <f>IF('TRACKER - 20220622'!AG78&lt;&gt;"",UPPER('TRACKER - 20220622'!AG78),"")</f>
        <v>0</v>
      </c>
      <c r="AE75" t="str">
        <f>IF('TRACKER - 20220622'!AH78&lt;&gt;"",UPPER('TRACKER - 20220622'!AH78),"")</f>
        <v>-150</v>
      </c>
      <c r="AF75" t="str">
        <f>IF('TRACKER - 20220622'!AI78&lt;&gt;"",UPPER('TRACKER - 20220622'!AI78),"")</f>
        <v/>
      </c>
      <c r="AG75" t="str">
        <f>IF('TRACKER - 20220622'!AJ78&lt;&gt;"",UPPER('TRACKER - 20220622'!AJ78),"")</f>
        <v>0</v>
      </c>
      <c r="AH75" t="str">
        <f>IF('TRACKER - 20220622'!AK78&lt;&gt;"",UPPER('TRACKER - 20220622'!AK78),"")</f>
        <v/>
      </c>
      <c r="AI75" t="str">
        <f>IF('TRACKER - 20220622'!AL78&lt;&gt;"",UPPER('TRACKER - 20220622'!AL78),"")</f>
        <v>0</v>
      </c>
      <c r="AJ75" t="str">
        <f>IF('TRACKER - 20220622'!AM78&lt;&gt;"",UPPER('TRACKER - 20220622'!AM78),"")</f>
        <v>0</v>
      </c>
      <c r="AK75" t="str">
        <f>IF('TRACKER - 20220622'!AN78&lt;&gt;"",UPPER('TRACKER - 20220622'!AN78),"")</f>
        <v/>
      </c>
      <c r="AL75" t="str">
        <f>IF('TRACKER - 20220622'!AO78&lt;&gt;"",UPPER('TRACKER - 20220622'!AO78),"")</f>
        <v>0</v>
      </c>
      <c r="AM75" t="str">
        <f>IF('TRACKER - 20220622'!AP78&lt;&gt;"",UPPER('TRACKER - 20220622'!AP78),"")</f>
        <v>0</v>
      </c>
      <c r="AN75" t="str">
        <f>IF('TRACKER - 20220622'!AQ78&lt;&gt;"",UPPER('TRACKER - 20220622'!AQ78),"")</f>
        <v>0</v>
      </c>
      <c r="AO75" t="str">
        <f>IF('TRACKER - 20220622'!AR78&lt;&gt;"",UPPER('TRACKER - 20220622'!AR78),"")</f>
        <v>PRD</v>
      </c>
      <c r="AP75" t="str">
        <f>IF('TRACKER - 20220622'!AS78&lt;&gt;"",UPPER('TRACKER - 20220622'!AS78),"")</f>
        <v>BLG</v>
      </c>
      <c r="AQ75" t="str">
        <f>IF('TRACKER - 20220622'!AT78&lt;&gt;"",UPPER('TRACKER - 20220622'!AT78),"")</f>
        <v>N</v>
      </c>
      <c r="AR75" t="str">
        <f>IF('TRACKER - 20220622'!AU78&lt;&gt;"",UPPER('TRACKER - 20220622'!AU78),"")</f>
        <v>-150</v>
      </c>
      <c r="AS75" t="str">
        <f>IF('TRACKER - 20220622'!AV78&lt;&gt;"",UPPER('TRACKER - 20220622'!AV78),"")</f>
        <v/>
      </c>
      <c r="AT75" t="str">
        <f>IF('TRACKER - 20220622'!AW78&lt;&gt;"",UPPER('TRACKER - 20220622'!AW78),"")</f>
        <v>DESCR78</v>
      </c>
      <c r="AU75" t="str">
        <f>IF('TRACKER - 20220622'!AX78&lt;&gt;"",UPPER('TRACKER - 20220622'!AX78),"")</f>
        <v>REASON78</v>
      </c>
      <c r="AV75" t="str">
        <f>IF('TRACKER - 20220622'!BD91&lt;&gt;"",'TRACKER - 20220622'!BD91,"")</f>
        <v/>
      </c>
      <c r="AW75" t="str">
        <f>IF('TRACKER - 20220622'!BE91&lt;&gt;"",'TRACKER - 20220622'!BE91,"")</f>
        <v/>
      </c>
      <c r="AX75" t="str">
        <f>IF('TRACKER - 20220622'!BF91&lt;&gt;"",'TRACKER - 20220622'!BF91,"")</f>
        <v/>
      </c>
      <c r="AY75" t="str">
        <f>IF('TRACKER - 20220622'!BG91&lt;&gt;"",'TRACKER - 20220622'!BG91,"")</f>
        <v/>
      </c>
      <c r="AZ75" t="str">
        <f>IF('TRACKER - 20220622'!BH91&lt;&gt;"",'TRACKER - 20220622'!BH91,"")</f>
        <v/>
      </c>
      <c r="BA75" t="str">
        <f>IF('TRACKER - 20220622'!BI91&lt;&gt;"",'TRACKER - 20220622'!BI91,"")</f>
        <v/>
      </c>
      <c r="BB75" t="str">
        <f>IF('TRACKER - 20220622'!BJ91&lt;&gt;"",'TRACKER - 20220622'!BJ91,"")</f>
        <v/>
      </c>
      <c r="BC75" t="str">
        <f>IF('TRACKER - 20220622'!BK91&lt;&gt;"",'TRACKER - 20220622'!BK91,"")</f>
        <v/>
      </c>
      <c r="BD75" t="str">
        <f>IF('TRACKER - 20220622'!BL91&lt;&gt;"",'TRACKER - 20220622'!BL91,"")</f>
        <v/>
      </c>
      <c r="BE75" t="str">
        <f>IF('TRACKER - 20220622'!BM91&lt;&gt;"",'TRACKER - 20220622'!BM91,"")</f>
        <v/>
      </c>
      <c r="BF75" t="str">
        <f>IF('TRACKER - 20220622'!BN91&lt;&gt;"",'TRACKER - 20220622'!BN91,"")</f>
        <v/>
      </c>
      <c r="BG75" t="str">
        <f>IF('TRACKER - 20220622'!BO91&lt;&gt;"",'TRACKER - 20220622'!BO91,"")</f>
        <v/>
      </c>
    </row>
    <row r="76" spans="1:59">
      <c r="A76" t="str">
        <f>IF('TRACKER - 20220622'!A92&lt;&gt;"",UPPER('TRACKER - 20220622'!A92),"")</f>
        <v>PRODUCT ROADMAP</v>
      </c>
      <c r="B76" t="str">
        <f>IF('TRACKER - 20220622'!B92&lt;&gt;"",UPPER('TRACKER - 20220622'!B92),"")</f>
        <v>N</v>
      </c>
      <c r="C76" t="str">
        <f>IF('TRACKER - 20220622'!D79&lt;&gt;"",UPPER('TRACKER - 20220622'!D79),"")</f>
        <v>33783</v>
      </c>
      <c r="D76" t="str">
        <f>IF('TRACKER - 20220622'!F92&lt;&gt;"",UPPER('TRACKER - 20220622'!F92),"")</f>
        <v>PRD-REQ-2020-00008</v>
      </c>
      <c r="E76" t="str">
        <f>IF('TRACKER - 20220622'!H92&lt;&gt;"",'TRACKER - 20220622'!H92,"")</f>
        <v>Cash Concentration</v>
      </c>
      <c r="F76" t="str">
        <f t="shared" si="2"/>
        <v>PRD-REQ-2020-00008 Cash Concentration</v>
      </c>
      <c r="G76" t="str">
        <f t="shared" si="3"/>
        <v>33783 - Cash Concentration</v>
      </c>
      <c r="H76">
        <f>IF('TRACKER - 20220622'!J92&lt;&gt;"",'TRACKER - 20220622'!J92,"")</f>
        <v>0</v>
      </c>
      <c r="I76" t="str">
        <f>IF('TRACKER - 20220622'!K79&lt;&gt;"",UPPER('TRACKER - 20220622'!K79),"")</f>
        <v>44200</v>
      </c>
      <c r="J76" t="str">
        <f>IF('TRACKER - 20220622'!L79&lt;&gt;"",UPPER('TRACKER - 20220622'!L79),"")</f>
        <v>44200</v>
      </c>
      <c r="K76" t="str">
        <f>IF('TRACKER - 20220622'!M79&lt;&gt;"",UPPER('TRACKER - 20220622'!M79),"")</f>
        <v/>
      </c>
      <c r="L76" t="str">
        <f>IF('TRACKER - 20220622'!N79&lt;&gt;"",UPPER('TRACKER - 20220622'!N79),"")</f>
        <v/>
      </c>
      <c r="M76" t="str">
        <f>IF('TRACKER - 20220622'!O79&lt;&gt;"",UPPER('TRACKER - 20220622'!O79),"")</f>
        <v/>
      </c>
      <c r="N76" t="str">
        <f>IF('TRACKER - 20220622'!P79&lt;&gt;"",UPPER('TRACKER - 20220622'!P79),"")</f>
        <v/>
      </c>
      <c r="O76" t="str">
        <f>IF('TRACKER - 20220622'!Q79&lt;&gt;"",UPPER('TRACKER - 20220622'!Q79),"")</f>
        <v>PLATFORM</v>
      </c>
      <c r="P76" t="str">
        <f>IF('TRACKER - 20220622'!R79&lt;&gt;"",UPPER('TRACKER - 20220622'!R79),"")</f>
        <v>CLIENT</v>
      </c>
      <c r="Q76" t="str">
        <f>IF('TRACKER - 20220622'!S79&lt;&gt;"",UPPER('TRACKER - 20220622'!S79),"")</f>
        <v/>
      </c>
      <c r="R76" t="str">
        <f>IF('TRACKER - 20220622'!T79&lt;&gt;"",UPPER('TRACKER - 20220622'!T79),"")</f>
        <v/>
      </c>
      <c r="S76" t="str">
        <f>IF('TRACKER - 20220622'!U79&lt;&gt;"",UPPER('TRACKER - 20220622'!U79),"")</f>
        <v/>
      </c>
      <c r="T76" t="str">
        <f>IF('TRACKER - 20220622'!V79&lt;&gt;"",UPPER('TRACKER - 20220622'!V79),"")</f>
        <v/>
      </c>
      <c r="U76" t="str">
        <f>IF('TRACKER - 20220622'!W79&lt;&gt;"",UPPER('TRACKER - 20220622'!W79),"")</f>
        <v/>
      </c>
      <c r="V76" t="str">
        <f>IF('TRACKER - 20220622'!X79&lt;&gt;"",UPPER('TRACKER - 20220622'!X79),"")</f>
        <v>04/01/21 - RAISED ON NOTIFICATION OF BCMOF RFP ENDING.</v>
      </c>
      <c r="W76" t="str">
        <f>IF('TRACKER - 20220622'!Y79&lt;&gt;"",UPPER('TRACKER - 20220622'!Y79),"")</f>
        <v>0</v>
      </c>
      <c r="X76" t="str">
        <f>IF('TRACKER - 20220622'!Z79&lt;&gt;"",UPPER('TRACKER - 20220622'!Z79),"")</f>
        <v>0</v>
      </c>
      <c r="Y76" t="str">
        <f>IF('TRACKER - 20220622'!AA79&lt;&gt;"",UPPER('TRACKER - 20220622'!AA79),"")</f>
        <v>0</v>
      </c>
      <c r="Z76" t="str">
        <f>IF('TRACKER - 20220622'!AB79&lt;&gt;"",UPPER('TRACKER - 20220622'!AB79),"")</f>
        <v>0</v>
      </c>
      <c r="AA76" t="str">
        <f>IF('TRACKER - 20220622'!AC79&lt;&gt;"",UPPER('TRACKER - 20220622'!AC79),"")</f>
        <v>0</v>
      </c>
      <c r="AB76" t="str">
        <f>IF('TRACKER - 20220622'!AE79&lt;&gt;"",UPPER('TRACKER - 20220622'!AE79),"")</f>
        <v>0</v>
      </c>
      <c r="AC76" t="str">
        <f>IF('TRACKER - 20220622'!AF79&lt;&gt;"",UPPER('TRACKER - 20220622'!AF79),"")</f>
        <v>0</v>
      </c>
      <c r="AD76" t="str">
        <f>IF('TRACKER - 20220622'!AG79&lt;&gt;"",UPPER('TRACKER - 20220622'!AG79),"")</f>
        <v>0</v>
      </c>
      <c r="AE76" t="str">
        <f>IF('TRACKER - 20220622'!AH79&lt;&gt;"",UPPER('TRACKER - 20220622'!AH79),"")</f>
        <v>-150</v>
      </c>
      <c r="AF76" t="str">
        <f>IF('TRACKER - 20220622'!AI79&lt;&gt;"",UPPER('TRACKER - 20220622'!AI79),"")</f>
        <v/>
      </c>
      <c r="AG76" t="str">
        <f>IF('TRACKER - 20220622'!AJ79&lt;&gt;"",UPPER('TRACKER - 20220622'!AJ79),"")</f>
        <v>0</v>
      </c>
      <c r="AH76" t="str">
        <f>IF('TRACKER - 20220622'!AK79&lt;&gt;"",UPPER('TRACKER - 20220622'!AK79),"")</f>
        <v/>
      </c>
      <c r="AI76" t="str">
        <f>IF('TRACKER - 20220622'!AL79&lt;&gt;"",UPPER('TRACKER - 20220622'!AL79),"")</f>
        <v>0</v>
      </c>
      <c r="AJ76" t="str">
        <f>IF('TRACKER - 20220622'!AM79&lt;&gt;"",UPPER('TRACKER - 20220622'!AM79),"")</f>
        <v>0</v>
      </c>
      <c r="AK76" t="str">
        <f>IF('TRACKER - 20220622'!AN79&lt;&gt;"",UPPER('TRACKER - 20220622'!AN79),"")</f>
        <v/>
      </c>
      <c r="AL76" t="str">
        <f>IF('TRACKER - 20220622'!AO79&lt;&gt;"",UPPER('TRACKER - 20220622'!AO79),"")</f>
        <v>0</v>
      </c>
      <c r="AM76" t="str">
        <f>IF('TRACKER - 20220622'!AP79&lt;&gt;"",UPPER('TRACKER - 20220622'!AP79),"")</f>
        <v>0</v>
      </c>
      <c r="AN76" t="str">
        <f>IF('TRACKER - 20220622'!AQ79&lt;&gt;"",UPPER('TRACKER - 20220622'!AQ79),"")</f>
        <v>0</v>
      </c>
      <c r="AO76" t="str">
        <f>IF('TRACKER - 20220622'!AR79&lt;&gt;"",UPPER('TRACKER - 20220622'!AR79),"")</f>
        <v>PRD</v>
      </c>
      <c r="AP76" t="str">
        <f>IF('TRACKER - 20220622'!AS79&lt;&gt;"",UPPER('TRACKER - 20220622'!AS79),"")</f>
        <v>BLG</v>
      </c>
      <c r="AQ76" t="str">
        <f>IF('TRACKER - 20220622'!AT79&lt;&gt;"",UPPER('TRACKER - 20220622'!AT79),"")</f>
        <v>N</v>
      </c>
      <c r="AR76" t="str">
        <f>IF('TRACKER - 20220622'!AU79&lt;&gt;"",UPPER('TRACKER - 20220622'!AU79),"")</f>
        <v>-150</v>
      </c>
      <c r="AS76" t="str">
        <f>IF('TRACKER - 20220622'!AV79&lt;&gt;"",UPPER('TRACKER - 20220622'!AV79),"")</f>
        <v/>
      </c>
      <c r="AT76" t="str">
        <f>IF('TRACKER - 20220622'!AW79&lt;&gt;"",UPPER('TRACKER - 20220622'!AW79),"")</f>
        <v>DESCR79</v>
      </c>
      <c r="AU76" t="str">
        <f>IF('TRACKER - 20220622'!AX79&lt;&gt;"",UPPER('TRACKER - 20220622'!AX79),"")</f>
        <v>REASON79</v>
      </c>
      <c r="AV76" t="str">
        <f>IF('TRACKER - 20220622'!BD92&lt;&gt;"",'TRACKER - 20220622'!BD92,"")</f>
        <v/>
      </c>
      <c r="AW76" t="str">
        <f>IF('TRACKER - 20220622'!BE92&lt;&gt;"",'TRACKER - 20220622'!BE92,"")</f>
        <v/>
      </c>
      <c r="AX76" t="str">
        <f>IF('TRACKER - 20220622'!BF92&lt;&gt;"",'TRACKER - 20220622'!BF92,"")</f>
        <v/>
      </c>
      <c r="AY76" t="str">
        <f>IF('TRACKER - 20220622'!BG92&lt;&gt;"",'TRACKER - 20220622'!BG92,"")</f>
        <v/>
      </c>
      <c r="AZ76" t="str">
        <f>IF('TRACKER - 20220622'!BH92&lt;&gt;"",'TRACKER - 20220622'!BH92,"")</f>
        <v/>
      </c>
      <c r="BA76" t="str">
        <f>IF('TRACKER - 20220622'!BI92&lt;&gt;"",'TRACKER - 20220622'!BI92,"")</f>
        <v/>
      </c>
      <c r="BB76" t="str">
        <f>IF('TRACKER - 20220622'!BJ92&lt;&gt;"",'TRACKER - 20220622'!BJ92,"")</f>
        <v/>
      </c>
      <c r="BC76" t="str">
        <f>IF('TRACKER - 20220622'!BK92&lt;&gt;"",'TRACKER - 20220622'!BK92,"")</f>
        <v/>
      </c>
      <c r="BD76" t="str">
        <f>IF('TRACKER - 20220622'!BL92&lt;&gt;"",'TRACKER - 20220622'!BL92,"")</f>
        <v/>
      </c>
      <c r="BE76" t="str">
        <f>IF('TRACKER - 20220622'!BM92&lt;&gt;"",'TRACKER - 20220622'!BM92,"")</f>
        <v/>
      </c>
      <c r="BF76" t="str">
        <f>IF('TRACKER - 20220622'!BN92&lt;&gt;"",'TRACKER - 20220622'!BN92,"")</f>
        <v/>
      </c>
      <c r="BG76" t="str">
        <f>IF('TRACKER - 20220622'!BO92&lt;&gt;"",'TRACKER - 20220622'!BO92,"")</f>
        <v/>
      </c>
    </row>
    <row r="77" spans="1:59">
      <c r="A77" t="str">
        <f>IF('TRACKER - 20220622'!A93&lt;&gt;"",UPPER('TRACKER - 20220622'!A93),"")</f>
        <v>PRODUCT BACKLOG</v>
      </c>
      <c r="B77" t="str">
        <f>IF('TRACKER - 20220622'!B93&lt;&gt;"",UPPER('TRACKER - 20220622'!B93),"")</f>
        <v>N</v>
      </c>
      <c r="C77" t="str">
        <f>IF('TRACKER - 20220622'!D80&lt;&gt;"",UPPER('TRACKER - 20220622'!D80),"")</f>
        <v>33765</v>
      </c>
      <c r="D77" t="str">
        <f>IF('TRACKER - 20220622'!F93&lt;&gt;"",UPPER('TRACKER - 20220622'!F93),"")</f>
        <v>PRD-BLG-2020-00009</v>
      </c>
      <c r="E77" t="str">
        <f>IF('TRACKER - 20220622'!H93&lt;&gt;"",'TRACKER - 20220622'!H93,"")</f>
        <v>BB Batch Trading</v>
      </c>
      <c r="F77" t="str">
        <f t="shared" si="2"/>
        <v>PRD-BLG-2020-00009 BB Batch Trading</v>
      </c>
      <c r="G77" t="str">
        <f t="shared" si="3"/>
        <v>33765 - BB Batch Trading</v>
      </c>
      <c r="H77">
        <f>IF('TRACKER - 20220622'!J93&lt;&gt;"",'TRACKER - 20220622'!J93,"")</f>
        <v>0</v>
      </c>
      <c r="I77" t="str">
        <f>IF('TRACKER - 20220622'!K80&lt;&gt;"",UPPER('TRACKER - 20220622'!K80),"")</f>
        <v>44200</v>
      </c>
      <c r="J77" t="str">
        <f>IF('TRACKER - 20220622'!L80&lt;&gt;"",UPPER('TRACKER - 20220622'!L80),"")</f>
        <v>44200</v>
      </c>
      <c r="K77" t="str">
        <f>IF('TRACKER - 20220622'!M80&lt;&gt;"",UPPER('TRACKER - 20220622'!M80),"")</f>
        <v/>
      </c>
      <c r="L77" t="str">
        <f>IF('TRACKER - 20220622'!N80&lt;&gt;"",UPPER('TRACKER - 20220622'!N80),"")</f>
        <v/>
      </c>
      <c r="M77" t="str">
        <f>IF('TRACKER - 20220622'!O80&lt;&gt;"",UPPER('TRACKER - 20220622'!O80),"")</f>
        <v/>
      </c>
      <c r="N77" t="str">
        <f>IF('TRACKER - 20220622'!P80&lt;&gt;"",UPPER('TRACKER - 20220622'!P80),"")</f>
        <v/>
      </c>
      <c r="O77" t="str">
        <f>IF('TRACKER - 20220622'!Q80&lt;&gt;"",UPPER('TRACKER - 20220622'!Q80),"")</f>
        <v>UNCATEGORISED</v>
      </c>
      <c r="P77" t="str">
        <f>IF('TRACKER - 20220622'!R80&lt;&gt;"",UPPER('TRACKER - 20220622'!R80),"")</f>
        <v>CLIENT</v>
      </c>
      <c r="Q77" t="str">
        <f>IF('TRACKER - 20220622'!S80&lt;&gt;"",UPPER('TRACKER - 20220622'!S80),"")</f>
        <v/>
      </c>
      <c r="R77" t="str">
        <f>IF('TRACKER - 20220622'!T80&lt;&gt;"",UPPER('TRACKER - 20220622'!T80),"")</f>
        <v/>
      </c>
      <c r="S77" t="str">
        <f>IF('TRACKER - 20220622'!U80&lt;&gt;"",UPPER('TRACKER - 20220622'!U80),"")</f>
        <v/>
      </c>
      <c r="T77" t="str">
        <f>IF('TRACKER - 20220622'!V80&lt;&gt;"",UPPER('TRACKER - 20220622'!V80),"")</f>
        <v/>
      </c>
      <c r="U77" t="str">
        <f>IF('TRACKER - 20220622'!W80&lt;&gt;"",UPPER('TRACKER - 20220622'!W80),"")</f>
        <v/>
      </c>
      <c r="V77" t="str">
        <f>IF('TRACKER - 20220622'!X80&lt;&gt;"",UPPER('TRACKER - 20220622'!X80),"")</f>
        <v>04/01/21 - RAISED ON NOTIFICATION OF BCMOF RFP ENDING.</v>
      </c>
      <c r="W77" t="str">
        <f>IF('TRACKER - 20220622'!Y80&lt;&gt;"",UPPER('TRACKER - 20220622'!Y80),"")</f>
        <v>0</v>
      </c>
      <c r="X77" t="str">
        <f>IF('TRACKER - 20220622'!Z80&lt;&gt;"",UPPER('TRACKER - 20220622'!Z80),"")</f>
        <v>0</v>
      </c>
      <c r="Y77" t="str">
        <f>IF('TRACKER - 20220622'!AA80&lt;&gt;"",UPPER('TRACKER - 20220622'!AA80),"")</f>
        <v>0</v>
      </c>
      <c r="Z77" t="str">
        <f>IF('TRACKER - 20220622'!AB80&lt;&gt;"",UPPER('TRACKER - 20220622'!AB80),"")</f>
        <v>0</v>
      </c>
      <c r="AA77" t="str">
        <f>IF('TRACKER - 20220622'!AC80&lt;&gt;"",UPPER('TRACKER - 20220622'!AC80),"")</f>
        <v>0</v>
      </c>
      <c r="AB77" t="str">
        <f>IF('TRACKER - 20220622'!AE80&lt;&gt;"",UPPER('TRACKER - 20220622'!AE80),"")</f>
        <v>0</v>
      </c>
      <c r="AC77" t="str">
        <f>IF('TRACKER - 20220622'!AF80&lt;&gt;"",UPPER('TRACKER - 20220622'!AF80),"")</f>
        <v>0</v>
      </c>
      <c r="AD77" t="str">
        <f>IF('TRACKER - 20220622'!AG80&lt;&gt;"",UPPER('TRACKER - 20220622'!AG80),"")</f>
        <v>0</v>
      </c>
      <c r="AE77" t="str">
        <f>IF('TRACKER - 20220622'!AH80&lt;&gt;"",UPPER('TRACKER - 20220622'!AH80),"")</f>
        <v>-150</v>
      </c>
      <c r="AF77" t="str">
        <f>IF('TRACKER - 20220622'!AI80&lt;&gt;"",UPPER('TRACKER - 20220622'!AI80),"")</f>
        <v/>
      </c>
      <c r="AG77" t="str">
        <f>IF('TRACKER - 20220622'!AJ80&lt;&gt;"",UPPER('TRACKER - 20220622'!AJ80),"")</f>
        <v>0</v>
      </c>
      <c r="AH77" t="str">
        <f>IF('TRACKER - 20220622'!AK80&lt;&gt;"",UPPER('TRACKER - 20220622'!AK80),"")</f>
        <v/>
      </c>
      <c r="AI77" t="str">
        <f>IF('TRACKER - 20220622'!AL80&lt;&gt;"",UPPER('TRACKER - 20220622'!AL80),"")</f>
        <v>0</v>
      </c>
      <c r="AJ77" t="str">
        <f>IF('TRACKER - 20220622'!AM80&lt;&gt;"",UPPER('TRACKER - 20220622'!AM80),"")</f>
        <v>0</v>
      </c>
      <c r="AK77" t="str">
        <f>IF('TRACKER - 20220622'!AN80&lt;&gt;"",UPPER('TRACKER - 20220622'!AN80),"")</f>
        <v/>
      </c>
      <c r="AL77" t="str">
        <f>IF('TRACKER - 20220622'!AO80&lt;&gt;"",UPPER('TRACKER - 20220622'!AO80),"")</f>
        <v>0</v>
      </c>
      <c r="AM77" t="str">
        <f>IF('TRACKER - 20220622'!AP80&lt;&gt;"",UPPER('TRACKER - 20220622'!AP80),"")</f>
        <v>0</v>
      </c>
      <c r="AN77" t="str">
        <f>IF('TRACKER - 20220622'!AQ80&lt;&gt;"",UPPER('TRACKER - 20220622'!AQ80),"")</f>
        <v>0</v>
      </c>
      <c r="AO77" t="str">
        <f>IF('TRACKER - 20220622'!AR80&lt;&gt;"",UPPER('TRACKER - 20220622'!AR80),"")</f>
        <v>PRD</v>
      </c>
      <c r="AP77" t="str">
        <f>IF('TRACKER - 20220622'!AS80&lt;&gt;"",UPPER('TRACKER - 20220622'!AS80),"")</f>
        <v>BLG</v>
      </c>
      <c r="AQ77" t="str">
        <f>IF('TRACKER - 20220622'!AT80&lt;&gt;"",UPPER('TRACKER - 20220622'!AT80),"")</f>
        <v>N</v>
      </c>
      <c r="AR77" t="str">
        <f>IF('TRACKER - 20220622'!AU80&lt;&gt;"",UPPER('TRACKER - 20220622'!AU80),"")</f>
        <v>-150</v>
      </c>
      <c r="AS77" t="str">
        <f>IF('TRACKER - 20220622'!AV80&lt;&gt;"",UPPER('TRACKER - 20220622'!AV80),"")</f>
        <v/>
      </c>
      <c r="AT77" t="str">
        <f>IF('TRACKER - 20220622'!AW80&lt;&gt;"",UPPER('TRACKER - 20220622'!AW80),"")</f>
        <v>DESCR80</v>
      </c>
      <c r="AU77" t="str">
        <f>IF('TRACKER - 20220622'!AX80&lt;&gt;"",UPPER('TRACKER - 20220622'!AX80),"")</f>
        <v>REASON80</v>
      </c>
      <c r="AV77" t="str">
        <f>IF('TRACKER - 20220622'!BD93&lt;&gt;"",'TRACKER - 20220622'!BD93,"")</f>
        <v/>
      </c>
      <c r="AW77" t="str">
        <f>IF('TRACKER - 20220622'!BE93&lt;&gt;"",'TRACKER - 20220622'!BE93,"")</f>
        <v/>
      </c>
      <c r="AX77" t="str">
        <f>IF('TRACKER - 20220622'!BF93&lt;&gt;"",'TRACKER - 20220622'!BF93,"")</f>
        <v/>
      </c>
      <c r="AY77" t="str">
        <f>IF('TRACKER - 20220622'!BG93&lt;&gt;"",'TRACKER - 20220622'!BG93,"")</f>
        <v/>
      </c>
      <c r="AZ77" t="str">
        <f>IF('TRACKER - 20220622'!BH93&lt;&gt;"",'TRACKER - 20220622'!BH93,"")</f>
        <v/>
      </c>
      <c r="BA77" t="str">
        <f>IF('TRACKER - 20220622'!BI93&lt;&gt;"",'TRACKER - 20220622'!BI93,"")</f>
        <v/>
      </c>
      <c r="BB77" t="str">
        <f>IF('TRACKER - 20220622'!BJ93&lt;&gt;"",'TRACKER - 20220622'!BJ93,"")</f>
        <v/>
      </c>
      <c r="BC77" t="str">
        <f>IF('TRACKER - 20220622'!BK93&lt;&gt;"",'TRACKER - 20220622'!BK93,"")</f>
        <v/>
      </c>
      <c r="BD77" t="str">
        <f>IF('TRACKER - 20220622'!BL93&lt;&gt;"",'TRACKER - 20220622'!BL93,"")</f>
        <v/>
      </c>
      <c r="BE77" t="str">
        <f>IF('TRACKER - 20220622'!BM93&lt;&gt;"",'TRACKER - 20220622'!BM93,"")</f>
        <v/>
      </c>
      <c r="BF77" t="str">
        <f>IF('TRACKER - 20220622'!BN93&lt;&gt;"",'TRACKER - 20220622'!BN93,"")</f>
        <v/>
      </c>
      <c r="BG77" t="str">
        <f>IF('TRACKER - 20220622'!BO93&lt;&gt;"",'TRACKER - 20220622'!BO93,"")</f>
        <v/>
      </c>
    </row>
    <row r="78" spans="1:59">
      <c r="A78" t="str">
        <f>IF('TRACKER - 20220622'!A94&lt;&gt;"",UPPER('TRACKER - 20220622'!A94),"")</f>
        <v>PRODUCT BACKLOG</v>
      </c>
      <c r="B78" t="str">
        <f>IF('TRACKER - 20220622'!B94&lt;&gt;"",UPPER('TRACKER - 20220622'!B94),"")</f>
        <v>N</v>
      </c>
      <c r="C78" t="str">
        <f>IF('TRACKER - 20220622'!D81&lt;&gt;"",UPPER('TRACKER - 20220622'!D81),"")</f>
        <v>33758</v>
      </c>
      <c r="D78" t="str">
        <f>IF('TRACKER - 20220622'!F94&lt;&gt;"",UPPER('TRACKER - 20220622'!F94),"")</f>
        <v>PRD-BLG-2020-00010</v>
      </c>
      <c r="E78" t="str">
        <f>IF('TRACKER - 20220622'!H94&lt;&gt;"",'TRACKER - 20220622'!H94,"")</f>
        <v>Decimal precision by Client Type</v>
      </c>
      <c r="F78" t="str">
        <f t="shared" si="2"/>
        <v>PRD-BLG-2020-00010 Decimal precision by Client Type</v>
      </c>
      <c r="G78" t="str">
        <f t="shared" si="3"/>
        <v>33758 - Decimal precision by Client Type</v>
      </c>
      <c r="H78">
        <f>IF('TRACKER - 20220622'!J94&lt;&gt;"",'TRACKER - 20220622'!J94,"")</f>
        <v>-11250</v>
      </c>
      <c r="I78" t="str">
        <f>IF('TRACKER - 20220622'!K81&lt;&gt;"",UPPER('TRACKER - 20220622'!K81),"")</f>
        <v>44200</v>
      </c>
      <c r="J78" t="str">
        <f>IF('TRACKER - 20220622'!L81&lt;&gt;"",UPPER('TRACKER - 20220622'!L81),"")</f>
        <v>44200</v>
      </c>
      <c r="K78" t="str">
        <f>IF('TRACKER - 20220622'!M81&lt;&gt;"",UPPER('TRACKER - 20220622'!M81),"")</f>
        <v/>
      </c>
      <c r="L78" t="str">
        <f>IF('TRACKER - 20220622'!N81&lt;&gt;"",UPPER('TRACKER - 20220622'!N81),"")</f>
        <v/>
      </c>
      <c r="M78" t="str">
        <f>IF('TRACKER - 20220622'!O81&lt;&gt;"",UPPER('TRACKER - 20220622'!O81),"")</f>
        <v/>
      </c>
      <c r="N78" t="str">
        <f>IF('TRACKER - 20220622'!P81&lt;&gt;"",UPPER('TRACKER - 20220622'!P81),"")</f>
        <v/>
      </c>
      <c r="O78" t="str">
        <f>IF('TRACKER - 20220622'!Q81&lt;&gt;"",UPPER('TRACKER - 20220622'!Q81),"")</f>
        <v>UNCATEGORISED</v>
      </c>
      <c r="P78" t="str">
        <f>IF('TRACKER - 20220622'!R81&lt;&gt;"",UPPER('TRACKER - 20220622'!R81),"")</f>
        <v>CLIENT</v>
      </c>
      <c r="Q78" t="str">
        <f>IF('TRACKER - 20220622'!S81&lt;&gt;"",UPPER('TRACKER - 20220622'!S81),"")</f>
        <v/>
      </c>
      <c r="R78" t="str">
        <f>IF('TRACKER - 20220622'!T81&lt;&gt;"",UPPER('TRACKER - 20220622'!T81),"")</f>
        <v/>
      </c>
      <c r="S78" t="str">
        <f>IF('TRACKER - 20220622'!U81&lt;&gt;"",UPPER('TRACKER - 20220622'!U81),"")</f>
        <v/>
      </c>
      <c r="T78" t="str">
        <f>IF('TRACKER - 20220622'!V81&lt;&gt;"",UPPER('TRACKER - 20220622'!V81),"")</f>
        <v/>
      </c>
      <c r="U78" t="str">
        <f>IF('TRACKER - 20220622'!W81&lt;&gt;"",UPPER('TRACKER - 20220622'!W81),"")</f>
        <v/>
      </c>
      <c r="V78" t="str">
        <f>IF('TRACKER - 20220622'!X81&lt;&gt;"",UPPER('TRACKER - 20220622'!X81),"")</f>
        <v>04/01/21 - RAISED ON NOTIFICATION OF BCMOF RFP ENDING.</v>
      </c>
      <c r="W78" t="str">
        <f>IF('TRACKER - 20220622'!Y81&lt;&gt;"",UPPER('TRACKER - 20220622'!Y81),"")</f>
        <v>0</v>
      </c>
      <c r="X78" t="str">
        <f>IF('TRACKER - 20220622'!Z81&lt;&gt;"",UPPER('TRACKER - 20220622'!Z81),"")</f>
        <v>0</v>
      </c>
      <c r="Y78" t="str">
        <f>IF('TRACKER - 20220622'!AA81&lt;&gt;"",UPPER('TRACKER - 20220622'!AA81),"")</f>
        <v>0</v>
      </c>
      <c r="Z78" t="str">
        <f>IF('TRACKER - 20220622'!AB81&lt;&gt;"",UPPER('TRACKER - 20220622'!AB81),"")</f>
        <v>0</v>
      </c>
      <c r="AA78" t="str">
        <f>IF('TRACKER - 20220622'!AC81&lt;&gt;"",UPPER('TRACKER - 20220622'!AC81),"")</f>
        <v>0</v>
      </c>
      <c r="AB78" t="str">
        <f>IF('TRACKER - 20220622'!AE81&lt;&gt;"",UPPER('TRACKER - 20220622'!AE81),"")</f>
        <v>0</v>
      </c>
      <c r="AC78" t="str">
        <f>IF('TRACKER - 20220622'!AF81&lt;&gt;"",UPPER('TRACKER - 20220622'!AF81),"")</f>
        <v>0</v>
      </c>
      <c r="AD78" t="str">
        <f>IF('TRACKER - 20220622'!AG81&lt;&gt;"",UPPER('TRACKER - 20220622'!AG81),"")</f>
        <v>0</v>
      </c>
      <c r="AE78" t="str">
        <f>IF('TRACKER - 20220622'!AH81&lt;&gt;"",UPPER('TRACKER - 20220622'!AH81),"")</f>
        <v>-150</v>
      </c>
      <c r="AF78" t="str">
        <f>IF('TRACKER - 20220622'!AI81&lt;&gt;"",UPPER('TRACKER - 20220622'!AI81),"")</f>
        <v/>
      </c>
      <c r="AG78" t="str">
        <f>IF('TRACKER - 20220622'!AJ81&lt;&gt;"",UPPER('TRACKER - 20220622'!AJ81),"")</f>
        <v>0</v>
      </c>
      <c r="AH78" t="str">
        <f>IF('TRACKER - 20220622'!AK81&lt;&gt;"",UPPER('TRACKER - 20220622'!AK81),"")</f>
        <v/>
      </c>
      <c r="AI78" t="str">
        <f>IF('TRACKER - 20220622'!AL81&lt;&gt;"",UPPER('TRACKER - 20220622'!AL81),"")</f>
        <v>0</v>
      </c>
      <c r="AJ78" t="str">
        <f>IF('TRACKER - 20220622'!AM81&lt;&gt;"",UPPER('TRACKER - 20220622'!AM81),"")</f>
        <v>0</v>
      </c>
      <c r="AK78" t="str">
        <f>IF('TRACKER - 20220622'!AN81&lt;&gt;"",UPPER('TRACKER - 20220622'!AN81),"")</f>
        <v/>
      </c>
      <c r="AL78" t="str">
        <f>IF('TRACKER - 20220622'!AO81&lt;&gt;"",UPPER('TRACKER - 20220622'!AO81),"")</f>
        <v>0</v>
      </c>
      <c r="AM78" t="str">
        <f>IF('TRACKER - 20220622'!AP81&lt;&gt;"",UPPER('TRACKER - 20220622'!AP81),"")</f>
        <v>0</v>
      </c>
      <c r="AN78" t="str">
        <f>IF('TRACKER - 20220622'!AQ81&lt;&gt;"",UPPER('TRACKER - 20220622'!AQ81),"")</f>
        <v>0</v>
      </c>
      <c r="AO78" t="str">
        <f>IF('TRACKER - 20220622'!AR81&lt;&gt;"",UPPER('TRACKER - 20220622'!AR81),"")</f>
        <v>PRD</v>
      </c>
      <c r="AP78" t="str">
        <f>IF('TRACKER - 20220622'!AS81&lt;&gt;"",UPPER('TRACKER - 20220622'!AS81),"")</f>
        <v>BLG</v>
      </c>
      <c r="AQ78" t="str">
        <f>IF('TRACKER - 20220622'!AT81&lt;&gt;"",UPPER('TRACKER - 20220622'!AT81),"")</f>
        <v>N</v>
      </c>
      <c r="AR78" t="str">
        <f>IF('TRACKER - 20220622'!AU81&lt;&gt;"",UPPER('TRACKER - 20220622'!AU81),"")</f>
        <v>-150</v>
      </c>
      <c r="AS78" t="str">
        <f>IF('TRACKER - 20220622'!AV81&lt;&gt;"",UPPER('TRACKER - 20220622'!AV81),"")</f>
        <v/>
      </c>
      <c r="AT78" t="str">
        <f>IF('TRACKER - 20220622'!AW81&lt;&gt;"",UPPER('TRACKER - 20220622'!AW81),"")</f>
        <v>DESCR81</v>
      </c>
      <c r="AU78" t="str">
        <f>IF('TRACKER - 20220622'!AX81&lt;&gt;"",UPPER('TRACKER - 20220622'!AX81),"")</f>
        <v>REASON81</v>
      </c>
      <c r="AV78" t="str">
        <f>IF('TRACKER - 20220622'!BD94&lt;&gt;"",'TRACKER - 20220622'!BD94,"")</f>
        <v/>
      </c>
      <c r="AW78" t="str">
        <f>IF('TRACKER - 20220622'!BE94&lt;&gt;"",'TRACKER - 20220622'!BE94,"")</f>
        <v/>
      </c>
      <c r="AX78" t="str">
        <f>IF('TRACKER - 20220622'!BF94&lt;&gt;"",'TRACKER - 20220622'!BF94,"")</f>
        <v/>
      </c>
      <c r="AY78" t="str">
        <f>IF('TRACKER - 20220622'!BG94&lt;&gt;"",'TRACKER - 20220622'!BG94,"")</f>
        <v/>
      </c>
      <c r="AZ78" t="str">
        <f>IF('TRACKER - 20220622'!BH94&lt;&gt;"",'TRACKER - 20220622'!BH94,"")</f>
        <v/>
      </c>
      <c r="BA78" t="str">
        <f>IF('TRACKER - 20220622'!BI94&lt;&gt;"",'TRACKER - 20220622'!BI94,"")</f>
        <v/>
      </c>
      <c r="BB78" t="str">
        <f>IF('TRACKER - 20220622'!BJ94&lt;&gt;"",'TRACKER - 20220622'!BJ94,"")</f>
        <v/>
      </c>
      <c r="BC78" t="str">
        <f>IF('TRACKER - 20220622'!BK94&lt;&gt;"",'TRACKER - 20220622'!BK94,"")</f>
        <v/>
      </c>
      <c r="BD78" t="str">
        <f>IF('TRACKER - 20220622'!BL94&lt;&gt;"",'TRACKER - 20220622'!BL94,"")</f>
        <v/>
      </c>
      <c r="BE78" t="str">
        <f>IF('TRACKER - 20220622'!BM94&lt;&gt;"",'TRACKER - 20220622'!BM94,"")</f>
        <v/>
      </c>
      <c r="BF78" t="str">
        <f>IF('TRACKER - 20220622'!BN94&lt;&gt;"",'TRACKER - 20220622'!BN94,"")</f>
        <v/>
      </c>
      <c r="BG78" t="str">
        <f>IF('TRACKER - 20220622'!BO94&lt;&gt;"",'TRACKER - 20220622'!BO94,"")</f>
        <v/>
      </c>
    </row>
    <row r="79" spans="1:59">
      <c r="A79" t="str">
        <f>IF('TRACKER - 20220622'!A95&lt;&gt;"",UPPER('TRACKER - 20220622'!A95),"")</f>
        <v>PRODUCT BACKLOG</v>
      </c>
      <c r="B79" t="str">
        <f>IF('TRACKER - 20220622'!B95&lt;&gt;"",UPPER('TRACKER - 20220622'!B95),"")</f>
        <v>N</v>
      </c>
      <c r="C79" t="str">
        <f>IF('TRACKER - 20220622'!D82&lt;&gt;"",UPPER('TRACKER - 20220622'!D82),"")</f>
        <v>2</v>
      </c>
      <c r="D79" t="str">
        <f>IF('TRACKER - 20220622'!F95&lt;&gt;"",UPPER('TRACKER - 20220622'!F95),"")</f>
        <v>PRD-BLG-2020-00013</v>
      </c>
      <c r="E79" t="str">
        <f>IF('TRACKER - 20220622'!H95&lt;&gt;"",'TRACKER - 20220622'!H95,"")</f>
        <v>Security Hardening &amp; Cyber Security</v>
      </c>
      <c r="F79" t="str">
        <f t="shared" si="2"/>
        <v>PRD-BLG-2020-00013 Security Hardening &amp; Cyber Security</v>
      </c>
      <c r="G79" t="str">
        <f t="shared" si="3"/>
        <v>00002 - Security Hardening &amp; Cyber Security</v>
      </c>
      <c r="H79">
        <f>IF('TRACKER - 20220622'!J95&lt;&gt;"",'TRACKER - 20220622'!J95,"")</f>
        <v>0</v>
      </c>
      <c r="I79" t="str">
        <f>IF('TRACKER - 20220622'!K82&lt;&gt;"",UPPER('TRACKER - 20220622'!K82),"")</f>
        <v>44216</v>
      </c>
      <c r="J79" t="str">
        <f>IF('TRACKER - 20220622'!L82&lt;&gt;"",UPPER('TRACKER - 20220622'!L82),"")</f>
        <v>44216</v>
      </c>
      <c r="K79" t="str">
        <f>IF('TRACKER - 20220622'!M82&lt;&gt;"",UPPER('TRACKER - 20220622'!M82),"")</f>
        <v/>
      </c>
      <c r="L79" t="str">
        <f>IF('TRACKER - 20220622'!N82&lt;&gt;"",UPPER('TRACKER - 20220622'!N82),"")</f>
        <v/>
      </c>
      <c r="M79" t="str">
        <f>IF('TRACKER - 20220622'!O82&lt;&gt;"",UPPER('TRACKER - 20220622'!O82),"")</f>
        <v/>
      </c>
      <c r="N79" t="str">
        <f>IF('TRACKER - 20220622'!P82&lt;&gt;"",UPPER('TRACKER - 20220622'!P82),"")</f>
        <v/>
      </c>
      <c r="O79" t="str">
        <f>IF('TRACKER - 20220622'!Q82&lt;&gt;"",UPPER('TRACKER - 20220622'!Q82),"")</f>
        <v>PLATFORM</v>
      </c>
      <c r="P79" t="str">
        <f>IF('TRACKER - 20220622'!R82&lt;&gt;"",UPPER('TRACKER - 20220622'!R82),"")</f>
        <v>TECHNICAL</v>
      </c>
      <c r="Q79" t="str">
        <f>IF('TRACKER - 20220622'!S82&lt;&gt;"",UPPER('TRACKER - 20220622'!S82),"")</f>
        <v>NEW</v>
      </c>
      <c r="R79" t="str">
        <f>IF('TRACKER - 20220622'!T82&lt;&gt;"",UPPER('TRACKER - 20220622'!T82),"")</f>
        <v/>
      </c>
      <c r="S79" t="str">
        <f>IF('TRACKER - 20220622'!U82&lt;&gt;"",UPPER('TRACKER - 20220622'!U82),"")</f>
        <v/>
      </c>
      <c r="T79" t="str">
        <f>IF('TRACKER - 20220622'!V82&lt;&gt;"",UPPER('TRACKER - 20220622'!V82),"")</f>
        <v/>
      </c>
      <c r="U79" t="str">
        <f>IF('TRACKER - 20220622'!W82&lt;&gt;"",UPPER('TRACKER - 20220622'!W82),"")</f>
        <v/>
      </c>
      <c r="V79" t="str">
        <f>IF('TRACKER - 20220622'!X82&lt;&gt;"",UPPER('TRACKER - 20220622'!X82),"")</f>
        <v>20/01/21 - SIMPLIFIED UPGRADE PROCESS/TOOL - MENTIONED BY LEUMI - NOW WE HAVE SEVERNAL UNDERLYING PRODUCTS TO UPGRADE AT THE SAME TIME. UPGRADES CURRENTLY TAKLING 1/2DAY.</v>
      </c>
      <c r="W79" t="str">
        <f>IF('TRACKER - 20220622'!Y82&lt;&gt;"",UPPER('TRACKER - 20220622'!Y82),"")</f>
        <v>0</v>
      </c>
      <c r="X79" t="str">
        <f>IF('TRACKER - 20220622'!Z82&lt;&gt;"",UPPER('TRACKER - 20220622'!Z82),"")</f>
        <v>0</v>
      </c>
      <c r="Y79" t="str">
        <f>IF('TRACKER - 20220622'!AA82&lt;&gt;"",UPPER('TRACKER - 20220622'!AA82),"")</f>
        <v>0</v>
      </c>
      <c r="Z79" t="str">
        <f>IF('TRACKER - 20220622'!AB82&lt;&gt;"",UPPER('TRACKER - 20220622'!AB82),"")</f>
        <v>0</v>
      </c>
      <c r="AA79" t="str">
        <f>IF('TRACKER - 20220622'!AC82&lt;&gt;"",UPPER('TRACKER - 20220622'!AC82),"")</f>
        <v>0</v>
      </c>
      <c r="AB79" t="str">
        <f>IF('TRACKER - 20220622'!AE82&lt;&gt;"",UPPER('TRACKER - 20220622'!AE82),"")</f>
        <v>0</v>
      </c>
      <c r="AC79" t="str">
        <f>IF('TRACKER - 20220622'!AF82&lt;&gt;"",UPPER('TRACKER - 20220622'!AF82),"")</f>
        <v>0</v>
      </c>
      <c r="AD79" t="str">
        <f>IF('TRACKER - 20220622'!AG82&lt;&gt;"",UPPER('TRACKER - 20220622'!AG82),"")</f>
        <v>0</v>
      </c>
      <c r="AE79" t="str">
        <f>IF('TRACKER - 20220622'!AH82&lt;&gt;"",UPPER('TRACKER - 20220622'!AH82),"")</f>
        <v>-150</v>
      </c>
      <c r="AF79" t="str">
        <f>IF('TRACKER - 20220622'!AI82&lt;&gt;"",UPPER('TRACKER - 20220622'!AI82),"")</f>
        <v/>
      </c>
      <c r="AG79" t="str">
        <f>IF('TRACKER - 20220622'!AJ82&lt;&gt;"",UPPER('TRACKER - 20220622'!AJ82),"")</f>
        <v>0</v>
      </c>
      <c r="AH79" t="str">
        <f>IF('TRACKER - 20220622'!AK82&lt;&gt;"",UPPER('TRACKER - 20220622'!AK82),"")</f>
        <v/>
      </c>
      <c r="AI79" t="str">
        <f>IF('TRACKER - 20220622'!AL82&lt;&gt;"",UPPER('TRACKER - 20220622'!AL82),"")</f>
        <v>0</v>
      </c>
      <c r="AJ79" t="str">
        <f>IF('TRACKER - 20220622'!AM82&lt;&gt;"",UPPER('TRACKER - 20220622'!AM82),"")</f>
        <v/>
      </c>
      <c r="AK79" t="str">
        <f>IF('TRACKER - 20220622'!AN82&lt;&gt;"",UPPER('TRACKER - 20220622'!AN82),"")</f>
        <v/>
      </c>
      <c r="AL79" t="str">
        <f>IF('TRACKER - 20220622'!AO82&lt;&gt;"",UPPER('TRACKER - 20220622'!AO82),"")</f>
        <v>0</v>
      </c>
      <c r="AM79" t="str">
        <f>IF('TRACKER - 20220622'!AP82&lt;&gt;"",UPPER('TRACKER - 20220622'!AP82),"")</f>
        <v>0</v>
      </c>
      <c r="AN79" t="str">
        <f>IF('TRACKER - 20220622'!AQ82&lt;&gt;"",UPPER('TRACKER - 20220622'!AQ82),"")</f>
        <v>0</v>
      </c>
      <c r="AO79" t="str">
        <f>IF('TRACKER - 20220622'!AR82&lt;&gt;"",UPPER('TRACKER - 20220622'!AR82),"")</f>
        <v>PRD</v>
      </c>
      <c r="AP79" t="str">
        <f>IF('TRACKER - 20220622'!AS82&lt;&gt;"",UPPER('TRACKER - 20220622'!AS82),"")</f>
        <v>BLG</v>
      </c>
      <c r="AQ79" t="str">
        <f>IF('TRACKER - 20220622'!AT82&lt;&gt;"",UPPER('TRACKER - 20220622'!AT82),"")</f>
        <v>N</v>
      </c>
      <c r="AR79" t="str">
        <f>IF('TRACKER - 20220622'!AU82&lt;&gt;"",UPPER('TRACKER - 20220622'!AU82),"")</f>
        <v>-150</v>
      </c>
      <c r="AS79" t="str">
        <f>IF('TRACKER - 20220622'!AV82&lt;&gt;"",UPPER('TRACKER - 20220622'!AV82),"")</f>
        <v/>
      </c>
      <c r="AT79" t="str">
        <f>IF('TRACKER - 20220622'!AW82&lt;&gt;"",UPPER('TRACKER - 20220622'!AW82),"")</f>
        <v>THESE ARE OPEN ENDED FUNDS THAT INVEST IN SHORT TERM DEBT SECURITIES SUCH AS TREASURIES, REPOS, BANKERS ACCEPTANCES, CDS, TERM DEPOSITS AND COMMERCIAL PAPER. 
THEY RETAIN STABLE VALUES THROUGH LIQUID INVESTMENTS WHILST PAYING INCOME DIVIDENDS TO INVESTORS. THEY ARE LOW RISK AND GENERALLY HAVE A HIGH CREDIT QUALITY.</v>
      </c>
      <c r="AU79" t="str">
        <f>IF('TRACKER - 20220622'!AX82&lt;&gt;"",UPPER('TRACKER - 20220622'!AX82),"")</f>
        <v>PRE-COVID THESE WERE GENERALLY NICE TO HAVE REQUIREMENTS, HOWEVER THIS HAS CHANGED AND THEY ARE NOW CONSIDERED MARKET STANDARD INSTRUMENTS.  N26 HAVE EXPRESSED INTEREST, AS HAVE LUMINOR.</v>
      </c>
      <c r="AV79" t="str">
        <f>IF('TRACKER - 20220622'!BD95&lt;&gt;"",'TRACKER - 20220622'!BD95,"")</f>
        <v/>
      </c>
      <c r="AW79" t="str">
        <f>IF('TRACKER - 20220622'!BE95&lt;&gt;"",'TRACKER - 20220622'!BE95,"")</f>
        <v/>
      </c>
      <c r="AX79" t="str">
        <f>IF('TRACKER - 20220622'!BF95&lt;&gt;"",'TRACKER - 20220622'!BF95,"")</f>
        <v/>
      </c>
      <c r="AY79" t="str">
        <f>IF('TRACKER - 20220622'!BG95&lt;&gt;"",'TRACKER - 20220622'!BG95,"")</f>
        <v/>
      </c>
      <c r="AZ79" t="str">
        <f>IF('TRACKER - 20220622'!BH95&lt;&gt;"",'TRACKER - 20220622'!BH95,"")</f>
        <v/>
      </c>
      <c r="BA79" t="str">
        <f>IF('TRACKER - 20220622'!BI95&lt;&gt;"",'TRACKER - 20220622'!BI95,"")</f>
        <v/>
      </c>
      <c r="BB79" t="str">
        <f>IF('TRACKER - 20220622'!BJ95&lt;&gt;"",'TRACKER - 20220622'!BJ95,"")</f>
        <v/>
      </c>
      <c r="BC79" t="str">
        <f>IF('TRACKER - 20220622'!BK95&lt;&gt;"",'TRACKER - 20220622'!BK95,"")</f>
        <v/>
      </c>
      <c r="BD79" t="str">
        <f>IF('TRACKER - 20220622'!BL95&lt;&gt;"",'TRACKER - 20220622'!BL95,"")</f>
        <v/>
      </c>
      <c r="BE79" t="str">
        <f>IF('TRACKER - 20220622'!BM95&lt;&gt;"",'TRACKER - 20220622'!BM95,"")</f>
        <v/>
      </c>
      <c r="BF79" t="str">
        <f>IF('TRACKER - 20220622'!BN95&lt;&gt;"",'TRACKER - 20220622'!BN95,"")</f>
        <v/>
      </c>
      <c r="BG79" t="str">
        <f>IF('TRACKER - 20220622'!BO95&lt;&gt;"",'TRACKER - 20220622'!BO95,"")</f>
        <v/>
      </c>
    </row>
    <row r="80" spans="1:59">
      <c r="A80" t="str">
        <f>IF('TRACKER - 20220622'!A96&lt;&gt;"",UPPER('TRACKER - 20220622'!A96),"")</f>
        <v>PRODUCT ROADMAP</v>
      </c>
      <c r="B80" t="str">
        <f>IF('TRACKER - 20220622'!B96&lt;&gt;"",UPPER('TRACKER - 20220622'!B96),"")</f>
        <v>N</v>
      </c>
      <c r="C80" t="str">
        <f>IF('TRACKER - 20220622'!D83&lt;&gt;"",UPPER('TRACKER - 20220622'!D83),"")</f>
        <v/>
      </c>
      <c r="D80" t="str">
        <f>IF('TRACKER - 20220622'!F96&lt;&gt;"",UPPER('TRACKER - 20220622'!F96),"")</f>
        <v>PRD-REQ-2020-00015</v>
      </c>
      <c r="E80" t="str">
        <f>IF('TRACKER - 20220622'!H96&lt;&gt;"",'TRACKER - 20220622'!H96,"")</f>
        <v>Angular eTrader Refresh</v>
      </c>
      <c r="F80" t="str">
        <f t="shared" si="2"/>
        <v>PRD-REQ-2020-00015 Angular eTrader Refresh</v>
      </c>
      <c r="G80" t="str">
        <f t="shared" si="3"/>
        <v xml:space="preserve"> - Angular eTrader Refresh</v>
      </c>
      <c r="H80">
        <f>IF('TRACKER - 20220622'!J96&lt;&gt;"",'TRACKER - 20220622'!J96,"")</f>
        <v>0</v>
      </c>
      <c r="I80" t="str">
        <f>IF('TRACKER - 20220622'!K83&lt;&gt;"",UPPER('TRACKER - 20220622'!K83),"")</f>
        <v>44236</v>
      </c>
      <c r="J80" t="str">
        <f>IF('TRACKER - 20220622'!L83&lt;&gt;"",UPPER('TRACKER - 20220622'!L83),"")</f>
        <v>44236</v>
      </c>
      <c r="K80" t="str">
        <f>IF('TRACKER - 20220622'!M83&lt;&gt;"",UPPER('TRACKER - 20220622'!M83),"")</f>
        <v/>
      </c>
      <c r="L80" t="str">
        <f>IF('TRACKER - 20220622'!N83&lt;&gt;"",UPPER('TRACKER - 20220622'!N83),"")</f>
        <v/>
      </c>
      <c r="M80" t="str">
        <f>IF('TRACKER - 20220622'!O83&lt;&gt;"",UPPER('TRACKER - 20220622'!O83),"")</f>
        <v/>
      </c>
      <c r="N80" t="str">
        <f>IF('TRACKER - 20220622'!P83&lt;&gt;"",UPPER('TRACKER - 20220622'!P83),"")</f>
        <v/>
      </c>
      <c r="O80" t="str">
        <f>IF('TRACKER - 20220622'!Q83&lt;&gt;"",UPPER('TRACKER - 20220622'!Q83),"")</f>
        <v>PLATFORM</v>
      </c>
      <c r="P80" t="str">
        <f>IF('TRACKER - 20220622'!R83&lt;&gt;"",UPPER('TRACKER - 20220622'!R83),"")</f>
        <v>MARKET</v>
      </c>
      <c r="Q80" t="str">
        <f>IF('TRACKER - 20220622'!S83&lt;&gt;"",UPPER('TRACKER - 20220622'!S83),"")</f>
        <v/>
      </c>
      <c r="R80" t="str">
        <f>IF('TRACKER - 20220622'!T83&lt;&gt;"",UPPER('TRACKER - 20220622'!T83),"")</f>
        <v/>
      </c>
      <c r="S80" t="str">
        <f>IF('TRACKER - 20220622'!U83&lt;&gt;"",UPPER('TRACKER - 20220622'!U83),"")</f>
        <v/>
      </c>
      <c r="T80" t="str">
        <f>IF('TRACKER - 20220622'!V83&lt;&gt;"",UPPER('TRACKER - 20220622'!V83),"")</f>
        <v/>
      </c>
      <c r="U80" t="str">
        <f>IF('TRACKER - 20220622'!W83&lt;&gt;"",UPPER('TRACKER - 20220622'!W83),"")</f>
        <v/>
      </c>
      <c r="V80" t="str">
        <f>IF('TRACKER - 20220622'!X83&lt;&gt;"",UPPER('TRACKER - 20220622'!X83),"")</f>
        <v/>
      </c>
      <c r="W80" t="str">
        <f>IF('TRACKER - 20220622'!Y83&lt;&gt;"",UPPER('TRACKER - 20220622'!Y83),"")</f>
        <v>0</v>
      </c>
      <c r="X80" t="str">
        <f>IF('TRACKER - 20220622'!Z83&lt;&gt;"",UPPER('TRACKER - 20220622'!Z83),"")</f>
        <v>0</v>
      </c>
      <c r="Y80" t="str">
        <f>IF('TRACKER - 20220622'!AA83&lt;&gt;"",UPPER('TRACKER - 20220622'!AA83),"")</f>
        <v>0</v>
      </c>
      <c r="Z80" t="str">
        <f>IF('TRACKER - 20220622'!AB83&lt;&gt;"",UPPER('TRACKER - 20220622'!AB83),"")</f>
        <v>0</v>
      </c>
      <c r="AA80" t="str">
        <f>IF('TRACKER - 20220622'!AC83&lt;&gt;"",UPPER('TRACKER - 20220622'!AC83),"")</f>
        <v>0</v>
      </c>
      <c r="AB80" t="str">
        <f>IF('TRACKER - 20220622'!AE83&lt;&gt;"",UPPER('TRACKER - 20220622'!AE83),"")</f>
        <v>0</v>
      </c>
      <c r="AC80" t="str">
        <f>IF('TRACKER - 20220622'!AF83&lt;&gt;"",UPPER('TRACKER - 20220622'!AF83),"")</f>
        <v>0</v>
      </c>
      <c r="AD80" t="str">
        <f>IF('TRACKER - 20220622'!AG83&lt;&gt;"",UPPER('TRACKER - 20220622'!AG83),"")</f>
        <v>0</v>
      </c>
      <c r="AE80" t="str">
        <f>IF('TRACKER - 20220622'!AH83&lt;&gt;"",UPPER('TRACKER - 20220622'!AH83),"")</f>
        <v>-150</v>
      </c>
      <c r="AF80" t="str">
        <f>IF('TRACKER - 20220622'!AI83&lt;&gt;"",UPPER('TRACKER - 20220622'!AI83),"")</f>
        <v/>
      </c>
      <c r="AG80" t="str">
        <f>IF('TRACKER - 20220622'!AJ83&lt;&gt;"",UPPER('TRACKER - 20220622'!AJ83),"")</f>
        <v>0</v>
      </c>
      <c r="AH80" t="str">
        <f>IF('TRACKER - 20220622'!AK83&lt;&gt;"",UPPER('TRACKER - 20220622'!AK83),"")</f>
        <v/>
      </c>
      <c r="AI80" t="str">
        <f>IF('TRACKER - 20220622'!AL83&lt;&gt;"",UPPER('TRACKER - 20220622'!AL83),"")</f>
        <v>0</v>
      </c>
      <c r="AJ80" t="str">
        <f>IF('TRACKER - 20220622'!AM83&lt;&gt;"",UPPER('TRACKER - 20220622'!AM83),"")</f>
        <v>0</v>
      </c>
      <c r="AK80" t="str">
        <f>IF('TRACKER - 20220622'!AN83&lt;&gt;"",UPPER('TRACKER - 20220622'!AN83),"")</f>
        <v/>
      </c>
      <c r="AL80" t="str">
        <f>IF('TRACKER - 20220622'!AO83&lt;&gt;"",UPPER('TRACKER - 20220622'!AO83),"")</f>
        <v>0</v>
      </c>
      <c r="AM80" t="str">
        <f>IF('TRACKER - 20220622'!AP83&lt;&gt;"",UPPER('TRACKER - 20220622'!AP83),"")</f>
        <v>0</v>
      </c>
      <c r="AN80" t="str">
        <f>IF('TRACKER - 20220622'!AQ83&lt;&gt;"",UPPER('TRACKER - 20220622'!AQ83),"")</f>
        <v>0</v>
      </c>
      <c r="AO80" t="str">
        <f>IF('TRACKER - 20220622'!AR83&lt;&gt;"",UPPER('TRACKER - 20220622'!AR83),"")</f>
        <v>PRD</v>
      </c>
      <c r="AP80" t="str">
        <f>IF('TRACKER - 20220622'!AS83&lt;&gt;"",UPPER('TRACKER - 20220622'!AS83),"")</f>
        <v>BLG</v>
      </c>
      <c r="AQ80" t="str">
        <f>IF('TRACKER - 20220622'!AT83&lt;&gt;"",UPPER('TRACKER - 20220622'!AT83),"")</f>
        <v>N</v>
      </c>
      <c r="AR80" t="str">
        <f>IF('TRACKER - 20220622'!AU83&lt;&gt;"",UPPER('TRACKER - 20220622'!AU83),"")</f>
        <v>-150</v>
      </c>
      <c r="AS80" t="str">
        <f>IF('TRACKER - 20220622'!AV83&lt;&gt;"",UPPER('TRACKER - 20220622'!AV83),"")</f>
        <v/>
      </c>
      <c r="AT80" t="str">
        <f>IF('TRACKER - 20220622'!AW83&lt;&gt;"",UPPER('TRACKER - 20220622'!AW83),"")</f>
        <v xml:space="preserve">A CALLABLE BOND (REDEEMABLE BOND) IS A TYPE OF BOND THAT PROVIDES THE ISSUER WITH THE RIGHT BUT NOT THE OBLIGATION TO REDEEM THE BOND BEFORE ITS MATURITY DATE.
IN SIMPLE TERMS, A CALLABLE BOND ALLOWS THE ISSUING COMPANY TO PAY OFF THEIR DEBT EARLY.  
TYPICALLY, A BANK MAY CHOOSE TO CALL THEIR BOND IF MARKET INTEREST RATES MOVE IN A FAVOURABLE DIRECTION AND WILL ALLOW THEM TO BORROW AT A MORE BENEFICIAL RATE. </v>
      </c>
      <c r="AU80" t="str">
        <f>IF('TRACKER - 20220622'!AX83&lt;&gt;"",UPPER('TRACKER - 20220622'!AX83),"")</f>
        <v>CALLABLE BONDS ARE NOW FREQUENTLY REQUESTED DERIVATIVE IN TREASURY SALES AND THEY ARE NOW CONSIDERED MARKET STANDARD INSTRUMENTS.  
LIKE MMFS N26 HAVE EXPRESSED INTEREST, AS HAVE LUMINOR, INITIAL DISCUSSIONS SUGGEST THAT BACB AND ZENITH COULD ALSO BE TARGETED.</v>
      </c>
      <c r="AV80" t="str">
        <f>IF('TRACKER - 20220622'!BD96&lt;&gt;"",'TRACKER - 20220622'!BD96,"")</f>
        <v/>
      </c>
      <c r="AW80" t="str">
        <f>IF('TRACKER - 20220622'!BE96&lt;&gt;"",'TRACKER - 20220622'!BE96,"")</f>
        <v/>
      </c>
      <c r="AX80" t="str">
        <f>IF('TRACKER - 20220622'!BF96&lt;&gt;"",'TRACKER - 20220622'!BF96,"")</f>
        <v/>
      </c>
      <c r="AY80" t="str">
        <f>IF('TRACKER - 20220622'!BG96&lt;&gt;"",'TRACKER - 20220622'!BG96,"")</f>
        <v/>
      </c>
      <c r="AZ80" t="str">
        <f>IF('TRACKER - 20220622'!BH96&lt;&gt;"",'TRACKER - 20220622'!BH96,"")</f>
        <v/>
      </c>
      <c r="BA80" t="str">
        <f>IF('TRACKER - 20220622'!BI96&lt;&gt;"",'TRACKER - 20220622'!BI96,"")</f>
        <v/>
      </c>
      <c r="BB80" t="str">
        <f>IF('TRACKER - 20220622'!BJ96&lt;&gt;"",'TRACKER - 20220622'!BJ96,"")</f>
        <v/>
      </c>
      <c r="BC80" t="str">
        <f>IF('TRACKER - 20220622'!BK96&lt;&gt;"",'TRACKER - 20220622'!BK96,"")</f>
        <v/>
      </c>
      <c r="BD80" t="str">
        <f>IF('TRACKER - 20220622'!BL96&lt;&gt;"",'TRACKER - 20220622'!BL96,"")</f>
        <v/>
      </c>
      <c r="BE80" t="str">
        <f>IF('TRACKER - 20220622'!BM96&lt;&gt;"",'TRACKER - 20220622'!BM96,"")</f>
        <v/>
      </c>
      <c r="BF80" t="str">
        <f>IF('TRACKER - 20220622'!BN96&lt;&gt;"",'TRACKER - 20220622'!BN96,"")</f>
        <v/>
      </c>
      <c r="BG80" t="str">
        <f>IF('TRACKER - 20220622'!BO96&lt;&gt;"",'TRACKER - 20220622'!BO96,"")</f>
        <v/>
      </c>
    </row>
    <row r="81" spans="1:59">
      <c r="A81" t="str">
        <f>IF('TRACKER - 20220622'!A97&lt;&gt;"",UPPER('TRACKER - 20220622'!A97),"")</f>
        <v>PRODUCT ROADMAP</v>
      </c>
      <c r="B81" t="str">
        <f>IF('TRACKER - 20220622'!B97&lt;&gt;"",UPPER('TRACKER - 20220622'!B97),"")</f>
        <v>N</v>
      </c>
      <c r="C81" t="str">
        <f>IF('TRACKER - 20220622'!D84&lt;&gt;"",UPPER('TRACKER - 20220622'!D84),"")</f>
        <v/>
      </c>
      <c r="D81" t="str">
        <f>IF('TRACKER - 20220622'!F97&lt;&gt;"",UPPER('TRACKER - 20220622'!F97),"")</f>
        <v>PRD-REQ-2020-00016</v>
      </c>
      <c r="E81" t="str">
        <f>IF('TRACKER - 20220622'!H97&lt;&gt;"",'TRACKER - 20220622'!H97,"")</f>
        <v>Angular ePayments Refresh</v>
      </c>
      <c r="F81" t="str">
        <f t="shared" si="2"/>
        <v>PRD-REQ-2020-00016 Angular ePayments Refresh</v>
      </c>
      <c r="G81" t="str">
        <f t="shared" si="3"/>
        <v xml:space="preserve"> - Angular ePayments Refresh</v>
      </c>
      <c r="H81">
        <f>IF('TRACKER - 20220622'!J97&lt;&gt;"",'TRACKER - 20220622'!J97,"")</f>
        <v>0</v>
      </c>
      <c r="I81" t="str">
        <f>IF('TRACKER - 20220622'!K84&lt;&gt;"",UPPER('TRACKER - 20220622'!K84),"")</f>
        <v>44242</v>
      </c>
      <c r="J81" t="str">
        <f>IF('TRACKER - 20220622'!L84&lt;&gt;"",UPPER('TRACKER - 20220622'!L84),"")</f>
        <v>44242</v>
      </c>
      <c r="K81" t="str">
        <f>IF('TRACKER - 20220622'!M84&lt;&gt;"",UPPER('TRACKER - 20220622'!M84),"")</f>
        <v/>
      </c>
      <c r="L81" t="str">
        <f>IF('TRACKER - 20220622'!N84&lt;&gt;"",UPPER('TRACKER - 20220622'!N84),"")</f>
        <v/>
      </c>
      <c r="M81" t="str">
        <f>IF('TRACKER - 20220622'!O84&lt;&gt;"",UPPER('TRACKER - 20220622'!O84),"")</f>
        <v/>
      </c>
      <c r="N81" t="str">
        <f>IF('TRACKER - 20220622'!P84&lt;&gt;"",UPPER('TRACKER - 20220622'!P84),"")</f>
        <v/>
      </c>
      <c r="O81" t="str">
        <f>IF('TRACKER - 20220622'!Q84&lt;&gt;"",UPPER('TRACKER - 20220622'!Q84),"")</f>
        <v>TREASURY</v>
      </c>
      <c r="P81" t="str">
        <f>IF('TRACKER - 20220622'!R84&lt;&gt;"",UPPER('TRACKER - 20220622'!R84),"")</f>
        <v>PRODUCT</v>
      </c>
      <c r="Q81" t="str">
        <f>IF('TRACKER - 20220622'!S84&lt;&gt;"",UPPER('TRACKER - 20220622'!S84),"")</f>
        <v>DEFECT</v>
      </c>
      <c r="R81" t="str">
        <f>IF('TRACKER - 20220622'!T84&lt;&gt;"",UPPER('TRACKER - 20220622'!T84),"")</f>
        <v/>
      </c>
      <c r="S81" t="str">
        <f>IF('TRACKER - 20220622'!U84&lt;&gt;"",UPPER('TRACKER - 20220622'!U84),"")</f>
        <v/>
      </c>
      <c r="T81" t="str">
        <f>IF('TRACKER - 20220622'!V84&lt;&gt;"",UPPER('TRACKER - 20220622'!V84),"")</f>
        <v/>
      </c>
      <c r="U81" t="str">
        <f>IF('TRACKER - 20220622'!W84&lt;&gt;"",UPPER('TRACKER - 20220622'!W84),"")</f>
        <v/>
      </c>
      <c r="V81" t="str">
        <f>IF('TRACKER - 20220622'!X84&lt;&gt;"",UPPER('TRACKER - 20220622'!X84),"")</f>
        <v/>
      </c>
      <c r="W81" t="str">
        <f>IF('TRACKER - 20220622'!Y84&lt;&gt;"",UPPER('TRACKER - 20220622'!Y84),"")</f>
        <v>0</v>
      </c>
      <c r="X81" t="str">
        <f>IF('TRACKER - 20220622'!Z84&lt;&gt;"",UPPER('TRACKER - 20220622'!Z84),"")</f>
        <v>0</v>
      </c>
      <c r="Y81" t="str">
        <f>IF('TRACKER - 20220622'!AA84&lt;&gt;"",UPPER('TRACKER - 20220622'!AA84),"")</f>
        <v>0</v>
      </c>
      <c r="Z81" t="str">
        <f>IF('TRACKER - 20220622'!AB84&lt;&gt;"",UPPER('TRACKER - 20220622'!AB84),"")</f>
        <v>0</v>
      </c>
      <c r="AA81" t="str">
        <f>IF('TRACKER - 20220622'!AC84&lt;&gt;"",UPPER('TRACKER - 20220622'!AC84),"")</f>
        <v>0</v>
      </c>
      <c r="AB81" t="str">
        <f>IF('TRACKER - 20220622'!AE84&lt;&gt;"",UPPER('TRACKER - 20220622'!AE84),"")</f>
        <v>0</v>
      </c>
      <c r="AC81" t="str">
        <f>IF('TRACKER - 20220622'!AF84&lt;&gt;"",UPPER('TRACKER - 20220622'!AF84),"")</f>
        <v>0</v>
      </c>
      <c r="AD81" t="str">
        <f>IF('TRACKER - 20220622'!AG84&lt;&gt;"",UPPER('TRACKER - 20220622'!AG84),"")</f>
        <v>0</v>
      </c>
      <c r="AE81" t="str">
        <f>IF('TRACKER - 20220622'!AH84&lt;&gt;"",UPPER('TRACKER - 20220622'!AH84),"")</f>
        <v>-150</v>
      </c>
      <c r="AF81" t="str">
        <f>IF('TRACKER - 20220622'!AI84&lt;&gt;"",UPPER('TRACKER - 20220622'!AI84),"")</f>
        <v/>
      </c>
      <c r="AG81" t="str">
        <f>IF('TRACKER - 20220622'!AJ84&lt;&gt;"",UPPER('TRACKER - 20220622'!AJ84),"")</f>
        <v>0</v>
      </c>
      <c r="AH81" t="str">
        <f>IF('TRACKER - 20220622'!AK84&lt;&gt;"",UPPER('TRACKER - 20220622'!AK84),"")</f>
        <v/>
      </c>
      <c r="AI81" t="str">
        <f>IF('TRACKER - 20220622'!AL84&lt;&gt;"",UPPER('TRACKER - 20220622'!AL84),"")</f>
        <v>0</v>
      </c>
      <c r="AJ81" t="str">
        <f>IF('TRACKER - 20220622'!AM84&lt;&gt;"",UPPER('TRACKER - 20220622'!AM84),"")</f>
        <v>0</v>
      </c>
      <c r="AK81" t="str">
        <f>IF('TRACKER - 20220622'!AN84&lt;&gt;"",UPPER('TRACKER - 20220622'!AN84),"")</f>
        <v/>
      </c>
      <c r="AL81" t="str">
        <f>IF('TRACKER - 20220622'!AO84&lt;&gt;"",UPPER('TRACKER - 20220622'!AO84),"")</f>
        <v>0</v>
      </c>
      <c r="AM81" t="str">
        <f>IF('TRACKER - 20220622'!AP84&lt;&gt;"",UPPER('TRACKER - 20220622'!AP84),"")</f>
        <v>0</v>
      </c>
      <c r="AN81" t="str">
        <f>IF('TRACKER - 20220622'!AQ84&lt;&gt;"",UPPER('TRACKER - 20220622'!AQ84),"")</f>
        <v>0</v>
      </c>
      <c r="AO81" t="str">
        <f>IF('TRACKER - 20220622'!AR84&lt;&gt;"",UPPER('TRACKER - 20220622'!AR84),"")</f>
        <v>PRD</v>
      </c>
      <c r="AP81" t="str">
        <f>IF('TRACKER - 20220622'!AS84&lt;&gt;"",UPPER('TRACKER - 20220622'!AS84),"")</f>
        <v>BLG</v>
      </c>
      <c r="AQ81" t="str">
        <f>IF('TRACKER - 20220622'!AT84&lt;&gt;"",UPPER('TRACKER - 20220622'!AT84),"")</f>
        <v>N</v>
      </c>
      <c r="AR81" t="str">
        <f>IF('TRACKER - 20220622'!AU84&lt;&gt;"",UPPER('TRACKER - 20220622'!AU84),"")</f>
        <v>-150</v>
      </c>
      <c r="AS81" t="str">
        <f>IF('TRACKER - 20220622'!AV84&lt;&gt;"",UPPER('TRACKER - 20220622'!AV84),"")</f>
        <v/>
      </c>
      <c r="AT81" t="str">
        <f>IF('TRACKER - 20220622'!AW84&lt;&gt;"",UPPER('TRACKER - 20220622'!AW84),"")</f>
        <v>THE JAVAFX WORK IS PART OF A WEB TRANSITION STRATEGY PROVIDING APPROPRIATE GUI’S TO MEET THE DEMANDS OF ROLE IS STILL REQUIRED. THIS ROLE IS THE ONLY THICK-CLIENT ROLE THAT WILL REMAIN, DUE TO LOW-LATENCY REQUIREMENTS.
THIS ITEM COVERS THE WORK TO INVESTIGATE 
1) THE EFFORT TO MERGE THE LAST 12 MONTHS WORK INTO SIENA 6.0 BRANCH. 
2) TO CONFIRM ALL SCREENS REQUIRED. 
3) PROVIDE A FINAL ESTIMATE TO COMPLETE (INCLUDING BUILD, TEST, AND DOCS.</v>
      </c>
      <c r="AU81" t="str">
        <f>IF('TRACKER - 20220622'!AX84&lt;&gt;"",UPPER('TRACKER - 20220622'!AX84),"")</f>
        <v>WITH THIS THE SOLUTIONS ROLE IN A TREASURY TRADING ROOM IS RETAINED WHILE A MIGRATION OF OTHER ROLES TAKES PLACE FOR ROLES WHERE LOW LATENCY PRICING IS NOT REQUIREMENT.</v>
      </c>
      <c r="AV81" t="str">
        <f>IF('TRACKER - 20220622'!BD97&lt;&gt;"",'TRACKER - 20220622'!BD97,"")</f>
        <v/>
      </c>
      <c r="AW81" t="str">
        <f>IF('TRACKER - 20220622'!BE97&lt;&gt;"",'TRACKER - 20220622'!BE97,"")</f>
        <v/>
      </c>
      <c r="AX81" t="str">
        <f>IF('TRACKER - 20220622'!BF97&lt;&gt;"",'TRACKER - 20220622'!BF97,"")</f>
        <v/>
      </c>
      <c r="AY81" t="str">
        <f>IF('TRACKER - 20220622'!BG97&lt;&gt;"",'TRACKER - 20220622'!BG97,"")</f>
        <v/>
      </c>
      <c r="AZ81" t="str">
        <f>IF('TRACKER - 20220622'!BH97&lt;&gt;"",'TRACKER - 20220622'!BH97,"")</f>
        <v/>
      </c>
      <c r="BA81" t="str">
        <f>IF('TRACKER - 20220622'!BI97&lt;&gt;"",'TRACKER - 20220622'!BI97,"")</f>
        <v/>
      </c>
      <c r="BB81" t="str">
        <f>IF('TRACKER - 20220622'!BJ97&lt;&gt;"",'TRACKER - 20220622'!BJ97,"")</f>
        <v/>
      </c>
      <c r="BC81" t="str">
        <f>IF('TRACKER - 20220622'!BK97&lt;&gt;"",'TRACKER - 20220622'!BK97,"")</f>
        <v/>
      </c>
      <c r="BD81" t="str">
        <f>IF('TRACKER - 20220622'!BL97&lt;&gt;"",'TRACKER - 20220622'!BL97,"")</f>
        <v/>
      </c>
      <c r="BE81" t="str">
        <f>IF('TRACKER - 20220622'!BM97&lt;&gt;"",'TRACKER - 20220622'!BM97,"")</f>
        <v/>
      </c>
      <c r="BF81" t="str">
        <f>IF('TRACKER - 20220622'!BN97&lt;&gt;"",'TRACKER - 20220622'!BN97,"")</f>
        <v/>
      </c>
      <c r="BG81" t="str">
        <f>IF('TRACKER - 20220622'!BO97&lt;&gt;"",'TRACKER - 20220622'!BO97,"")</f>
        <v/>
      </c>
    </row>
    <row r="82" spans="1:59">
      <c r="A82" t="str">
        <f>IF('TRACKER - 20220622'!A98&lt;&gt;"",UPPER('TRACKER - 20220622'!A98),"")</f>
        <v>PRODUCT ROADMAP</v>
      </c>
      <c r="B82" t="str">
        <f>IF('TRACKER - 20220622'!B98&lt;&gt;"",UPPER('TRACKER - 20220622'!B98),"")</f>
        <v>N</v>
      </c>
      <c r="C82" t="str">
        <f>IF('TRACKER - 20220622'!D85&lt;&gt;"",UPPER('TRACKER - 20220622'!D85),"")</f>
        <v/>
      </c>
      <c r="D82" t="str">
        <f>IF('TRACKER - 20220622'!F98&lt;&gt;"",UPPER('TRACKER - 20220622'!F98),"")</f>
        <v>PRD-REQ-2020-00017</v>
      </c>
      <c r="E82" t="str">
        <f>IF('TRACKER - 20220622'!H98&lt;&gt;"",'TRACKER - 20220622'!H98,"")</f>
        <v>Angular Sales Desk</v>
      </c>
      <c r="F82" t="str">
        <f t="shared" si="2"/>
        <v>PRD-REQ-2020-00017 Angular Sales Desk</v>
      </c>
      <c r="G82" t="str">
        <f t="shared" si="3"/>
        <v xml:space="preserve"> - Angular Sales Desk</v>
      </c>
      <c r="H82">
        <f>IF('TRACKER - 20220622'!J98&lt;&gt;"",'TRACKER - 20220622'!J98,"")</f>
        <v>0</v>
      </c>
      <c r="I82" t="str">
        <f>IF('TRACKER - 20220622'!K85&lt;&gt;"",UPPER('TRACKER - 20220622'!K85),"")</f>
        <v>44244</v>
      </c>
      <c r="J82" t="str">
        <f>IF('TRACKER - 20220622'!L85&lt;&gt;"",UPPER('TRACKER - 20220622'!L85),"")</f>
        <v>44244</v>
      </c>
      <c r="K82" t="str">
        <f>IF('TRACKER - 20220622'!M85&lt;&gt;"",UPPER('TRACKER - 20220622'!M85),"")</f>
        <v/>
      </c>
      <c r="L82" t="str">
        <f>IF('TRACKER - 20220622'!N85&lt;&gt;"",UPPER('TRACKER - 20220622'!N85),"")</f>
        <v/>
      </c>
      <c r="M82" t="str">
        <f>IF('TRACKER - 20220622'!O85&lt;&gt;"",UPPER('TRACKER - 20220622'!O85),"")</f>
        <v/>
      </c>
      <c r="N82" t="str">
        <f>IF('TRACKER - 20220622'!P85&lt;&gt;"",UPPER('TRACKER - 20220622'!P85),"")</f>
        <v/>
      </c>
      <c r="O82" t="str">
        <f>IF('TRACKER - 20220622'!Q85&lt;&gt;"",UPPER('TRACKER - 20220622'!Q85),"")</f>
        <v>PLATFORM</v>
      </c>
      <c r="P82" t="str">
        <f>IF('TRACKER - 20220622'!R85&lt;&gt;"",UPPER('TRACKER - 20220622'!R85),"")</f>
        <v>TECHNICAL</v>
      </c>
      <c r="Q82" t="str">
        <f>IF('TRACKER - 20220622'!S85&lt;&gt;"",UPPER('TRACKER - 20220622'!S85),"")</f>
        <v/>
      </c>
      <c r="R82" t="str">
        <f>IF('TRACKER - 20220622'!T85&lt;&gt;"",UPPER('TRACKER - 20220622'!T85),"")</f>
        <v/>
      </c>
      <c r="S82" t="str">
        <f>IF('TRACKER - 20220622'!U85&lt;&gt;"",UPPER('TRACKER - 20220622'!U85),"")</f>
        <v/>
      </c>
      <c r="T82" t="str">
        <f>IF('TRACKER - 20220622'!V85&lt;&gt;"",UPPER('TRACKER - 20220622'!V85),"")</f>
        <v/>
      </c>
      <c r="U82" t="str">
        <f>IF('TRACKER - 20220622'!W85&lt;&gt;"",UPPER('TRACKER - 20220622'!W85),"")</f>
        <v/>
      </c>
      <c r="V82" t="str">
        <f>IF('TRACKER - 20220622'!X85&lt;&gt;"",UPPER('TRACKER - 20220622'!X85),"")</f>
        <v>FOUND WHEN CLONING DEALTYPES FOR CYNERGY - IF YOU CLONE A DEAL TYPE IT WORKS IN SIENA, THE GO INTO THE HARDCODED BUCKETS  INCLUDES BOTH FUNDAMENTAL &amp; DEAL TYPE CONFIG.</v>
      </c>
      <c r="W82" t="str">
        <f>IF('TRACKER - 20220622'!Y85&lt;&gt;"",UPPER('TRACKER - 20220622'!Y85),"")</f>
        <v>0</v>
      </c>
      <c r="X82" t="str">
        <f>IF('TRACKER - 20220622'!Z85&lt;&gt;"",UPPER('TRACKER - 20220622'!Z85),"")</f>
        <v>0</v>
      </c>
      <c r="Y82" t="str">
        <f>IF('TRACKER - 20220622'!AA85&lt;&gt;"",UPPER('TRACKER - 20220622'!AA85),"")</f>
        <v>0</v>
      </c>
      <c r="Z82" t="str">
        <f>IF('TRACKER - 20220622'!AB85&lt;&gt;"",UPPER('TRACKER - 20220622'!AB85),"")</f>
        <v>0</v>
      </c>
      <c r="AA82" t="str">
        <f>IF('TRACKER - 20220622'!AC85&lt;&gt;"",UPPER('TRACKER - 20220622'!AC85),"")</f>
        <v>0</v>
      </c>
      <c r="AB82" t="str">
        <f>IF('TRACKER - 20220622'!AE85&lt;&gt;"",UPPER('TRACKER - 20220622'!AE85),"")</f>
        <v>0</v>
      </c>
      <c r="AC82" t="str">
        <f>IF('TRACKER - 20220622'!AF85&lt;&gt;"",UPPER('TRACKER - 20220622'!AF85),"")</f>
        <v>0</v>
      </c>
      <c r="AD82" t="str">
        <f>IF('TRACKER - 20220622'!AG85&lt;&gt;"",UPPER('TRACKER - 20220622'!AG85),"")</f>
        <v>0</v>
      </c>
      <c r="AE82" t="str">
        <f>IF('TRACKER - 20220622'!AH85&lt;&gt;"",UPPER('TRACKER - 20220622'!AH85),"")</f>
        <v>-150</v>
      </c>
      <c r="AF82" t="str">
        <f>IF('TRACKER - 20220622'!AI85&lt;&gt;"",UPPER('TRACKER - 20220622'!AI85),"")</f>
        <v/>
      </c>
      <c r="AG82" t="str">
        <f>IF('TRACKER - 20220622'!AJ85&lt;&gt;"",UPPER('TRACKER - 20220622'!AJ85),"")</f>
        <v>0</v>
      </c>
      <c r="AH82" t="str">
        <f>IF('TRACKER - 20220622'!AK85&lt;&gt;"",UPPER('TRACKER - 20220622'!AK85),"")</f>
        <v/>
      </c>
      <c r="AI82" t="str">
        <f>IF('TRACKER - 20220622'!AL85&lt;&gt;"",UPPER('TRACKER - 20220622'!AL85),"")</f>
        <v>0</v>
      </c>
      <c r="AJ82" t="str">
        <f>IF('TRACKER - 20220622'!AM85&lt;&gt;"",UPPER('TRACKER - 20220622'!AM85),"")</f>
        <v>0</v>
      </c>
      <c r="AK82" t="str">
        <f>IF('TRACKER - 20220622'!AN85&lt;&gt;"",UPPER('TRACKER - 20220622'!AN85),"")</f>
        <v/>
      </c>
      <c r="AL82" t="str">
        <f>IF('TRACKER - 20220622'!AO85&lt;&gt;"",UPPER('TRACKER - 20220622'!AO85),"")</f>
        <v>0</v>
      </c>
      <c r="AM82" t="str">
        <f>IF('TRACKER - 20220622'!AP85&lt;&gt;"",UPPER('TRACKER - 20220622'!AP85),"")</f>
        <v>0</v>
      </c>
      <c r="AN82" t="str">
        <f>IF('TRACKER - 20220622'!AQ85&lt;&gt;"",UPPER('TRACKER - 20220622'!AQ85),"")</f>
        <v>0</v>
      </c>
      <c r="AO82" t="str">
        <f>IF('TRACKER - 20220622'!AR85&lt;&gt;"",UPPER('TRACKER - 20220622'!AR85),"")</f>
        <v>PRD</v>
      </c>
      <c r="AP82" t="str">
        <f>IF('TRACKER - 20220622'!AS85&lt;&gt;"",UPPER('TRACKER - 20220622'!AS85),"")</f>
        <v>BLG</v>
      </c>
      <c r="AQ82" t="str">
        <f>IF('TRACKER - 20220622'!AT85&lt;&gt;"",UPPER('TRACKER - 20220622'!AT85),"")</f>
        <v>N</v>
      </c>
      <c r="AR82" t="str">
        <f>IF('TRACKER - 20220622'!AU85&lt;&gt;"",UPPER('TRACKER - 20220622'!AU85),"")</f>
        <v>-150</v>
      </c>
      <c r="AS82" t="str">
        <f>IF('TRACKER - 20220622'!AV85&lt;&gt;"",UPPER('TRACKER - 20220622'!AV85),"")</f>
        <v/>
      </c>
      <c r="AT82" t="str">
        <f>IF('TRACKER - 20220622'!AW85&lt;&gt;"",UPPER('TRACKER - 20220622'!AW85),"")</f>
        <v>DESCR85</v>
      </c>
      <c r="AU82" t="str">
        <f>IF('TRACKER - 20220622'!AX85&lt;&gt;"",UPPER('TRACKER - 20220622'!AX85),"")</f>
        <v>REASON85</v>
      </c>
      <c r="AV82" t="str">
        <f>IF('TRACKER - 20220622'!BD98&lt;&gt;"",'TRACKER - 20220622'!BD98,"")</f>
        <v/>
      </c>
      <c r="AW82" t="str">
        <f>IF('TRACKER - 20220622'!BE98&lt;&gt;"",'TRACKER - 20220622'!BE98,"")</f>
        <v/>
      </c>
      <c r="AX82" t="str">
        <f>IF('TRACKER - 20220622'!BF98&lt;&gt;"",'TRACKER - 20220622'!BF98,"")</f>
        <v/>
      </c>
      <c r="AY82" t="str">
        <f>IF('TRACKER - 20220622'!BG98&lt;&gt;"",'TRACKER - 20220622'!BG98,"")</f>
        <v/>
      </c>
      <c r="AZ82" t="str">
        <f>IF('TRACKER - 20220622'!BH98&lt;&gt;"",'TRACKER - 20220622'!BH98,"")</f>
        <v/>
      </c>
      <c r="BA82" t="str">
        <f>IF('TRACKER - 20220622'!BI98&lt;&gt;"",'TRACKER - 20220622'!BI98,"")</f>
        <v/>
      </c>
      <c r="BB82" t="str">
        <f>IF('TRACKER - 20220622'!BJ98&lt;&gt;"",'TRACKER - 20220622'!BJ98,"")</f>
        <v/>
      </c>
      <c r="BC82" t="str">
        <f>IF('TRACKER - 20220622'!BK98&lt;&gt;"",'TRACKER - 20220622'!BK98,"")</f>
        <v/>
      </c>
      <c r="BD82" t="str">
        <f>IF('TRACKER - 20220622'!BL98&lt;&gt;"",'TRACKER - 20220622'!BL98,"")</f>
        <v/>
      </c>
      <c r="BE82" t="str">
        <f>IF('TRACKER - 20220622'!BM98&lt;&gt;"",'TRACKER - 20220622'!BM98,"")</f>
        <v/>
      </c>
      <c r="BF82" t="str">
        <f>IF('TRACKER - 20220622'!BN98&lt;&gt;"",'TRACKER - 20220622'!BN98,"")</f>
        <v/>
      </c>
      <c r="BG82" t="str">
        <f>IF('TRACKER - 20220622'!BO98&lt;&gt;"",'TRACKER - 20220622'!BO98,"")</f>
        <v/>
      </c>
    </row>
    <row r="83" spans="1:59">
      <c r="A83" t="str">
        <f>IF('TRACKER - 20220622'!A99&lt;&gt;"",UPPER('TRACKER - 20220622'!A99),"")</f>
        <v>PRODUCT ROADMAP</v>
      </c>
      <c r="B83" t="str">
        <f>IF('TRACKER - 20220622'!B99&lt;&gt;"",UPPER('TRACKER - 20220622'!B99),"")</f>
        <v>N</v>
      </c>
      <c r="C83" t="str">
        <f>IF('TRACKER - 20220622'!D86&lt;&gt;"",UPPER('TRACKER - 20220622'!D86),"")</f>
        <v/>
      </c>
      <c r="D83" t="str">
        <f>IF('TRACKER - 20220622'!F99&lt;&gt;"",UPPER('TRACKER - 20220622'!F99),"")</f>
        <v>PRD-REQ-2020-00019</v>
      </c>
      <c r="E83" t="str">
        <f>IF('TRACKER - 20220622'!H99&lt;&gt;"",'TRACKER - 20220622'!H99,"")</f>
        <v>BREXIT</v>
      </c>
      <c r="F83" t="str">
        <f t="shared" si="2"/>
        <v>PRD-REQ-2020-00019 BREXIT</v>
      </c>
      <c r="G83" t="str">
        <f t="shared" si="3"/>
        <v xml:space="preserve"> - BREXIT</v>
      </c>
      <c r="H83">
        <f>IF('TRACKER - 20220622'!J99&lt;&gt;"",'TRACKER - 20220622'!J99,"")</f>
        <v>0</v>
      </c>
      <c r="I83" t="str">
        <f>IF('TRACKER - 20220622'!K86&lt;&gt;"",UPPER('TRACKER - 20220622'!K86),"")</f>
        <v>44242</v>
      </c>
      <c r="J83" t="str">
        <f>IF('TRACKER - 20220622'!L86&lt;&gt;"",UPPER('TRACKER - 20220622'!L86),"")</f>
        <v>44242</v>
      </c>
      <c r="K83" t="str">
        <f>IF('TRACKER - 20220622'!M86&lt;&gt;"",UPPER('TRACKER - 20220622'!M86),"")</f>
        <v/>
      </c>
      <c r="L83" t="str">
        <f>IF('TRACKER - 20220622'!N86&lt;&gt;"",UPPER('TRACKER - 20220622'!N86),"")</f>
        <v/>
      </c>
      <c r="M83" t="str">
        <f>IF('TRACKER - 20220622'!O86&lt;&gt;"",UPPER('TRACKER - 20220622'!O86),"")</f>
        <v/>
      </c>
      <c r="N83" t="str">
        <f>IF('TRACKER - 20220622'!P86&lt;&gt;"",UPPER('TRACKER - 20220622'!P86),"")</f>
        <v/>
      </c>
      <c r="O83" t="str">
        <f>IF('TRACKER - 20220622'!Q86&lt;&gt;"",UPPER('TRACKER - 20220622'!Q86),"")</f>
        <v>PLATFORM</v>
      </c>
      <c r="P83" t="str">
        <f>IF('TRACKER - 20220622'!R86&lt;&gt;"",UPPER('TRACKER - 20220622'!R86),"")</f>
        <v>TECHNICAL</v>
      </c>
      <c r="Q83" t="str">
        <f>IF('TRACKER - 20220622'!S86&lt;&gt;"",UPPER('TRACKER - 20220622'!S86),"")</f>
        <v/>
      </c>
      <c r="R83" t="str">
        <f>IF('TRACKER - 20220622'!T86&lt;&gt;"",UPPER('TRACKER - 20220622'!T86),"")</f>
        <v/>
      </c>
      <c r="S83" t="str">
        <f>IF('TRACKER - 20220622'!U86&lt;&gt;"",UPPER('TRACKER - 20220622'!U86),"")</f>
        <v/>
      </c>
      <c r="T83" t="str">
        <f>IF('TRACKER - 20220622'!V86&lt;&gt;"",UPPER('TRACKER - 20220622'!V86),"")</f>
        <v/>
      </c>
      <c r="U83" t="str">
        <f>IF('TRACKER - 20220622'!W86&lt;&gt;"",UPPER('TRACKER - 20220622'!W86),"")</f>
        <v/>
      </c>
      <c r="V83" t="str">
        <f>IF('TRACKER - 20220622'!X86&lt;&gt;"",UPPER('TRACKER - 20220622'!X86),"")</f>
        <v xml:space="preserve">IMPROVE THE QUALITY OF THE LOGGED OUTPUT TO INLUCDE HUMAN *UNDERSTANDABLE* MESSAGES WHERE POSSIBLE. </v>
      </c>
      <c r="W83" t="str">
        <f>IF('TRACKER - 20220622'!Y86&lt;&gt;"",UPPER('TRACKER - 20220622'!Y86),"")</f>
        <v>0</v>
      </c>
      <c r="X83" t="str">
        <f>IF('TRACKER - 20220622'!Z86&lt;&gt;"",UPPER('TRACKER - 20220622'!Z86),"")</f>
        <v>0</v>
      </c>
      <c r="Y83" t="str">
        <f>IF('TRACKER - 20220622'!AA86&lt;&gt;"",UPPER('TRACKER - 20220622'!AA86),"")</f>
        <v>0</v>
      </c>
      <c r="Z83" t="str">
        <f>IF('TRACKER - 20220622'!AB86&lt;&gt;"",UPPER('TRACKER - 20220622'!AB86),"")</f>
        <v>0</v>
      </c>
      <c r="AA83" t="str">
        <f>IF('TRACKER - 20220622'!AC86&lt;&gt;"",UPPER('TRACKER - 20220622'!AC86),"")</f>
        <v>0</v>
      </c>
      <c r="AB83" t="str">
        <f>IF('TRACKER - 20220622'!AE86&lt;&gt;"",UPPER('TRACKER - 20220622'!AE86),"")</f>
        <v>0</v>
      </c>
      <c r="AC83" t="str">
        <f>IF('TRACKER - 20220622'!AF86&lt;&gt;"",UPPER('TRACKER - 20220622'!AF86),"")</f>
        <v>0</v>
      </c>
      <c r="AD83" t="str">
        <f>IF('TRACKER - 20220622'!AG86&lt;&gt;"",UPPER('TRACKER - 20220622'!AG86),"")</f>
        <v>0</v>
      </c>
      <c r="AE83" t="str">
        <f>IF('TRACKER - 20220622'!AH86&lt;&gt;"",UPPER('TRACKER - 20220622'!AH86),"")</f>
        <v>-150</v>
      </c>
      <c r="AF83" t="str">
        <f>IF('TRACKER - 20220622'!AI86&lt;&gt;"",UPPER('TRACKER - 20220622'!AI86),"")</f>
        <v/>
      </c>
      <c r="AG83" t="str">
        <f>IF('TRACKER - 20220622'!AJ86&lt;&gt;"",UPPER('TRACKER - 20220622'!AJ86),"")</f>
        <v>0</v>
      </c>
      <c r="AH83" t="str">
        <f>IF('TRACKER - 20220622'!AK86&lt;&gt;"",UPPER('TRACKER - 20220622'!AK86),"")</f>
        <v/>
      </c>
      <c r="AI83" t="str">
        <f>IF('TRACKER - 20220622'!AL86&lt;&gt;"",UPPER('TRACKER - 20220622'!AL86),"")</f>
        <v>0</v>
      </c>
      <c r="AJ83" t="str">
        <f>IF('TRACKER - 20220622'!AM86&lt;&gt;"",UPPER('TRACKER - 20220622'!AM86),"")</f>
        <v>0</v>
      </c>
      <c r="AK83" t="str">
        <f>IF('TRACKER - 20220622'!AN86&lt;&gt;"",UPPER('TRACKER - 20220622'!AN86),"")</f>
        <v/>
      </c>
      <c r="AL83" t="str">
        <f>IF('TRACKER - 20220622'!AO86&lt;&gt;"",UPPER('TRACKER - 20220622'!AO86),"")</f>
        <v>0</v>
      </c>
      <c r="AM83" t="str">
        <f>IF('TRACKER - 20220622'!AP86&lt;&gt;"",UPPER('TRACKER - 20220622'!AP86),"")</f>
        <v>0</v>
      </c>
      <c r="AN83" t="str">
        <f>IF('TRACKER - 20220622'!AQ86&lt;&gt;"",UPPER('TRACKER - 20220622'!AQ86),"")</f>
        <v>0</v>
      </c>
      <c r="AO83" t="str">
        <f>IF('TRACKER - 20220622'!AR86&lt;&gt;"",UPPER('TRACKER - 20220622'!AR86),"")</f>
        <v>PRD</v>
      </c>
      <c r="AP83" t="str">
        <f>IF('TRACKER - 20220622'!AS86&lt;&gt;"",UPPER('TRACKER - 20220622'!AS86),"")</f>
        <v>BLG</v>
      </c>
      <c r="AQ83" t="str">
        <f>IF('TRACKER - 20220622'!AT86&lt;&gt;"",UPPER('TRACKER - 20220622'!AT86),"")</f>
        <v>N</v>
      </c>
      <c r="AR83" t="str">
        <f>IF('TRACKER - 20220622'!AU86&lt;&gt;"",UPPER('TRACKER - 20220622'!AU86),"")</f>
        <v>-150</v>
      </c>
      <c r="AS83" t="str">
        <f>IF('TRACKER - 20220622'!AV86&lt;&gt;"",UPPER('TRACKER - 20220622'!AV86),"")</f>
        <v/>
      </c>
      <c r="AT83" t="str">
        <f>IF('TRACKER - 20220622'!AW86&lt;&gt;"",UPPER('TRACKER - 20220622'!AW86),"")</f>
        <v>DESCR86</v>
      </c>
      <c r="AU83" t="str">
        <f>IF('TRACKER - 20220622'!AX86&lt;&gt;"",UPPER('TRACKER - 20220622'!AX86),"")</f>
        <v>REASON86</v>
      </c>
      <c r="AV83" t="str">
        <f>IF('TRACKER - 20220622'!BD99&lt;&gt;"",'TRACKER - 20220622'!BD99,"")</f>
        <v/>
      </c>
      <c r="AW83" t="str">
        <f>IF('TRACKER - 20220622'!BE99&lt;&gt;"",'TRACKER - 20220622'!BE99,"")</f>
        <v/>
      </c>
      <c r="AX83" t="str">
        <f>IF('TRACKER - 20220622'!BF99&lt;&gt;"",'TRACKER - 20220622'!BF99,"")</f>
        <v/>
      </c>
      <c r="AY83" t="str">
        <f>IF('TRACKER - 20220622'!BG99&lt;&gt;"",'TRACKER - 20220622'!BG99,"")</f>
        <v/>
      </c>
      <c r="AZ83" t="str">
        <f>IF('TRACKER - 20220622'!BH99&lt;&gt;"",'TRACKER - 20220622'!BH99,"")</f>
        <v/>
      </c>
      <c r="BA83" t="str">
        <f>IF('TRACKER - 20220622'!BI99&lt;&gt;"",'TRACKER - 20220622'!BI99,"")</f>
        <v/>
      </c>
      <c r="BB83" t="str">
        <f>IF('TRACKER - 20220622'!BJ99&lt;&gt;"",'TRACKER - 20220622'!BJ99,"")</f>
        <v/>
      </c>
      <c r="BC83" t="str">
        <f>IF('TRACKER - 20220622'!BK99&lt;&gt;"",'TRACKER - 20220622'!BK99,"")</f>
        <v/>
      </c>
      <c r="BD83" t="str">
        <f>IF('TRACKER - 20220622'!BL99&lt;&gt;"",'TRACKER - 20220622'!BL99,"")</f>
        <v/>
      </c>
      <c r="BE83" t="str">
        <f>IF('TRACKER - 20220622'!BM99&lt;&gt;"",'TRACKER - 20220622'!BM99,"")</f>
        <v/>
      </c>
      <c r="BF83" t="str">
        <f>IF('TRACKER - 20220622'!BN99&lt;&gt;"",'TRACKER - 20220622'!BN99,"")</f>
        <v/>
      </c>
      <c r="BG83" t="str">
        <f>IF('TRACKER - 20220622'!BO99&lt;&gt;"",'TRACKER - 20220622'!BO99,"")</f>
        <v/>
      </c>
    </row>
    <row r="84" spans="1:59">
      <c r="A84" t="str">
        <f>IF('TRACKER - 20220622'!A101&lt;&gt;"",UPPER('TRACKER - 20220622'!A101),"")</f>
        <v>PRODUCT ROADMAP</v>
      </c>
      <c r="B84" t="str">
        <f>IF('TRACKER - 20220622'!B101&lt;&gt;"",UPPER('TRACKER - 20220622'!B101),"")</f>
        <v>N</v>
      </c>
      <c r="C84" t="str">
        <f>IF('TRACKER - 20220622'!D87&lt;&gt;"",UPPER('TRACKER - 20220622'!D87),"")</f>
        <v/>
      </c>
      <c r="D84" t="str">
        <f>IF('TRACKER - 20220622'!F101&lt;&gt;"",UPPER('TRACKER - 20220622'!F101),"")</f>
        <v>PRD-REQ-2019-00020</v>
      </c>
      <c r="E84" t="str">
        <f>IF('TRACKER - 20220622'!H101&lt;&gt;"",'TRACKER - 20220622'!H101,"")</f>
        <v>Money Market Funds (Buy/Sell - Not Issue)</v>
      </c>
      <c r="F84" t="str">
        <f t="shared" si="2"/>
        <v>PRD-REQ-2019-00020 Money Market Funds (Buy/Sell - Not Issue)</v>
      </c>
      <c r="G84" t="str">
        <f t="shared" si="3"/>
        <v xml:space="preserve"> - Money Market Funds (Buy/Sell - Not Issue)</v>
      </c>
      <c r="H84">
        <f>IF('TRACKER - 20220622'!J101&lt;&gt;"",'TRACKER - 20220622'!J101,"")</f>
        <v>-90000</v>
      </c>
      <c r="I84" t="str">
        <f>IF('TRACKER - 20220622'!K87&lt;&gt;"",UPPER('TRACKER - 20220622'!K87),"")</f>
        <v>44271</v>
      </c>
      <c r="J84" t="str">
        <f>IF('TRACKER - 20220622'!L87&lt;&gt;"",UPPER('TRACKER - 20220622'!L87),"")</f>
        <v>44271</v>
      </c>
      <c r="K84" t="str">
        <f>IF('TRACKER - 20220622'!M87&lt;&gt;"",UPPER('TRACKER - 20220622'!M87),"")</f>
        <v/>
      </c>
      <c r="L84" t="str">
        <f>IF('TRACKER - 20220622'!N87&lt;&gt;"",UPPER('TRACKER - 20220622'!N87),"")</f>
        <v/>
      </c>
      <c r="M84" t="str">
        <f>IF('TRACKER - 20220622'!O87&lt;&gt;"",UPPER('TRACKER - 20220622'!O87),"")</f>
        <v/>
      </c>
      <c r="N84" t="str">
        <f>IF('TRACKER - 20220622'!P87&lt;&gt;"",UPPER('TRACKER - 20220622'!P87),"")</f>
        <v/>
      </c>
      <c r="O84" t="str">
        <f>IF('TRACKER - 20220622'!Q87&lt;&gt;"",UPPER('TRACKER - 20220622'!Q87),"")</f>
        <v>PLATFORM</v>
      </c>
      <c r="P84" t="str">
        <f>IF('TRACKER - 20220622'!R87&lt;&gt;"",UPPER('TRACKER - 20220622'!R87),"")</f>
        <v>TECHNICAL</v>
      </c>
      <c r="Q84" t="str">
        <f>IF('TRACKER - 20220622'!S87&lt;&gt;"",UPPER('TRACKER - 20220622'!S87),"")</f>
        <v>NEW</v>
      </c>
      <c r="R84" t="str">
        <f>IF('TRACKER - 20220622'!T87&lt;&gt;"",UPPER('TRACKER - 20220622'!T87),"")</f>
        <v>HIGH</v>
      </c>
      <c r="S84" t="str">
        <f>IF('TRACKER - 20220622'!U87&lt;&gt;"",UPPER('TRACKER - 20220622'!U87),"")</f>
        <v>LOW</v>
      </c>
      <c r="T84" t="str">
        <f>IF('TRACKER - 20220622'!V87&lt;&gt;"",UPPER('TRACKER - 20220622'!V87),"")</f>
        <v/>
      </c>
      <c r="U84" t="str">
        <f>IF('TRACKER - 20220622'!W87&lt;&gt;"",UPPER('TRACKER - 20220622'!W87),"")</f>
        <v/>
      </c>
      <c r="V84" t="str">
        <f>IF('TRACKER - 20220622'!X87&lt;&gt;"",UPPER('TRACKER - 20220622'!X87),"")</f>
        <v>HTTPS://WWW.SANS.ORG/TOP25-SOFTWARE-ERRORS/
PLATFORM - CHAOS MONKEY? 
MT : CHECK COSTS OF JENKINS SANS 25 PLUGINS</v>
      </c>
      <c r="W84" t="str">
        <f>IF('TRACKER - 20220622'!Y87&lt;&gt;"",UPPER('TRACKER - 20220622'!Y87),"")</f>
        <v>0</v>
      </c>
      <c r="X84" t="str">
        <f>IF('TRACKER - 20220622'!Z87&lt;&gt;"",UPPER('TRACKER - 20220622'!Z87),"")</f>
        <v>0</v>
      </c>
      <c r="Y84" t="str">
        <f>IF('TRACKER - 20220622'!AA87&lt;&gt;"",UPPER('TRACKER - 20220622'!AA87),"")</f>
        <v>0</v>
      </c>
      <c r="Z84" t="str">
        <f>IF('TRACKER - 20220622'!AB87&lt;&gt;"",UPPER('TRACKER - 20220622'!AB87),"")</f>
        <v>0</v>
      </c>
      <c r="AA84" t="str">
        <f>IF('TRACKER - 20220622'!AC87&lt;&gt;"",UPPER('TRACKER - 20220622'!AC87),"")</f>
        <v>0</v>
      </c>
      <c r="AB84" t="str">
        <f>IF('TRACKER - 20220622'!AE87&lt;&gt;"",UPPER('TRACKER - 20220622'!AE87),"")</f>
        <v>0</v>
      </c>
      <c r="AC84" t="str">
        <f>IF('TRACKER - 20220622'!AF87&lt;&gt;"",UPPER('TRACKER - 20220622'!AF87),"")</f>
        <v>0</v>
      </c>
      <c r="AD84" t="str">
        <f>IF('TRACKER - 20220622'!AG87&lt;&gt;"",UPPER('TRACKER - 20220622'!AG87),"")</f>
        <v>0</v>
      </c>
      <c r="AE84" t="str">
        <f>IF('TRACKER - 20220622'!AH87&lt;&gt;"",UPPER('TRACKER - 20220622'!AH87),"")</f>
        <v>-150</v>
      </c>
      <c r="AF84" t="str">
        <f>IF('TRACKER - 20220622'!AI87&lt;&gt;"",UPPER('TRACKER - 20220622'!AI87),"")</f>
        <v/>
      </c>
      <c r="AG84" t="str">
        <f>IF('TRACKER - 20220622'!AJ87&lt;&gt;"",UPPER('TRACKER - 20220622'!AJ87),"")</f>
        <v>0</v>
      </c>
      <c r="AH84" t="str">
        <f>IF('TRACKER - 20220622'!AK87&lt;&gt;"",UPPER('TRACKER - 20220622'!AK87),"")</f>
        <v/>
      </c>
      <c r="AI84" t="str">
        <f>IF('TRACKER - 20220622'!AL87&lt;&gt;"",UPPER('TRACKER - 20220622'!AL87),"")</f>
        <v>0</v>
      </c>
      <c r="AJ84" t="str">
        <f>IF('TRACKER - 20220622'!AM87&lt;&gt;"",UPPER('TRACKER - 20220622'!AM87),"")</f>
        <v>0</v>
      </c>
      <c r="AK84" t="str">
        <f>IF('TRACKER - 20220622'!AN87&lt;&gt;"",UPPER('TRACKER - 20220622'!AN87),"")</f>
        <v/>
      </c>
      <c r="AL84" t="str">
        <f>IF('TRACKER - 20220622'!AO87&lt;&gt;"",UPPER('TRACKER - 20220622'!AO87),"")</f>
        <v>0</v>
      </c>
      <c r="AM84" t="str">
        <f>IF('TRACKER - 20220622'!AP87&lt;&gt;"",UPPER('TRACKER - 20220622'!AP87),"")</f>
        <v>0</v>
      </c>
      <c r="AN84" t="str">
        <f>IF('TRACKER - 20220622'!AQ87&lt;&gt;"",UPPER('TRACKER - 20220622'!AQ87),"")</f>
        <v>0</v>
      </c>
      <c r="AO84" t="str">
        <f>IF('TRACKER - 20220622'!AR87&lt;&gt;"",UPPER('TRACKER - 20220622'!AR87),"")</f>
        <v>PRD</v>
      </c>
      <c r="AP84" t="str">
        <f>IF('TRACKER - 20220622'!AS87&lt;&gt;"",UPPER('TRACKER - 20220622'!AS87),"")</f>
        <v>BLG</v>
      </c>
      <c r="AQ84" t="str">
        <f>IF('TRACKER - 20220622'!AT87&lt;&gt;"",UPPER('TRACKER - 20220622'!AT87),"")</f>
        <v>N</v>
      </c>
      <c r="AR84" t="str">
        <f>IF('TRACKER - 20220622'!AU87&lt;&gt;"",UPPER('TRACKER - 20220622'!AU87),"")</f>
        <v>-150</v>
      </c>
      <c r="AS84" t="str">
        <f>IF('TRACKER - 20220622'!AV87&lt;&gt;"",UPPER('TRACKER - 20220622'!AV87),"")</f>
        <v/>
      </c>
      <c r="AT84" t="str">
        <f>IF('TRACKER - 20220622'!AW87&lt;&gt;"",UPPER('TRACKER - 20220622'!AW87),"")</f>
        <v>V1 OF THE AGREEMENTS MANAGER TO BE COMPLETED/PACKAGED INCLUDING DOCUMENTATION AND ADDRESSING ANY USABILIUTY FEEDBACK FROM LUMINOR.</v>
      </c>
      <c r="AU84" t="str">
        <f>IF('TRACKER - 20220622'!AX87&lt;&gt;"",UPPER('TRACKER - 20220622'!AX87),"")</f>
        <v>AM IS INCLUDED IN MOST PROPOSALS, AND IF POSITIONED CORRECTLY CAN BE CROSS-SOLD INTO OUR CURRENT CUSTOMERS. 
RMB AND N26 HAVE EXPRESSED AN INTEREST. 
IN RMB IT COULD BECOME THEIR CENTRAL AGREEMENT MONITORING TOOL, FUTHER EMBEDDING US IN THEIR INFRASTRUCTURE.</v>
      </c>
      <c r="AV84" t="str">
        <f>IF('TRACKER - 20220622'!BD101&lt;&gt;"",'TRACKER - 20220622'!BD101,"")</f>
        <v/>
      </c>
      <c r="AW84" t="str">
        <f>IF('TRACKER - 20220622'!BE101&lt;&gt;"",'TRACKER - 20220622'!BE101,"")</f>
        <v/>
      </c>
      <c r="AX84" t="str">
        <f>IF('TRACKER - 20220622'!BF101&lt;&gt;"",'TRACKER - 20220622'!BF101,"")</f>
        <v/>
      </c>
      <c r="AY84" t="str">
        <f>IF('TRACKER - 20220622'!BG101&lt;&gt;"",'TRACKER - 20220622'!BG101,"")</f>
        <v/>
      </c>
      <c r="AZ84" t="str">
        <f>IF('TRACKER - 20220622'!BH101&lt;&gt;"",'TRACKER - 20220622'!BH101,"")</f>
        <v/>
      </c>
      <c r="BA84" t="str">
        <f>IF('TRACKER - 20220622'!BI101&lt;&gt;"",'TRACKER - 20220622'!BI101,"")</f>
        <v/>
      </c>
      <c r="BB84" t="str">
        <f>IF('TRACKER - 20220622'!BJ101&lt;&gt;"",'TRACKER - 20220622'!BJ101,"")</f>
        <v/>
      </c>
      <c r="BC84" t="str">
        <f>IF('TRACKER - 20220622'!BK101&lt;&gt;"",'TRACKER - 20220622'!BK101,"")</f>
        <v/>
      </c>
      <c r="BD84" t="str">
        <f>IF('TRACKER - 20220622'!BL101&lt;&gt;"",'TRACKER - 20220622'!BL101,"")</f>
        <v/>
      </c>
      <c r="BE84" t="str">
        <f>IF('TRACKER - 20220622'!BM101&lt;&gt;"",'TRACKER - 20220622'!BM101,"")</f>
        <v/>
      </c>
      <c r="BF84" t="str">
        <f>IF('TRACKER - 20220622'!BN101&lt;&gt;"",'TRACKER - 20220622'!BN101,"")</f>
        <v/>
      </c>
      <c r="BG84" t="str">
        <f>IF('TRACKER - 20220622'!BO101&lt;&gt;"",'TRACKER - 20220622'!BO101,"")</f>
        <v/>
      </c>
    </row>
    <row r="85" spans="1:59">
      <c r="A85" t="str">
        <f>IF('TRACKER - 20220622'!A102&lt;&gt;"",UPPER('TRACKER - 20220622'!A102),"")</f>
        <v>PRODUCT ROADMAP</v>
      </c>
      <c r="B85" t="str">
        <f>IF('TRACKER - 20220622'!B102&lt;&gt;"",UPPER('TRACKER - 20220622'!B102),"")</f>
        <v>N</v>
      </c>
      <c r="C85" t="str">
        <f>IF('TRACKER - 20220622'!D88&lt;&gt;"",UPPER('TRACKER - 20220622'!D88),"")</f>
        <v/>
      </c>
      <c r="D85" t="str">
        <f>IF('TRACKER - 20220622'!F102&lt;&gt;"",UPPER('TRACKER - 20220622'!F102),"")</f>
        <v>PRD-REQ-2019-00021</v>
      </c>
      <c r="E85" t="str">
        <f>IF('TRACKER - 20220622'!H102&lt;&gt;"",'TRACKER - 20220622'!H102,"")</f>
        <v>Callable Neg Intruments - Full &amp; Partial Execution</v>
      </c>
      <c r="F85" t="str">
        <f t="shared" si="2"/>
        <v>PRD-REQ-2019-00021 Callable Neg Intruments - Full &amp; Partial Execution</v>
      </c>
      <c r="G85" t="str">
        <f t="shared" si="3"/>
        <v xml:space="preserve"> - Callable Neg Intruments - Full &amp; Partial Execution</v>
      </c>
      <c r="H85">
        <f>IF('TRACKER - 20220622'!J102&lt;&gt;"",'TRACKER - 20220622'!J102,"")</f>
        <v>-50624.999999999993</v>
      </c>
      <c r="I85" t="str">
        <f>IF('TRACKER - 20220622'!K88&lt;&gt;"",UPPER('TRACKER - 20220622'!K88),"")</f>
        <v>44284</v>
      </c>
      <c r="J85" t="str">
        <f>IF('TRACKER - 20220622'!L88&lt;&gt;"",UPPER('TRACKER - 20220622'!L88),"")</f>
        <v>44284</v>
      </c>
      <c r="K85" t="str">
        <f>IF('TRACKER - 20220622'!M88&lt;&gt;"",UPPER('TRACKER - 20220622'!M88),"")</f>
        <v/>
      </c>
      <c r="L85" t="str">
        <f>IF('TRACKER - 20220622'!N88&lt;&gt;"",UPPER('TRACKER - 20220622'!N88),"")</f>
        <v/>
      </c>
      <c r="M85" t="str">
        <f>IF('TRACKER - 20220622'!O88&lt;&gt;"",UPPER('TRACKER - 20220622'!O88),"")</f>
        <v/>
      </c>
      <c r="N85" t="str">
        <f>IF('TRACKER - 20220622'!P88&lt;&gt;"",UPPER('TRACKER - 20220622'!P88),"")</f>
        <v/>
      </c>
      <c r="O85" t="str">
        <f>IF('TRACKER - 20220622'!Q88&lt;&gt;"",UPPER('TRACKER - 20220622'!Q88),"")</f>
        <v>EPAYMENTS</v>
      </c>
      <c r="P85" t="str">
        <f>IF('TRACKER - 20220622'!R88&lt;&gt;"",UPPER('TRACKER - 20220622'!R88),"")</f>
        <v>MARKET</v>
      </c>
      <c r="Q85" t="str">
        <f>IF('TRACKER - 20220622'!S88&lt;&gt;"",UPPER('TRACKER - 20220622'!S88),"")</f>
        <v>GAP</v>
      </c>
      <c r="R85" t="str">
        <f>IF('TRACKER - 20220622'!T88&lt;&gt;"",UPPER('TRACKER - 20220622'!T88),"")</f>
        <v>LOW</v>
      </c>
      <c r="S85" t="str">
        <f>IF('TRACKER - 20220622'!U88&lt;&gt;"",UPPER('TRACKER - 20220622'!U88),"")</f>
        <v>LOW</v>
      </c>
      <c r="T85" t="str">
        <f>IF('TRACKER - 20220622'!V88&lt;&gt;"",UPPER('TRACKER - 20220622'!V88),"")</f>
        <v>44356</v>
      </c>
      <c r="U85" t="str">
        <f>IF('TRACKER - 20220622'!W88&lt;&gt;"",UPPER('TRACKER - 20220622'!W88),"")</f>
        <v>DISCUSSED BETWEEN MN/DF/MT/OE - NOT A MAJOR PRIORITY, CAN BE REOPENED IF PROMPTED BY CLIENTS OR PROSPECT.</v>
      </c>
      <c r="V85" t="str">
        <f>IF('TRACKER - 20220622'!X88&lt;&gt;"",UPPER('TRACKER - 20220622'!X88),"")</f>
        <v>29/03/21 - ACCOUNT NUMBERS IN EPAYMENT PAYEES SHOULD BE MASKED TO DISPLAY ONLY N' NUMBER OF DIGITS. DISPLAYING THE FULL IBAN/ACCOUNT NUMBER IS CONSIDERED BAD PRACTICE.\
09/06/21 - DISCUSSED BETWEEN MN/DF/MT/OE - NOT A MAJOR PRIORITY, CAN BE REOPENED IF PROMPTED BY CLIENTS OR PROSPECT.</v>
      </c>
      <c r="W85" t="str">
        <f>IF('TRACKER - 20220622'!Y88&lt;&gt;"",UPPER('TRACKER - 20220622'!Y88),"")</f>
        <v>0</v>
      </c>
      <c r="X85" t="str">
        <f>IF('TRACKER - 20220622'!Z88&lt;&gt;"",UPPER('TRACKER - 20220622'!Z88),"")</f>
        <v>0</v>
      </c>
      <c r="Y85" t="str">
        <f>IF('TRACKER - 20220622'!AA88&lt;&gt;"",UPPER('TRACKER - 20220622'!AA88),"")</f>
        <v>0</v>
      </c>
      <c r="Z85" t="str">
        <f>IF('TRACKER - 20220622'!AB88&lt;&gt;"",UPPER('TRACKER - 20220622'!AB88),"")</f>
        <v>0</v>
      </c>
      <c r="AA85" t="str">
        <f>IF('TRACKER - 20220622'!AC88&lt;&gt;"",UPPER('TRACKER - 20220622'!AC88),"")</f>
        <v>0</v>
      </c>
      <c r="AB85" t="str">
        <f>IF('TRACKER - 20220622'!AE88&lt;&gt;"",UPPER('TRACKER - 20220622'!AE88),"")</f>
        <v>0</v>
      </c>
      <c r="AC85" t="str">
        <f>IF('TRACKER - 20220622'!AF88&lt;&gt;"",UPPER('TRACKER - 20220622'!AF88),"")</f>
        <v>0</v>
      </c>
      <c r="AD85" t="str">
        <f>IF('TRACKER - 20220622'!AG88&lt;&gt;"",UPPER('TRACKER - 20220622'!AG88),"")</f>
        <v>0</v>
      </c>
      <c r="AE85" t="str">
        <f>IF('TRACKER - 20220622'!AH88&lt;&gt;"",UPPER('TRACKER - 20220622'!AH88),"")</f>
        <v>-150</v>
      </c>
      <c r="AF85" t="str">
        <f>IF('TRACKER - 20220622'!AI88&lt;&gt;"",UPPER('TRACKER - 20220622'!AI88),"")</f>
        <v/>
      </c>
      <c r="AG85" t="str">
        <f>IF('TRACKER - 20220622'!AJ88&lt;&gt;"",UPPER('TRACKER - 20220622'!AJ88),"")</f>
        <v>0</v>
      </c>
      <c r="AH85" t="str">
        <f>IF('TRACKER - 20220622'!AK88&lt;&gt;"",UPPER('TRACKER - 20220622'!AK88),"")</f>
        <v/>
      </c>
      <c r="AI85" t="str">
        <f>IF('TRACKER - 20220622'!AL88&lt;&gt;"",UPPER('TRACKER - 20220622'!AL88),"")</f>
        <v>0</v>
      </c>
      <c r="AJ85" t="str">
        <f>IF('TRACKER - 20220622'!AM88&lt;&gt;"",UPPER('TRACKER - 20220622'!AM88),"")</f>
        <v>0</v>
      </c>
      <c r="AK85" t="str">
        <f>IF('TRACKER - 20220622'!AN88&lt;&gt;"",UPPER('TRACKER - 20220622'!AN88),"")</f>
        <v/>
      </c>
      <c r="AL85" t="str">
        <f>IF('TRACKER - 20220622'!AO88&lt;&gt;"",UPPER('TRACKER - 20220622'!AO88),"")</f>
        <v>0</v>
      </c>
      <c r="AM85" t="str">
        <f>IF('TRACKER - 20220622'!AP88&lt;&gt;"",UPPER('TRACKER - 20220622'!AP88),"")</f>
        <v>0</v>
      </c>
      <c r="AN85" t="str">
        <f>IF('TRACKER - 20220622'!AQ88&lt;&gt;"",UPPER('TRACKER - 20220622'!AQ88),"")</f>
        <v>0</v>
      </c>
      <c r="AO85" t="str">
        <f>IF('TRACKER - 20220622'!AR88&lt;&gt;"",UPPER('TRACKER - 20220622'!AR88),"")</f>
        <v>PRD</v>
      </c>
      <c r="AP85" t="str">
        <f>IF('TRACKER - 20220622'!AS88&lt;&gt;"",UPPER('TRACKER - 20220622'!AS88),"")</f>
        <v>BLG</v>
      </c>
      <c r="AQ85" t="str">
        <f>IF('TRACKER - 20220622'!AT88&lt;&gt;"",UPPER('TRACKER - 20220622'!AT88),"")</f>
        <v>N</v>
      </c>
      <c r="AR85" t="str">
        <f>IF('TRACKER - 20220622'!AU88&lt;&gt;"",UPPER('TRACKER - 20220622'!AU88),"")</f>
        <v>-150</v>
      </c>
      <c r="AS85" t="str">
        <f>IF('TRACKER - 20220622'!AV88&lt;&gt;"",UPPER('TRACKER - 20220622'!AV88),"")</f>
        <v/>
      </c>
      <c r="AT85" t="str">
        <f>IF('TRACKER - 20220622'!AW88&lt;&gt;"",UPPER('TRACKER - 20220622'!AW88),"")</f>
        <v>DESCR88</v>
      </c>
      <c r="AU85" t="str">
        <f>IF('TRACKER - 20220622'!AX88&lt;&gt;"",UPPER('TRACKER - 20220622'!AX88),"")</f>
        <v>REASON88</v>
      </c>
      <c r="AV85" t="str">
        <f>IF('TRACKER - 20220622'!BD102&lt;&gt;"",'TRACKER - 20220622'!BD102,"")</f>
        <v/>
      </c>
      <c r="AW85" t="str">
        <f>IF('TRACKER - 20220622'!BE102&lt;&gt;"",'TRACKER - 20220622'!BE102,"")</f>
        <v/>
      </c>
      <c r="AX85" t="str">
        <f>IF('TRACKER - 20220622'!BF102&lt;&gt;"",'TRACKER - 20220622'!BF102,"")</f>
        <v/>
      </c>
      <c r="AY85" t="str">
        <f>IF('TRACKER - 20220622'!BG102&lt;&gt;"",'TRACKER - 20220622'!BG102,"")</f>
        <v/>
      </c>
      <c r="AZ85" t="str">
        <f>IF('TRACKER - 20220622'!BH102&lt;&gt;"",'TRACKER - 20220622'!BH102,"")</f>
        <v/>
      </c>
      <c r="BA85" t="str">
        <f>IF('TRACKER - 20220622'!BI102&lt;&gt;"",'TRACKER - 20220622'!BI102,"")</f>
        <v/>
      </c>
      <c r="BB85" t="str">
        <f>IF('TRACKER - 20220622'!BJ102&lt;&gt;"",'TRACKER - 20220622'!BJ102,"")</f>
        <v/>
      </c>
      <c r="BC85" t="str">
        <f>IF('TRACKER - 20220622'!BK102&lt;&gt;"",'TRACKER - 20220622'!BK102,"")</f>
        <v/>
      </c>
      <c r="BD85" t="str">
        <f>IF('TRACKER - 20220622'!BL102&lt;&gt;"",'TRACKER - 20220622'!BL102,"")</f>
        <v/>
      </c>
      <c r="BE85" t="str">
        <f>IF('TRACKER - 20220622'!BM102&lt;&gt;"",'TRACKER - 20220622'!BM102,"")</f>
        <v/>
      </c>
      <c r="BF85" t="str">
        <f>IF('TRACKER - 20220622'!BN102&lt;&gt;"",'TRACKER - 20220622'!BN102,"")</f>
        <v/>
      </c>
      <c r="BG85" t="str">
        <f>IF('TRACKER - 20220622'!BO102&lt;&gt;"",'TRACKER - 20220622'!BO102,"")</f>
        <v/>
      </c>
    </row>
    <row r="86" spans="1:59">
      <c r="A86" t="str">
        <f>IF('TRACKER - 20220622'!A103&lt;&gt;"",UPPER('TRACKER - 20220622'!A103),"")</f>
        <v>PRODUCT ROADMAP</v>
      </c>
      <c r="B86" t="str">
        <f>IF('TRACKER - 20220622'!B103&lt;&gt;"",UPPER('TRACKER - 20220622'!B103),"")</f>
        <v>N</v>
      </c>
      <c r="C86" t="str">
        <f>IF('TRACKER - 20220622'!D89&lt;&gt;"",UPPER('TRACKER - 20220622'!D89),"")</f>
        <v>1</v>
      </c>
      <c r="D86" t="str">
        <f>IF('TRACKER - 20220622'!F103&lt;&gt;"",UPPER('TRACKER - 20220622'!F103),"")</f>
        <v>PRD-REQ-2020-00021</v>
      </c>
      <c r="E86" t="str">
        <f>IF('TRACKER - 20220622'!H103&lt;&gt;"",'TRACKER - 20220622'!H103,"")</f>
        <v>Siena 6.0 - JavaFX - Traders Role - Assessment &amp; Planning</v>
      </c>
      <c r="F86" t="str">
        <f t="shared" si="2"/>
        <v>PRD-REQ-2020-00021 Siena 6.0 - JavaFX - Traders Role - Assessment &amp; Planning</v>
      </c>
      <c r="G86" t="str">
        <f t="shared" si="3"/>
        <v>00001 - Siena 6.0 - JavaFX - Traders Role - Assessment &amp; Planning</v>
      </c>
      <c r="H86">
        <f>IF('TRACKER - 20220622'!J103&lt;&gt;"",'TRACKER - 20220622'!J103,"")</f>
        <v>-16875</v>
      </c>
      <c r="I86" t="str">
        <f>IF('TRACKER - 20220622'!K89&lt;&gt;"",UPPER('TRACKER - 20220622'!K89),"")</f>
        <v>43952</v>
      </c>
      <c r="J86" t="str">
        <f>IF('TRACKER - 20220622'!L89&lt;&gt;"",UPPER('TRACKER - 20220622'!L89),"")</f>
        <v>43952</v>
      </c>
      <c r="K86" t="str">
        <f>IF('TRACKER - 20220622'!M89&lt;&gt;"",UPPER('TRACKER - 20220622'!M89),"")</f>
        <v/>
      </c>
      <c r="L86" t="str">
        <f>IF('TRACKER - 20220622'!N89&lt;&gt;"",UPPER('TRACKER - 20220622'!N89),"")</f>
        <v/>
      </c>
      <c r="M86" t="str">
        <f>IF('TRACKER - 20220622'!O89&lt;&gt;"",UPPER('TRACKER - 20220622'!O89),"")</f>
        <v/>
      </c>
      <c r="N86" t="str">
        <f>IF('TRACKER - 20220622'!P89&lt;&gt;"",UPPER('TRACKER - 20220622'!P89),"")</f>
        <v/>
      </c>
      <c r="O86" t="str">
        <f>IF('TRACKER - 20220622'!Q89&lt;&gt;"",UPPER('TRACKER - 20220622'!Q89),"")</f>
        <v>PARTNER</v>
      </c>
      <c r="P86" t="str">
        <f>IF('TRACKER - 20220622'!R89&lt;&gt;"",UPPER('TRACKER - 20220622'!R89),"")</f>
        <v>MARKET</v>
      </c>
      <c r="Q86" t="str">
        <f>IF('TRACKER - 20220622'!S89&lt;&gt;"",UPPER('TRACKER - 20220622'!S89),"")</f>
        <v/>
      </c>
      <c r="R86" t="str">
        <f>IF('TRACKER - 20220622'!T89&lt;&gt;"",UPPER('TRACKER - 20220622'!T89),"")</f>
        <v/>
      </c>
      <c r="S86" t="str">
        <f>IF('TRACKER - 20220622'!U89&lt;&gt;"",UPPER('TRACKER - 20220622'!U89),"")</f>
        <v/>
      </c>
      <c r="T86" t="str">
        <f>IF('TRACKER - 20220622'!V89&lt;&gt;"",UPPER('TRACKER - 20220622'!V89),"")</f>
        <v/>
      </c>
      <c r="U86" t="str">
        <f>IF('TRACKER - 20220622'!W89&lt;&gt;"",UPPER('TRACKER - 20220622'!W89),"")</f>
        <v/>
      </c>
      <c r="V86" t="str">
        <f>IF('TRACKER - 20220622'!X89&lt;&gt;"",UPPER('TRACKER - 20220622'!X89),"")</f>
        <v>15/09/20 - SELECTED TO PRODUCT ROADMAP INVESTIGATION</v>
      </c>
      <c r="W86" t="str">
        <f>IF('TRACKER - 20220622'!Y89&lt;&gt;"",UPPER('TRACKER - 20220622'!Y89),"")</f>
        <v>0</v>
      </c>
      <c r="X86" t="str">
        <f>IF('TRACKER - 20220622'!Z89&lt;&gt;"",UPPER('TRACKER - 20220622'!Z89),"")</f>
        <v>0</v>
      </c>
      <c r="Y86" t="str">
        <f>IF('TRACKER - 20220622'!AA89&lt;&gt;"",UPPER('TRACKER - 20220622'!AA89),"")</f>
        <v>0</v>
      </c>
      <c r="Z86" t="str">
        <f>IF('TRACKER - 20220622'!AB89&lt;&gt;"",UPPER('TRACKER - 20220622'!AB89),"")</f>
        <v>0</v>
      </c>
      <c r="AA86" t="str">
        <f>IF('TRACKER - 20220622'!AC89&lt;&gt;"",UPPER('TRACKER - 20220622'!AC89),"")</f>
        <v>0</v>
      </c>
      <c r="AB86" t="str">
        <f>IF('TRACKER - 20220622'!AE89&lt;&gt;"",UPPER('TRACKER - 20220622'!AE89),"")</f>
        <v>0</v>
      </c>
      <c r="AC86" t="str">
        <f>IF('TRACKER - 20220622'!AF89&lt;&gt;"",UPPER('TRACKER - 20220622'!AF89),"")</f>
        <v>0</v>
      </c>
      <c r="AD86" t="str">
        <f>IF('TRACKER - 20220622'!AG89&lt;&gt;"",UPPER('TRACKER - 20220622'!AG89),"")</f>
        <v>0</v>
      </c>
      <c r="AE86" t="str">
        <f>IF('TRACKER - 20220622'!AH89&lt;&gt;"",UPPER('TRACKER - 20220622'!AH89),"")</f>
        <v>-150</v>
      </c>
      <c r="AF86" t="str">
        <f>IF('TRACKER - 20220622'!AI89&lt;&gt;"",UPPER('TRACKER - 20220622'!AI89),"")</f>
        <v/>
      </c>
      <c r="AG86" t="str">
        <f>IF('TRACKER - 20220622'!AJ89&lt;&gt;"",UPPER('TRACKER - 20220622'!AJ89),"")</f>
        <v>0</v>
      </c>
      <c r="AH86" t="str">
        <f>IF('TRACKER - 20220622'!AK89&lt;&gt;"",UPPER('TRACKER - 20220622'!AK89),"")</f>
        <v/>
      </c>
      <c r="AI86" t="str">
        <f>IF('TRACKER - 20220622'!AL89&lt;&gt;"",UPPER('TRACKER - 20220622'!AL89),"")</f>
        <v>0</v>
      </c>
      <c r="AJ86" t="str">
        <f>IF('TRACKER - 20220622'!AM89&lt;&gt;"",UPPER('TRACKER - 20220622'!AM89),"")</f>
        <v>0</v>
      </c>
      <c r="AK86" t="str">
        <f>IF('TRACKER - 20220622'!AN89&lt;&gt;"",UPPER('TRACKER - 20220622'!AN89),"")</f>
        <v/>
      </c>
      <c r="AL86" t="str">
        <f>IF('TRACKER - 20220622'!AO89&lt;&gt;"",UPPER('TRACKER - 20220622'!AO89),"")</f>
        <v>0</v>
      </c>
      <c r="AM86" t="str">
        <f>IF('TRACKER - 20220622'!AP89&lt;&gt;"",UPPER('TRACKER - 20220622'!AP89),"")</f>
        <v>0</v>
      </c>
      <c r="AN86" t="str">
        <f>IF('TRACKER - 20220622'!AQ89&lt;&gt;"",UPPER('TRACKER - 20220622'!AQ89),"")</f>
        <v>0</v>
      </c>
      <c r="AO86" t="str">
        <f>IF('TRACKER - 20220622'!AR89&lt;&gt;"",UPPER('TRACKER - 20220622'!AR89),"")</f>
        <v>PRD</v>
      </c>
      <c r="AP86" t="str">
        <f>IF('TRACKER - 20220622'!AS89&lt;&gt;"",UPPER('TRACKER - 20220622'!AS89),"")</f>
        <v>REQ</v>
      </c>
      <c r="AQ86" t="str">
        <f>IF('TRACKER - 20220622'!AT89&lt;&gt;"",UPPER('TRACKER - 20220622'!AT89),"")</f>
        <v>N</v>
      </c>
      <c r="AR86" t="str">
        <f>IF('TRACKER - 20220622'!AU89&lt;&gt;"",UPPER('TRACKER - 20220622'!AU89),"")</f>
        <v>-150</v>
      </c>
      <c r="AS86" t="str">
        <f>IF('TRACKER - 20220622'!AV89&lt;&gt;"",UPPER('TRACKER - 20220622'!AV89),"")</f>
        <v/>
      </c>
      <c r="AT86" t="str">
        <f>IF('TRACKER - 20220622'!AW89&lt;&gt;"",UPPER('TRACKER - 20220622'!AW89),"")</f>
        <v>DESCR89</v>
      </c>
      <c r="AU86" t="str">
        <f>IF('TRACKER - 20220622'!AX89&lt;&gt;"",UPPER('TRACKER - 20220622'!AX89),"")</f>
        <v>REASON89</v>
      </c>
      <c r="AV86" t="str">
        <f>IF('TRACKER - 20220622'!BD103&lt;&gt;"",'TRACKER - 20220622'!BD103,"")</f>
        <v/>
      </c>
      <c r="AW86" t="str">
        <f>IF('TRACKER - 20220622'!BE103&lt;&gt;"",'TRACKER - 20220622'!BE103,"")</f>
        <v/>
      </c>
      <c r="AX86" t="str">
        <f>IF('TRACKER - 20220622'!BF103&lt;&gt;"",'TRACKER - 20220622'!BF103,"")</f>
        <v/>
      </c>
      <c r="AY86" t="str">
        <f>IF('TRACKER - 20220622'!BG103&lt;&gt;"",'TRACKER - 20220622'!BG103,"")</f>
        <v/>
      </c>
      <c r="AZ86" t="str">
        <f>IF('TRACKER - 20220622'!BH103&lt;&gt;"",'TRACKER - 20220622'!BH103,"")</f>
        <v/>
      </c>
      <c r="BA86" t="str">
        <f>IF('TRACKER - 20220622'!BI103&lt;&gt;"",'TRACKER - 20220622'!BI103,"")</f>
        <v/>
      </c>
      <c r="BB86" t="str">
        <f>IF('TRACKER - 20220622'!BJ103&lt;&gt;"",'TRACKER - 20220622'!BJ103,"")</f>
        <v/>
      </c>
      <c r="BC86" t="str">
        <f>IF('TRACKER - 20220622'!BK103&lt;&gt;"",'TRACKER - 20220622'!BK103,"")</f>
        <v/>
      </c>
      <c r="BD86" t="str">
        <f>IF('TRACKER - 20220622'!BL103&lt;&gt;"",'TRACKER - 20220622'!BL103,"")</f>
        <v/>
      </c>
      <c r="BE86" t="str">
        <f>IF('TRACKER - 20220622'!BM103&lt;&gt;"",'TRACKER - 20220622'!BM103,"")</f>
        <v/>
      </c>
      <c r="BF86" t="str">
        <f>IF('TRACKER - 20220622'!BN103&lt;&gt;"",'TRACKER - 20220622'!BN103,"")</f>
        <v/>
      </c>
      <c r="BG86" t="str">
        <f>IF('TRACKER - 20220622'!BO103&lt;&gt;"",'TRACKER - 20220622'!BO103,"")</f>
        <v/>
      </c>
    </row>
    <row r="87" spans="1:59">
      <c r="A87" t="str">
        <f>IF('TRACKER - 20220622'!A104&lt;&gt;"",UPPER('TRACKER - 20220622'!A104),"")</f>
        <v>PRODUCT BACKLOG</v>
      </c>
      <c r="B87" t="str">
        <f>IF('TRACKER - 20220622'!B104&lt;&gt;"",UPPER('TRACKER - 20220622'!B104),"")</f>
        <v>N</v>
      </c>
      <c r="C87" t="str">
        <f>IF('TRACKER - 20220622'!D90&lt;&gt;"",UPPER('TRACKER - 20220622'!D90),"")</f>
        <v>4</v>
      </c>
      <c r="D87" t="str">
        <f>IF('TRACKER - 20220622'!F104&lt;&gt;"",UPPER('TRACKER - 20220622'!F104),"")</f>
        <v>PRD-BLG-2020-00022</v>
      </c>
      <c r="E87" t="str">
        <f>IF('TRACKER - 20220622'!H104&lt;&gt;"",'TRACKER - 20220622'!H104,"")</f>
        <v>Java 11 Migration</v>
      </c>
      <c r="F87" t="str">
        <f t="shared" si="2"/>
        <v>PRD-BLG-2020-00022 Java 11 Migration</v>
      </c>
      <c r="G87" t="str">
        <f t="shared" si="3"/>
        <v>00004 - Java 11 Migration</v>
      </c>
      <c r="H87">
        <f>IF('TRACKER - 20220622'!J104&lt;&gt;"",'TRACKER - 20220622'!J104,"")</f>
        <v>0</v>
      </c>
      <c r="I87" t="str">
        <f>IF('TRACKER - 20220622'!K90&lt;&gt;"",UPPER('TRACKER - 20220622'!K90),"")</f>
        <v>43952</v>
      </c>
      <c r="J87" t="str">
        <f>IF('TRACKER - 20220622'!L90&lt;&gt;"",UPPER('TRACKER - 20220622'!L90),"")</f>
        <v>43952</v>
      </c>
      <c r="K87" t="str">
        <f>IF('TRACKER - 20220622'!M90&lt;&gt;"",UPPER('TRACKER - 20220622'!M90),"")</f>
        <v/>
      </c>
      <c r="L87" t="str">
        <f>IF('TRACKER - 20220622'!N90&lt;&gt;"",UPPER('TRACKER - 20220622'!N90),"")</f>
        <v/>
      </c>
      <c r="M87" t="str">
        <f>IF('TRACKER - 20220622'!O90&lt;&gt;"",UPPER('TRACKER - 20220622'!O90),"")</f>
        <v/>
      </c>
      <c r="N87" t="str">
        <f>IF('TRACKER - 20220622'!P90&lt;&gt;"",UPPER('TRACKER - 20220622'!P90),"")</f>
        <v/>
      </c>
      <c r="O87" t="str">
        <f>IF('TRACKER - 20220622'!Q90&lt;&gt;"",UPPER('TRACKER - 20220622'!Q90),"")</f>
        <v>REGULATORY</v>
      </c>
      <c r="P87" t="str">
        <f>IF('TRACKER - 20220622'!R90&lt;&gt;"",UPPER('TRACKER - 20220622'!R90),"")</f>
        <v>MARKET</v>
      </c>
      <c r="Q87" t="str">
        <f>IF('TRACKER - 20220622'!S90&lt;&gt;"",UPPER('TRACKER - 20220622'!S90),"")</f>
        <v/>
      </c>
      <c r="R87" t="str">
        <f>IF('TRACKER - 20220622'!T90&lt;&gt;"",UPPER('TRACKER - 20220622'!T90),"")</f>
        <v/>
      </c>
      <c r="S87" t="str">
        <f>IF('TRACKER - 20220622'!U90&lt;&gt;"",UPPER('TRACKER - 20220622'!U90),"")</f>
        <v/>
      </c>
      <c r="T87" t="str">
        <f>IF('TRACKER - 20220622'!V90&lt;&gt;"",UPPER('TRACKER - 20220622'!V90),"")</f>
        <v/>
      </c>
      <c r="U87" t="str">
        <f>IF('TRACKER - 20220622'!W90&lt;&gt;"",UPPER('TRACKER - 20220622'!W90),"")</f>
        <v/>
      </c>
      <c r="V87" t="str">
        <f>IF('TRACKER - 20220622'!X90&lt;&gt;"",UPPER('TRACKER - 20220622'!X90),"")</f>
        <v>15/09/20 - SELECTED TO PRODUCT ROADMAP INVESTIGATION</v>
      </c>
      <c r="W87" t="str">
        <f>IF('TRACKER - 20220622'!Y90&lt;&gt;"",UPPER('TRACKER - 20220622'!Y90),"")</f>
        <v>0</v>
      </c>
      <c r="X87" t="str">
        <f>IF('TRACKER - 20220622'!Z90&lt;&gt;"",UPPER('TRACKER - 20220622'!Z90),"")</f>
        <v>0</v>
      </c>
      <c r="Y87" t="str">
        <f>IF('TRACKER - 20220622'!AA90&lt;&gt;"",UPPER('TRACKER - 20220622'!AA90),"")</f>
        <v>0</v>
      </c>
      <c r="Z87" t="str">
        <f>IF('TRACKER - 20220622'!AB90&lt;&gt;"",UPPER('TRACKER - 20220622'!AB90),"")</f>
        <v>0</v>
      </c>
      <c r="AA87" t="str">
        <f>IF('TRACKER - 20220622'!AC90&lt;&gt;"",UPPER('TRACKER - 20220622'!AC90),"")</f>
        <v>0</v>
      </c>
      <c r="AB87" t="str">
        <f>IF('TRACKER - 20220622'!AE90&lt;&gt;"",UPPER('TRACKER - 20220622'!AE90),"")</f>
        <v>0</v>
      </c>
      <c r="AC87" t="str">
        <f>IF('TRACKER - 20220622'!AF90&lt;&gt;"",UPPER('TRACKER - 20220622'!AF90),"")</f>
        <v>0</v>
      </c>
      <c r="AD87" t="str">
        <f>IF('TRACKER - 20220622'!AG90&lt;&gt;"",UPPER('TRACKER - 20220622'!AG90),"")</f>
        <v>0</v>
      </c>
      <c r="AE87" t="str">
        <f>IF('TRACKER - 20220622'!AH90&lt;&gt;"",UPPER('TRACKER - 20220622'!AH90),"")</f>
        <v>-150</v>
      </c>
      <c r="AF87" t="str">
        <f>IF('TRACKER - 20220622'!AI90&lt;&gt;"",UPPER('TRACKER - 20220622'!AI90),"")</f>
        <v/>
      </c>
      <c r="AG87" t="str">
        <f>IF('TRACKER - 20220622'!AJ90&lt;&gt;"",UPPER('TRACKER - 20220622'!AJ90),"")</f>
        <v>0</v>
      </c>
      <c r="AH87" t="str">
        <f>IF('TRACKER - 20220622'!AK90&lt;&gt;"",UPPER('TRACKER - 20220622'!AK90),"")</f>
        <v/>
      </c>
      <c r="AI87" t="str">
        <f>IF('TRACKER - 20220622'!AL90&lt;&gt;"",UPPER('TRACKER - 20220622'!AL90),"")</f>
        <v>0</v>
      </c>
      <c r="AJ87" t="str">
        <f>IF('TRACKER - 20220622'!AM90&lt;&gt;"",UPPER('TRACKER - 20220622'!AM90),"")</f>
        <v>0</v>
      </c>
      <c r="AK87" t="str">
        <f>IF('TRACKER - 20220622'!AN90&lt;&gt;"",UPPER('TRACKER - 20220622'!AN90),"")</f>
        <v/>
      </c>
      <c r="AL87" t="str">
        <f>IF('TRACKER - 20220622'!AO90&lt;&gt;"",UPPER('TRACKER - 20220622'!AO90),"")</f>
        <v>0</v>
      </c>
      <c r="AM87" t="str">
        <f>IF('TRACKER - 20220622'!AP90&lt;&gt;"",UPPER('TRACKER - 20220622'!AP90),"")</f>
        <v>0</v>
      </c>
      <c r="AN87" t="str">
        <f>IF('TRACKER - 20220622'!AQ90&lt;&gt;"",UPPER('TRACKER - 20220622'!AQ90),"")</f>
        <v>0</v>
      </c>
      <c r="AO87" t="str">
        <f>IF('TRACKER - 20220622'!AR90&lt;&gt;"",UPPER('TRACKER - 20220622'!AR90),"")</f>
        <v>PRD</v>
      </c>
      <c r="AP87" t="str">
        <f>IF('TRACKER - 20220622'!AS90&lt;&gt;"",UPPER('TRACKER - 20220622'!AS90),"")</f>
        <v>REQ</v>
      </c>
      <c r="AQ87" t="str">
        <f>IF('TRACKER - 20220622'!AT90&lt;&gt;"",UPPER('TRACKER - 20220622'!AT90),"")</f>
        <v>N</v>
      </c>
      <c r="AR87" t="str">
        <f>IF('TRACKER - 20220622'!AU90&lt;&gt;"",UPPER('TRACKER - 20220622'!AU90),"")</f>
        <v>-150</v>
      </c>
      <c r="AS87" t="str">
        <f>IF('TRACKER - 20220622'!AV90&lt;&gt;"",UPPER('TRACKER - 20220622'!AV90),"")</f>
        <v/>
      </c>
      <c r="AT87" t="str">
        <f>IF('TRACKER - 20220622'!AW90&lt;&gt;"",UPPER('TRACKER - 20220622'!AW90),"")</f>
        <v>DESCR90</v>
      </c>
      <c r="AU87" t="str">
        <f>IF('TRACKER - 20220622'!AX90&lt;&gt;"",UPPER('TRACKER - 20220622'!AX90),"")</f>
        <v>REASON90</v>
      </c>
      <c r="AV87" t="str">
        <f>IF('TRACKER - 20220622'!BD104&lt;&gt;"",'TRACKER - 20220622'!BD104,"")</f>
        <v/>
      </c>
      <c r="AW87" t="str">
        <f>IF('TRACKER - 20220622'!BE104&lt;&gt;"",'TRACKER - 20220622'!BE104,"")</f>
        <v/>
      </c>
      <c r="AX87" t="str">
        <f>IF('TRACKER - 20220622'!BF104&lt;&gt;"",'TRACKER - 20220622'!BF104,"")</f>
        <v/>
      </c>
      <c r="AY87" t="str">
        <f>IF('TRACKER - 20220622'!BG104&lt;&gt;"",'TRACKER - 20220622'!BG104,"")</f>
        <v/>
      </c>
      <c r="AZ87" t="str">
        <f>IF('TRACKER - 20220622'!BH104&lt;&gt;"",'TRACKER - 20220622'!BH104,"")</f>
        <v/>
      </c>
      <c r="BA87" t="str">
        <f>IF('TRACKER - 20220622'!BI104&lt;&gt;"",'TRACKER - 20220622'!BI104,"")</f>
        <v/>
      </c>
      <c r="BB87" t="str">
        <f>IF('TRACKER - 20220622'!BJ104&lt;&gt;"",'TRACKER - 20220622'!BJ104,"")</f>
        <v/>
      </c>
      <c r="BC87" t="str">
        <f>IF('TRACKER - 20220622'!BK104&lt;&gt;"",'TRACKER - 20220622'!BK104,"")</f>
        <v/>
      </c>
      <c r="BD87" t="str">
        <f>IF('TRACKER - 20220622'!BL104&lt;&gt;"",'TRACKER - 20220622'!BL104,"")</f>
        <v/>
      </c>
      <c r="BE87" t="str">
        <f>IF('TRACKER - 20220622'!BM104&lt;&gt;"",'TRACKER - 20220622'!BM104,"")</f>
        <v/>
      </c>
      <c r="BF87" t="str">
        <f>IF('TRACKER - 20220622'!BN104&lt;&gt;"",'TRACKER - 20220622'!BN104,"")</f>
        <v/>
      </c>
      <c r="BG87" t="str">
        <f>IF('TRACKER - 20220622'!BO104&lt;&gt;"",'TRACKER - 20220622'!BO104,"")</f>
        <v/>
      </c>
    </row>
    <row r="88" spans="1:59">
      <c r="A88" t="str">
        <f>IF('TRACKER - 20220622'!A105&lt;&gt;"",UPPER('TRACKER - 20220622'!A105),"")</f>
        <v>PRODUCT ROADMAP</v>
      </c>
      <c r="B88" t="str">
        <f>IF('TRACKER - 20220622'!B105&lt;&gt;"",UPPER('TRACKER - 20220622'!B105),"")</f>
        <v>N</v>
      </c>
      <c r="C88" t="str">
        <f>IF('TRACKER - 20220622'!D91&lt;&gt;"",UPPER('TRACKER - 20220622'!D91),"")</f>
        <v>6</v>
      </c>
      <c r="D88" t="str">
        <f>IF('TRACKER - 20220622'!F105&lt;&gt;"",UPPER('TRACKER - 20220622'!F105),"")</f>
        <v>PRD-REQ-2020-32165</v>
      </c>
      <c r="E88" t="str">
        <f>IF('TRACKER - 20220622'!H105&lt;&gt;"",'TRACKER - 20220622'!H105,"")</f>
        <v>EMI Reporting</v>
      </c>
      <c r="F88" t="str">
        <f t="shared" si="2"/>
        <v>PRD-REQ-2020-32165 EMI Reporting</v>
      </c>
      <c r="G88" t="str">
        <f t="shared" si="3"/>
        <v>00006 - EMI Reporting</v>
      </c>
      <c r="H88">
        <f>IF('TRACKER - 20220622'!J105&lt;&gt;"",'TRACKER - 20220622'!J105,"")</f>
        <v>-37125</v>
      </c>
      <c r="I88" t="str">
        <f>IF('TRACKER - 20220622'!K91&lt;&gt;"",UPPER('TRACKER - 20220622'!K91),"")</f>
        <v>43952</v>
      </c>
      <c r="J88" t="str">
        <f>IF('TRACKER - 20220622'!L91&lt;&gt;"",UPPER('TRACKER - 20220622'!L91),"")</f>
        <v>43952</v>
      </c>
      <c r="K88" t="str">
        <f>IF('TRACKER - 20220622'!M91&lt;&gt;"",UPPER('TRACKER - 20220622'!M91),"")</f>
        <v/>
      </c>
      <c r="L88" t="str">
        <f>IF('TRACKER - 20220622'!N91&lt;&gt;"",UPPER('TRACKER - 20220622'!N91),"")</f>
        <v/>
      </c>
      <c r="M88" t="str">
        <f>IF('TRACKER - 20220622'!O91&lt;&gt;"",UPPER('TRACKER - 20220622'!O91),"")</f>
        <v/>
      </c>
      <c r="N88" t="str">
        <f>IF('TRACKER - 20220622'!P91&lt;&gt;"",UPPER('TRACKER - 20220622'!P91),"")</f>
        <v/>
      </c>
      <c r="O88" t="str">
        <f>IF('TRACKER - 20220622'!Q91&lt;&gt;"",UPPER('TRACKER - 20220622'!Q91),"")</f>
        <v>REGULATORY</v>
      </c>
      <c r="P88" t="str">
        <f>IF('TRACKER - 20220622'!R91&lt;&gt;"",UPPER('TRACKER - 20220622'!R91),"")</f>
        <v>MARKET</v>
      </c>
      <c r="Q88" t="str">
        <f>IF('TRACKER - 20220622'!S91&lt;&gt;"",UPPER('TRACKER - 20220622'!S91),"")</f>
        <v>GAP</v>
      </c>
      <c r="R88" t="str">
        <f>IF('TRACKER - 20220622'!T91&lt;&gt;"",UPPER('TRACKER - 20220622'!T91),"")</f>
        <v>LOW</v>
      </c>
      <c r="S88" t="str">
        <f>IF('TRACKER - 20220622'!U91&lt;&gt;"",UPPER('TRACKER - 20220622'!U91),"")</f>
        <v>MODERATE</v>
      </c>
      <c r="T88" t="str">
        <f>IF('TRACKER - 20220622'!V91&lt;&gt;"",UPPER('TRACKER - 20220622'!V91),"")</f>
        <v>44356</v>
      </c>
      <c r="U88" t="str">
        <f>IF('TRACKER - 20220622'!W91&lt;&gt;"",UPPER('TRACKER - 20220622'!W91),"")</f>
        <v>NO CURRENT CUSTOMERS DOING SFTR BUSINESS. AGREED WE CAN DEAL WITH THIS AS AND WHEN A PROSPECT COMES ALONG.</v>
      </c>
      <c r="V88" t="str">
        <f>IF('TRACKER - 20220622'!X91&lt;&gt;"",UPPER('TRACKER - 20220622'!X91),"")</f>
        <v>15/10/20 - WRITE-UP COMMECED
ARCHIVED - DISCUSSED - BRING BACK IF BECOMES AN ISSUE.</v>
      </c>
      <c r="W88" t="str">
        <f>IF('TRACKER - 20220622'!Y91&lt;&gt;"",UPPER('TRACKER - 20220622'!Y91),"")</f>
        <v>0</v>
      </c>
      <c r="X88" t="str">
        <f>IF('TRACKER - 20220622'!Z91&lt;&gt;"",UPPER('TRACKER - 20220622'!Z91),"")</f>
        <v>0</v>
      </c>
      <c r="Y88" t="str">
        <f>IF('TRACKER - 20220622'!AA91&lt;&gt;"",UPPER('TRACKER - 20220622'!AA91),"")</f>
        <v>0</v>
      </c>
      <c r="Z88" t="str">
        <f>IF('TRACKER - 20220622'!AB91&lt;&gt;"",UPPER('TRACKER - 20220622'!AB91),"")</f>
        <v>0</v>
      </c>
      <c r="AA88" t="str">
        <f>IF('TRACKER - 20220622'!AC91&lt;&gt;"",UPPER('TRACKER - 20220622'!AC91),"")</f>
        <v>0</v>
      </c>
      <c r="AB88" t="str">
        <f>IF('TRACKER - 20220622'!AE91&lt;&gt;"",UPPER('TRACKER - 20220622'!AE91),"")</f>
        <v>0</v>
      </c>
      <c r="AC88" t="str">
        <f>IF('TRACKER - 20220622'!AF91&lt;&gt;"",UPPER('TRACKER - 20220622'!AF91),"")</f>
        <v>0</v>
      </c>
      <c r="AD88" t="str">
        <f>IF('TRACKER - 20220622'!AG91&lt;&gt;"",UPPER('TRACKER - 20220622'!AG91),"")</f>
        <v>0</v>
      </c>
      <c r="AE88" t="str">
        <f>IF('TRACKER - 20220622'!AH91&lt;&gt;"",UPPER('TRACKER - 20220622'!AH91),"")</f>
        <v>-150</v>
      </c>
      <c r="AF88" t="str">
        <f>IF('TRACKER - 20220622'!AI91&lt;&gt;"",UPPER('TRACKER - 20220622'!AI91),"")</f>
        <v/>
      </c>
      <c r="AG88" t="str">
        <f>IF('TRACKER - 20220622'!AJ91&lt;&gt;"",UPPER('TRACKER - 20220622'!AJ91),"")</f>
        <v>0</v>
      </c>
      <c r="AH88" t="str">
        <f>IF('TRACKER - 20220622'!AK91&lt;&gt;"",UPPER('TRACKER - 20220622'!AK91),"")</f>
        <v/>
      </c>
      <c r="AI88" t="str">
        <f>IF('TRACKER - 20220622'!AL91&lt;&gt;"",UPPER('TRACKER - 20220622'!AL91),"")</f>
        <v>0</v>
      </c>
      <c r="AJ88" t="str">
        <f>IF('TRACKER - 20220622'!AM91&lt;&gt;"",UPPER('TRACKER - 20220622'!AM91),"")</f>
        <v>0</v>
      </c>
      <c r="AK88" t="str">
        <f>IF('TRACKER - 20220622'!AN91&lt;&gt;"",UPPER('TRACKER - 20220622'!AN91),"")</f>
        <v/>
      </c>
      <c r="AL88" t="str">
        <f>IF('TRACKER - 20220622'!AO91&lt;&gt;"",UPPER('TRACKER - 20220622'!AO91),"")</f>
        <v>0</v>
      </c>
      <c r="AM88" t="str">
        <f>IF('TRACKER - 20220622'!AP91&lt;&gt;"",UPPER('TRACKER - 20220622'!AP91),"")</f>
        <v>0</v>
      </c>
      <c r="AN88" t="str">
        <f>IF('TRACKER - 20220622'!AQ91&lt;&gt;"",UPPER('TRACKER - 20220622'!AQ91),"")</f>
        <v>0</v>
      </c>
      <c r="AO88" t="str">
        <f>IF('TRACKER - 20220622'!AR91&lt;&gt;"",UPPER('TRACKER - 20220622'!AR91),"")</f>
        <v>PRD</v>
      </c>
      <c r="AP88" t="str">
        <f>IF('TRACKER - 20220622'!AS91&lt;&gt;"",UPPER('TRACKER - 20220622'!AS91),"")</f>
        <v>REQ</v>
      </c>
      <c r="AQ88" t="str">
        <f>IF('TRACKER - 20220622'!AT91&lt;&gt;"",UPPER('TRACKER - 20220622'!AT91),"")</f>
        <v>N</v>
      </c>
      <c r="AR88" t="str">
        <f>IF('TRACKER - 20220622'!AU91&lt;&gt;"",UPPER('TRACKER - 20220622'!AU91),"")</f>
        <v>-150</v>
      </c>
      <c r="AS88" t="str">
        <f>IF('TRACKER - 20220622'!AV91&lt;&gt;"",UPPER('TRACKER - 20220622'!AV91),"")</f>
        <v/>
      </c>
      <c r="AT88" t="str">
        <f>IF('TRACKER - 20220622'!AW91&lt;&gt;"",UPPER('TRACKER - 20220622'!AW91),"")</f>
        <v>DESCR91</v>
      </c>
      <c r="AU88" t="str">
        <f>IF('TRACKER - 20220622'!AX91&lt;&gt;"",UPPER('TRACKER - 20220622'!AX91),"")</f>
        <v>REASON91</v>
      </c>
      <c r="AV88" t="str">
        <f>IF('TRACKER - 20220622'!BD105&lt;&gt;"",'TRACKER - 20220622'!BD105,"")</f>
        <v/>
      </c>
      <c r="AW88" t="str">
        <f>IF('TRACKER - 20220622'!BE105&lt;&gt;"",'TRACKER - 20220622'!BE105,"")</f>
        <v/>
      </c>
      <c r="AX88" t="str">
        <f>IF('TRACKER - 20220622'!BF105&lt;&gt;"",'TRACKER - 20220622'!BF105,"")</f>
        <v/>
      </c>
      <c r="AY88" t="str">
        <f>IF('TRACKER - 20220622'!BG105&lt;&gt;"",'TRACKER - 20220622'!BG105,"")</f>
        <v/>
      </c>
      <c r="AZ88" t="str">
        <f>IF('TRACKER - 20220622'!BH105&lt;&gt;"",'TRACKER - 20220622'!BH105,"")</f>
        <v/>
      </c>
      <c r="BA88" t="str">
        <f>IF('TRACKER - 20220622'!BI105&lt;&gt;"",'TRACKER - 20220622'!BI105,"")</f>
        <v/>
      </c>
      <c r="BB88" t="str">
        <f>IF('TRACKER - 20220622'!BJ105&lt;&gt;"",'TRACKER - 20220622'!BJ105,"")</f>
        <v/>
      </c>
      <c r="BC88" t="str">
        <f>IF('TRACKER - 20220622'!BK105&lt;&gt;"",'TRACKER - 20220622'!BK105,"")</f>
        <v/>
      </c>
      <c r="BD88" t="str">
        <f>IF('TRACKER - 20220622'!BL105&lt;&gt;"",'TRACKER - 20220622'!BL105,"")</f>
        <v/>
      </c>
      <c r="BE88" t="str">
        <f>IF('TRACKER - 20220622'!BM105&lt;&gt;"",'TRACKER - 20220622'!BM105,"")</f>
        <v/>
      </c>
      <c r="BF88" t="str">
        <f>IF('TRACKER - 20220622'!BN105&lt;&gt;"",'TRACKER - 20220622'!BN105,"")</f>
        <v/>
      </c>
      <c r="BG88" t="str">
        <f>IF('TRACKER - 20220622'!BO105&lt;&gt;"",'TRACKER - 20220622'!BO105,"")</f>
        <v/>
      </c>
    </row>
    <row r="89" spans="1:59">
      <c r="A89" t="str">
        <f>IF('TRACKER - 20220622'!A106&lt;&gt;"",UPPER('TRACKER - 20220622'!A106),"")</f>
        <v>PRODUCT ROADMAP</v>
      </c>
      <c r="B89" t="str">
        <f>IF('TRACKER - 20220622'!B106&lt;&gt;"",UPPER('TRACKER - 20220622'!B106),"")</f>
        <v>N</v>
      </c>
      <c r="C89" t="str">
        <f>IF('TRACKER - 20220622'!D92&lt;&gt;"",UPPER('TRACKER - 20220622'!D92),"")</f>
        <v>8</v>
      </c>
      <c r="D89" t="str">
        <f>IF('TRACKER - 20220622'!F106&lt;&gt;"",UPPER('TRACKER - 20220622'!F106),"")</f>
        <v>PRD-REQ-2020-00026</v>
      </c>
      <c r="E89" t="str">
        <f>IF('TRACKER - 20220622'!H106&lt;&gt;"",'TRACKER - 20220622'!H106,"")</f>
        <v>V1 Agreement Manager - Completion</v>
      </c>
      <c r="F89" t="str">
        <f t="shared" si="2"/>
        <v>PRD-REQ-2020-00026 V1 Agreement Manager - Completion</v>
      </c>
      <c r="G89" t="str">
        <f t="shared" si="3"/>
        <v>00008 - V1 Agreement Manager - Completion</v>
      </c>
      <c r="H89">
        <f>IF('TRACKER - 20220622'!J106&lt;&gt;"",'TRACKER - 20220622'!J106,"")</f>
        <v>-11250</v>
      </c>
      <c r="I89" t="str">
        <f>IF('TRACKER - 20220622'!K92&lt;&gt;"",UPPER('TRACKER - 20220622'!K92),"")</f>
        <v>43952</v>
      </c>
      <c r="J89" t="str">
        <f>IF('TRACKER - 20220622'!L92&lt;&gt;"",UPPER('TRACKER - 20220622'!L92),"")</f>
        <v>43952</v>
      </c>
      <c r="K89" t="str">
        <f>IF('TRACKER - 20220622'!M92&lt;&gt;"",UPPER('TRACKER - 20220622'!M92),"")</f>
        <v/>
      </c>
      <c r="L89" t="str">
        <f>IF('TRACKER - 20220622'!N92&lt;&gt;"",UPPER('TRACKER - 20220622'!N92),"")</f>
        <v/>
      </c>
      <c r="M89" t="str">
        <f>IF('TRACKER - 20220622'!O92&lt;&gt;"",UPPER('TRACKER - 20220622'!O92),"")</f>
        <v/>
      </c>
      <c r="N89" t="str">
        <f>IF('TRACKER - 20220622'!P92&lt;&gt;"",UPPER('TRACKER - 20220622'!P92),"")</f>
        <v/>
      </c>
      <c r="O89" t="str">
        <f>IF('TRACKER - 20220622'!Q92&lt;&gt;"",UPPER('TRACKER - 20220622'!Q92),"")</f>
        <v>PARTNER</v>
      </c>
      <c r="P89" t="str">
        <f>IF('TRACKER - 20220622'!R92&lt;&gt;"",UPPER('TRACKER - 20220622'!R92),"")</f>
        <v>MARKET</v>
      </c>
      <c r="Q89" t="str">
        <f>IF('TRACKER - 20220622'!S92&lt;&gt;"",UPPER('TRACKER - 20220622'!S92),"")</f>
        <v/>
      </c>
      <c r="R89" t="str">
        <f>IF('TRACKER - 20220622'!T92&lt;&gt;"",UPPER('TRACKER - 20220622'!T92),"")</f>
        <v/>
      </c>
      <c r="S89" t="str">
        <f>IF('TRACKER - 20220622'!U92&lt;&gt;"",UPPER('TRACKER - 20220622'!U92),"")</f>
        <v/>
      </c>
      <c r="T89" t="str">
        <f>IF('TRACKER - 20220622'!V92&lt;&gt;"",UPPER('TRACKER - 20220622'!V92),"")</f>
        <v/>
      </c>
      <c r="U89" t="str">
        <f>IF('TRACKER - 20220622'!W92&lt;&gt;"",UPPER('TRACKER - 20220622'!W92),"")</f>
        <v/>
      </c>
      <c r="V89" t="str">
        <f>IF('TRACKER - 20220622'!X92&lt;&gt;"",UPPER('TRACKER - 20220622'!X92),"")</f>
        <v/>
      </c>
      <c r="W89" t="str">
        <f>IF('TRACKER - 20220622'!Y92&lt;&gt;"",UPPER('TRACKER - 20220622'!Y92),"")</f>
        <v>0</v>
      </c>
      <c r="X89" t="str">
        <f>IF('TRACKER - 20220622'!Z92&lt;&gt;"",UPPER('TRACKER - 20220622'!Z92),"")</f>
        <v>0</v>
      </c>
      <c r="Y89" t="str">
        <f>IF('TRACKER - 20220622'!AA92&lt;&gt;"",UPPER('TRACKER - 20220622'!AA92),"")</f>
        <v>0</v>
      </c>
      <c r="Z89" t="str">
        <f>IF('TRACKER - 20220622'!AB92&lt;&gt;"",UPPER('TRACKER - 20220622'!AB92),"")</f>
        <v>0</v>
      </c>
      <c r="AA89" t="str">
        <f>IF('TRACKER - 20220622'!AC92&lt;&gt;"",UPPER('TRACKER - 20220622'!AC92),"")</f>
        <v>0</v>
      </c>
      <c r="AB89" t="str">
        <f>IF('TRACKER - 20220622'!AE92&lt;&gt;"",UPPER('TRACKER - 20220622'!AE92),"")</f>
        <v>0</v>
      </c>
      <c r="AC89" t="str">
        <f>IF('TRACKER - 20220622'!AF92&lt;&gt;"",UPPER('TRACKER - 20220622'!AF92),"")</f>
        <v>0</v>
      </c>
      <c r="AD89" t="str">
        <f>IF('TRACKER - 20220622'!AG92&lt;&gt;"",UPPER('TRACKER - 20220622'!AG92),"")</f>
        <v>0</v>
      </c>
      <c r="AE89" t="str">
        <f>IF('TRACKER - 20220622'!AH92&lt;&gt;"",UPPER('TRACKER - 20220622'!AH92),"")</f>
        <v>-150</v>
      </c>
      <c r="AF89" t="str">
        <f>IF('TRACKER - 20220622'!AI92&lt;&gt;"",UPPER('TRACKER - 20220622'!AI92),"")</f>
        <v/>
      </c>
      <c r="AG89" t="str">
        <f>IF('TRACKER - 20220622'!AJ92&lt;&gt;"",UPPER('TRACKER - 20220622'!AJ92),"")</f>
        <v>0</v>
      </c>
      <c r="AH89" t="str">
        <f>IF('TRACKER - 20220622'!AK92&lt;&gt;"",UPPER('TRACKER - 20220622'!AK92),"")</f>
        <v/>
      </c>
      <c r="AI89" t="str">
        <f>IF('TRACKER - 20220622'!AL92&lt;&gt;"",UPPER('TRACKER - 20220622'!AL92),"")</f>
        <v>0</v>
      </c>
      <c r="AJ89" t="str">
        <f>IF('TRACKER - 20220622'!AM92&lt;&gt;"",UPPER('TRACKER - 20220622'!AM92),"")</f>
        <v>0</v>
      </c>
      <c r="AK89" t="str">
        <f>IF('TRACKER - 20220622'!AN92&lt;&gt;"",UPPER('TRACKER - 20220622'!AN92),"")</f>
        <v/>
      </c>
      <c r="AL89" t="str">
        <f>IF('TRACKER - 20220622'!AO92&lt;&gt;"",UPPER('TRACKER - 20220622'!AO92),"")</f>
        <v>0</v>
      </c>
      <c r="AM89" t="str">
        <f>IF('TRACKER - 20220622'!AP92&lt;&gt;"",UPPER('TRACKER - 20220622'!AP92),"")</f>
        <v>0</v>
      </c>
      <c r="AN89" t="str">
        <f>IF('TRACKER - 20220622'!AQ92&lt;&gt;"",UPPER('TRACKER - 20220622'!AQ92),"")</f>
        <v>0</v>
      </c>
      <c r="AO89" t="str">
        <f>IF('TRACKER - 20220622'!AR92&lt;&gt;"",UPPER('TRACKER - 20220622'!AR92),"")</f>
        <v>PRD</v>
      </c>
      <c r="AP89" t="str">
        <f>IF('TRACKER - 20220622'!AS92&lt;&gt;"",UPPER('TRACKER - 20220622'!AS92),"")</f>
        <v>REQ</v>
      </c>
      <c r="AQ89" t="str">
        <f>IF('TRACKER - 20220622'!AT92&lt;&gt;"",UPPER('TRACKER - 20220622'!AT92),"")</f>
        <v>N</v>
      </c>
      <c r="AR89" t="str">
        <f>IF('TRACKER - 20220622'!AU92&lt;&gt;"",UPPER('TRACKER - 20220622'!AU92),"")</f>
        <v>-150</v>
      </c>
      <c r="AS89" t="str">
        <f>IF('TRACKER - 20220622'!AV92&lt;&gt;"",UPPER('TRACKER - 20220622'!AV92),"")</f>
        <v/>
      </c>
      <c r="AT89" t="str">
        <f>IF('TRACKER - 20220622'!AW92&lt;&gt;"",UPPER('TRACKER - 20220622'!AW92),"")</f>
        <v/>
      </c>
      <c r="AU89" t="str">
        <f>IF('TRACKER - 20220622'!AX92&lt;&gt;"",UPPER('TRACKER - 20220622'!AX92),"")</f>
        <v>REASON92</v>
      </c>
      <c r="AV89" t="str">
        <f>IF('TRACKER - 20220622'!BD106&lt;&gt;"",'TRACKER - 20220622'!BD106,"")</f>
        <v/>
      </c>
      <c r="AW89" t="str">
        <f>IF('TRACKER - 20220622'!BE106&lt;&gt;"",'TRACKER - 20220622'!BE106,"")</f>
        <v/>
      </c>
      <c r="AX89" t="str">
        <f>IF('TRACKER - 20220622'!BF106&lt;&gt;"",'TRACKER - 20220622'!BF106,"")</f>
        <v/>
      </c>
      <c r="AY89" t="str">
        <f>IF('TRACKER - 20220622'!BG106&lt;&gt;"",'TRACKER - 20220622'!BG106,"")</f>
        <v/>
      </c>
      <c r="AZ89" t="str">
        <f>IF('TRACKER - 20220622'!BH106&lt;&gt;"",'TRACKER - 20220622'!BH106,"")</f>
        <v/>
      </c>
      <c r="BA89" t="str">
        <f>IF('TRACKER - 20220622'!BI106&lt;&gt;"",'TRACKER - 20220622'!BI106,"")</f>
        <v/>
      </c>
      <c r="BB89" t="str">
        <f>IF('TRACKER - 20220622'!BJ106&lt;&gt;"",'TRACKER - 20220622'!BJ106,"")</f>
        <v/>
      </c>
      <c r="BC89" t="str">
        <f>IF('TRACKER - 20220622'!BK106&lt;&gt;"",'TRACKER - 20220622'!BK106,"")</f>
        <v/>
      </c>
      <c r="BD89" t="str">
        <f>IF('TRACKER - 20220622'!BL106&lt;&gt;"",'TRACKER - 20220622'!BL106,"")</f>
        <v/>
      </c>
      <c r="BE89" t="str">
        <f>IF('TRACKER - 20220622'!BM106&lt;&gt;"",'TRACKER - 20220622'!BM106,"")</f>
        <v/>
      </c>
      <c r="BF89" t="str">
        <f>IF('TRACKER - 20220622'!BN106&lt;&gt;"",'TRACKER - 20220622'!BN106,"")</f>
        <v/>
      </c>
      <c r="BG89" t="str">
        <f>IF('TRACKER - 20220622'!BO106&lt;&gt;"",'TRACKER - 20220622'!BO106,"")</f>
        <v/>
      </c>
    </row>
    <row r="90" spans="1:59">
      <c r="A90" t="str">
        <f>IF('TRACKER - 20220622'!A107&lt;&gt;"",UPPER('TRACKER - 20220622'!A107),"")</f>
        <v>PRODUCT ROADMAP</v>
      </c>
      <c r="B90" t="str">
        <f>IF('TRACKER - 20220622'!B107&lt;&gt;"",UPPER('TRACKER - 20220622'!B107),"")</f>
        <v>N</v>
      </c>
      <c r="C90" t="str">
        <f>IF('TRACKER - 20220622'!D93&lt;&gt;"",UPPER('TRACKER - 20220622'!D93),"")</f>
        <v>9</v>
      </c>
      <c r="D90" t="str">
        <f>IF('TRACKER - 20220622'!F107&lt;&gt;"",UPPER('TRACKER - 20220622'!F107),"")</f>
        <v>PRD-REQ-2020-00000</v>
      </c>
      <c r="E90" t="str">
        <f>IF('TRACKER - 20220622'!H107&lt;&gt;"",'TRACKER - 20220622'!H107,"")</f>
        <v>Post LMR/LMI/N26/RCB architecture review and update.</v>
      </c>
      <c r="F90" t="str">
        <f t="shared" si="2"/>
        <v>PRD-REQ-2020-00000 Post LMR/LMI/N26/RCB architecture review and update.</v>
      </c>
      <c r="G90" t="str">
        <f t="shared" si="3"/>
        <v>00009 - Post LMR/LMI/N26/RCB architecture review and update.</v>
      </c>
      <c r="H90">
        <f>IF('TRACKER - 20220622'!J107&lt;&gt;"",'TRACKER - 20220622'!J107,"")</f>
        <v>0</v>
      </c>
      <c r="I90" t="str">
        <f>IF('TRACKER - 20220622'!K93&lt;&gt;"",UPPER('TRACKER - 20220622'!K93),"")</f>
        <v>44020</v>
      </c>
      <c r="J90" t="str">
        <f>IF('TRACKER - 20220622'!L93&lt;&gt;"",UPPER('TRACKER - 20220622'!L93),"")</f>
        <v>44020</v>
      </c>
      <c r="K90" t="str">
        <f>IF('TRACKER - 20220622'!M93&lt;&gt;"",UPPER('TRACKER - 20220622'!M93),"")</f>
        <v/>
      </c>
      <c r="L90" t="str">
        <f>IF('TRACKER - 20220622'!N93&lt;&gt;"",UPPER('TRACKER - 20220622'!N93),"")</f>
        <v/>
      </c>
      <c r="M90" t="str">
        <f>IF('TRACKER - 20220622'!O93&lt;&gt;"",UPPER('TRACKER - 20220622'!O93),"")</f>
        <v/>
      </c>
      <c r="N90" t="str">
        <f>IF('TRACKER - 20220622'!P93&lt;&gt;"",UPPER('TRACKER - 20220622'!P93),"")</f>
        <v/>
      </c>
      <c r="O90" t="str">
        <f>IF('TRACKER - 20220622'!Q93&lt;&gt;"",UPPER('TRACKER - 20220622'!Q93),"")</f>
        <v>SALES DESK</v>
      </c>
      <c r="P90" t="str">
        <f>IF('TRACKER - 20220622'!R93&lt;&gt;"",UPPER('TRACKER - 20220622'!R93),"")</f>
        <v>CLIENT</v>
      </c>
      <c r="Q90" t="str">
        <f>IF('TRACKER - 20220622'!S93&lt;&gt;"",UPPER('TRACKER - 20220622'!S93),"")</f>
        <v>GAP</v>
      </c>
      <c r="R90" t="str">
        <f>IF('TRACKER - 20220622'!T93&lt;&gt;"",UPPER('TRACKER - 20220622'!T93),"")</f>
        <v>LOW</v>
      </c>
      <c r="S90" t="str">
        <f>IF('TRACKER - 20220622'!U93&lt;&gt;"",UPPER('TRACKER - 20220622'!U93),"")</f>
        <v>MODERATE</v>
      </c>
      <c r="T90" t="str">
        <f>IF('TRACKER - 20220622'!V93&lt;&gt;"",UPPER('TRACKER - 20220622'!V93),"")</f>
        <v/>
      </c>
      <c r="U90" t="str">
        <f>IF('TRACKER - 20220622'!W93&lt;&gt;"",UPPER('TRACKER - 20220622'!W93),"")</f>
        <v/>
      </c>
      <c r="V90" t="str">
        <f>IF('TRACKER - 20220622'!X93&lt;&gt;"",UPPER('TRACKER - 20220622'!X93),"")</f>
        <v>15/09/20 - SELECTED TO PRODUCT ROADMAP INVESTIGATION
15/10/20 - WITH RN TO WRITE REQUIREMENT, - RN HAS LEFT - TO REASSIGN
MOVE TO BACKLOG</v>
      </c>
      <c r="W90" t="str">
        <f>IF('TRACKER - 20220622'!Y93&lt;&gt;"",UPPER('TRACKER - 20220622'!Y93),"")</f>
        <v>0</v>
      </c>
      <c r="X90" t="str">
        <f>IF('TRACKER - 20220622'!Z93&lt;&gt;"",UPPER('TRACKER - 20220622'!Z93),"")</f>
        <v>0</v>
      </c>
      <c r="Y90" t="str">
        <f>IF('TRACKER - 20220622'!AA93&lt;&gt;"",UPPER('TRACKER - 20220622'!AA93),"")</f>
        <v>0</v>
      </c>
      <c r="Z90" t="str">
        <f>IF('TRACKER - 20220622'!AB93&lt;&gt;"",UPPER('TRACKER - 20220622'!AB93),"")</f>
        <v>0</v>
      </c>
      <c r="AA90" t="str">
        <f>IF('TRACKER - 20220622'!AC93&lt;&gt;"",UPPER('TRACKER - 20220622'!AC93),"")</f>
        <v>0</v>
      </c>
      <c r="AB90" t="str">
        <f>IF('TRACKER - 20220622'!AE93&lt;&gt;"",UPPER('TRACKER - 20220622'!AE93),"")</f>
        <v>0</v>
      </c>
      <c r="AC90" t="str">
        <f>IF('TRACKER - 20220622'!AF93&lt;&gt;"",UPPER('TRACKER - 20220622'!AF93),"")</f>
        <v>0</v>
      </c>
      <c r="AD90" t="str">
        <f>IF('TRACKER - 20220622'!AG93&lt;&gt;"",UPPER('TRACKER - 20220622'!AG93),"")</f>
        <v>0</v>
      </c>
      <c r="AE90" t="str">
        <f>IF('TRACKER - 20220622'!AH93&lt;&gt;"",UPPER('TRACKER - 20220622'!AH93),"")</f>
        <v>-150</v>
      </c>
      <c r="AF90" t="str">
        <f>IF('TRACKER - 20220622'!AI93&lt;&gt;"",UPPER('TRACKER - 20220622'!AI93),"")</f>
        <v/>
      </c>
      <c r="AG90" t="str">
        <f>IF('TRACKER - 20220622'!AJ93&lt;&gt;"",UPPER('TRACKER - 20220622'!AJ93),"")</f>
        <v>0</v>
      </c>
      <c r="AH90" t="str">
        <f>IF('TRACKER - 20220622'!AK93&lt;&gt;"",UPPER('TRACKER - 20220622'!AK93),"")</f>
        <v/>
      </c>
      <c r="AI90" t="str">
        <f>IF('TRACKER - 20220622'!AL93&lt;&gt;"",UPPER('TRACKER - 20220622'!AL93),"")</f>
        <v>0</v>
      </c>
      <c r="AJ90" t="str">
        <f>IF('TRACKER - 20220622'!AM93&lt;&gt;"",UPPER('TRACKER - 20220622'!AM93),"")</f>
        <v>0</v>
      </c>
      <c r="AK90" t="str">
        <f>IF('TRACKER - 20220622'!AN93&lt;&gt;"",UPPER('TRACKER - 20220622'!AN93),"")</f>
        <v/>
      </c>
      <c r="AL90" t="str">
        <f>IF('TRACKER - 20220622'!AO93&lt;&gt;"",UPPER('TRACKER - 20220622'!AO93),"")</f>
        <v>0</v>
      </c>
      <c r="AM90" t="str">
        <f>IF('TRACKER - 20220622'!AP93&lt;&gt;"",UPPER('TRACKER - 20220622'!AP93),"")</f>
        <v>0</v>
      </c>
      <c r="AN90" t="str">
        <f>IF('TRACKER - 20220622'!AQ93&lt;&gt;"",UPPER('TRACKER - 20220622'!AQ93),"")</f>
        <v>0</v>
      </c>
      <c r="AO90" t="str">
        <f>IF('TRACKER - 20220622'!AR93&lt;&gt;"",UPPER('TRACKER - 20220622'!AR93),"")</f>
        <v>PRD</v>
      </c>
      <c r="AP90" t="str">
        <f>IF('TRACKER - 20220622'!AS93&lt;&gt;"",UPPER('TRACKER - 20220622'!AS93),"")</f>
        <v>BLG</v>
      </c>
      <c r="AQ90" t="str">
        <f>IF('TRACKER - 20220622'!AT93&lt;&gt;"",UPPER('TRACKER - 20220622'!AT93),"")</f>
        <v>N</v>
      </c>
      <c r="AR90" t="str">
        <f>IF('TRACKER - 20220622'!AU93&lt;&gt;"",UPPER('TRACKER - 20220622'!AU93),"")</f>
        <v>-150</v>
      </c>
      <c r="AS90" t="str">
        <f>IF('TRACKER - 20220622'!AV93&lt;&gt;"",UPPER('TRACKER - 20220622'!AV93),"")</f>
        <v/>
      </c>
      <c r="AT90" t="str">
        <f>IF('TRACKER - 20220622'!AW93&lt;&gt;"",UPPER('TRACKER - 20220622'!AW93),"")</f>
        <v/>
      </c>
      <c r="AU90" t="str">
        <f>IF('TRACKER - 20220622'!AX93&lt;&gt;"",UPPER('TRACKER - 20220622'!AX93),"")</f>
        <v>REASON93</v>
      </c>
      <c r="AV90" t="str">
        <f>IF('TRACKER - 20220622'!BD107&lt;&gt;"",'TRACKER - 20220622'!BD107,"")</f>
        <v/>
      </c>
      <c r="AW90" t="str">
        <f>IF('TRACKER - 20220622'!BE107&lt;&gt;"",'TRACKER - 20220622'!BE107,"")</f>
        <v/>
      </c>
      <c r="AX90" t="str">
        <f>IF('TRACKER - 20220622'!BF107&lt;&gt;"",'TRACKER - 20220622'!BF107,"")</f>
        <v/>
      </c>
      <c r="AY90" t="str">
        <f>IF('TRACKER - 20220622'!BG107&lt;&gt;"",'TRACKER - 20220622'!BG107,"")</f>
        <v/>
      </c>
      <c r="AZ90" t="str">
        <f>IF('TRACKER - 20220622'!BH107&lt;&gt;"",'TRACKER - 20220622'!BH107,"")</f>
        <v/>
      </c>
      <c r="BA90" t="str">
        <f>IF('TRACKER - 20220622'!BI107&lt;&gt;"",'TRACKER - 20220622'!BI107,"")</f>
        <v/>
      </c>
      <c r="BB90" t="str">
        <f>IF('TRACKER - 20220622'!BJ107&lt;&gt;"",'TRACKER - 20220622'!BJ107,"")</f>
        <v/>
      </c>
      <c r="BC90" t="str">
        <f>IF('TRACKER - 20220622'!BK107&lt;&gt;"",'TRACKER - 20220622'!BK107,"")</f>
        <v/>
      </c>
      <c r="BD90" t="str">
        <f>IF('TRACKER - 20220622'!BL107&lt;&gt;"",'TRACKER - 20220622'!BL107,"")</f>
        <v/>
      </c>
      <c r="BE90" t="str">
        <f>IF('TRACKER - 20220622'!BM107&lt;&gt;"",'TRACKER - 20220622'!BM107,"")</f>
        <v/>
      </c>
      <c r="BF90" t="str">
        <f>IF('TRACKER - 20220622'!BN107&lt;&gt;"",'TRACKER - 20220622'!BN107,"")</f>
        <v/>
      </c>
      <c r="BG90" t="str">
        <f>IF('TRACKER - 20220622'!BO107&lt;&gt;"",'TRACKER - 20220622'!BO107,"")</f>
        <v/>
      </c>
    </row>
    <row r="91" spans="1:59">
      <c r="A91" t="str">
        <f>IF('TRACKER - 20220622'!A108&lt;&gt;"",UPPER('TRACKER - 20220622'!A108),"")</f>
        <v>PRODUCT ROADMAP</v>
      </c>
      <c r="B91" t="str">
        <f>IF('TRACKER - 20220622'!B108&lt;&gt;"",UPPER('TRACKER - 20220622'!B108),"")</f>
        <v>N</v>
      </c>
      <c r="C91" t="str">
        <f>IF('TRACKER - 20220622'!D94&lt;&gt;"",UPPER('TRACKER - 20220622'!D94),"")</f>
        <v>10</v>
      </c>
      <c r="D91" t="str">
        <f>IF('TRACKER - 20220622'!F108&lt;&gt;"",UPPER('TRACKER - 20220622'!F108),"")</f>
        <v>PRD-REQ-2020-00009</v>
      </c>
      <c r="E91" t="str">
        <f>IF('TRACKER - 20220622'!H108&lt;&gt;"",'TRACKER - 20220622'!H108,"")</f>
        <v>KnowCo interface - Additional Data</v>
      </c>
      <c r="F91" t="str">
        <f t="shared" si="2"/>
        <v>PRD-REQ-2020-00009 KnowCo interface - Additional Data</v>
      </c>
      <c r="G91" t="str">
        <f t="shared" si="3"/>
        <v>1.2244897959183700010 - KnowCo interface - Additional Data</v>
      </c>
      <c r="H91">
        <f>IF('TRACKER - 20220622'!J108&lt;&gt;"",'TRACKER - 20220622'!J108,"")</f>
        <v>-3375</v>
      </c>
      <c r="I91" t="str">
        <f>IF('TRACKER - 20220622'!K94&lt;&gt;"",UPPER('TRACKER - 20220622'!K94),"")</f>
        <v>43874</v>
      </c>
      <c r="J91" t="str">
        <f>IF('TRACKER - 20220622'!L94&lt;&gt;"",UPPER('TRACKER - 20220622'!L94),"")</f>
        <v>43874</v>
      </c>
      <c r="K91" t="str">
        <f>IF('TRACKER - 20220622'!M94&lt;&gt;"",UPPER('TRACKER - 20220622'!M94),"")</f>
        <v/>
      </c>
      <c r="L91" t="str">
        <f>IF('TRACKER - 20220622'!N94&lt;&gt;"",UPPER('TRACKER - 20220622'!N94),"")</f>
        <v/>
      </c>
      <c r="M91" t="str">
        <f>IF('TRACKER - 20220622'!O94&lt;&gt;"",UPPER('TRACKER - 20220622'!O94),"")</f>
        <v/>
      </c>
      <c r="N91" t="str">
        <f>IF('TRACKER - 20220622'!P94&lt;&gt;"",UPPER('TRACKER - 20220622'!P94),"")</f>
        <v/>
      </c>
      <c r="O91" t="str">
        <f>IF('TRACKER - 20220622'!Q94&lt;&gt;"",UPPER('TRACKER - 20220622'!Q94),"")</f>
        <v>SALES DESK</v>
      </c>
      <c r="P91" t="str">
        <f>IF('TRACKER - 20220622'!R94&lt;&gt;"",UPPER('TRACKER - 20220622'!R94),"")</f>
        <v>CLIENT</v>
      </c>
      <c r="Q91" t="str">
        <f>IF('TRACKER - 20220622'!S94&lt;&gt;"",UPPER('TRACKER - 20220622'!S94),"")</f>
        <v>NEW</v>
      </c>
      <c r="R91" t="str">
        <f>IF('TRACKER - 20220622'!T94&lt;&gt;"",UPPER('TRACKER - 20220622'!T94),"")</f>
        <v>LOW</v>
      </c>
      <c r="S91" t="str">
        <f>IF('TRACKER - 20220622'!U94&lt;&gt;"",UPPER('TRACKER - 20220622'!U94),"")</f>
        <v>LOW</v>
      </c>
      <c r="T91" t="str">
        <f>IF('TRACKER - 20220622'!V94&lt;&gt;"",UPPER('TRACKER - 20220622'!V94),"")</f>
        <v/>
      </c>
      <c r="U91" t="str">
        <f>IF('TRACKER - 20220622'!W94&lt;&gt;"",UPPER('TRACKER - 20220622'!W94),"")</f>
        <v/>
      </c>
      <c r="V91" t="str">
        <f>IF('TRACKER - 20220622'!X94&lt;&gt;"",UPPER('TRACKER - 20220622'!X94),"")</f>
        <v>13/10/20 - SENT TO OPS FOR HLE
09/11/20 - REQUEST TO OPS FOR ETA OF ESTIMATION.</v>
      </c>
      <c r="W91" t="str">
        <f>IF('TRACKER - 20220622'!Y94&lt;&gt;"",UPPER('TRACKER - 20220622'!Y94),"")</f>
        <v>-11250</v>
      </c>
      <c r="X91" t="str">
        <f>IF('TRACKER - 20220622'!Z94&lt;&gt;"",UPPER('TRACKER - 20220622'!Z94),"")</f>
        <v>-1377.55102040816</v>
      </c>
      <c r="Y91" t="str">
        <f>IF('TRACKER - 20220622'!AA94&lt;&gt;"",UPPER('TRACKER - 20220622'!AA94),"")</f>
        <v>-5280.61224489796</v>
      </c>
      <c r="Z91" t="str">
        <f>IF('TRACKER - 20220622'!AB94&lt;&gt;"",UPPER('TRACKER - 20220622'!AB94),"")</f>
        <v>-1836.73469387755</v>
      </c>
      <c r="AA91" t="str">
        <f>IF('TRACKER - 20220622'!AC94&lt;&gt;"",UPPER('TRACKER - 20220622'!AC94),"")</f>
        <v>-1377.55102040816</v>
      </c>
      <c r="AB91" t="str">
        <f>IF('TRACKER - 20220622'!AE94&lt;&gt;"",UPPER('TRACKER - 20220622'!AE94),"")</f>
        <v>-1377.55102040816</v>
      </c>
      <c r="AC91" t="str">
        <f>IF('TRACKER - 20220622'!AF94&lt;&gt;"",UPPER('TRACKER - 20220622'!AF94),"")</f>
        <v>-11250</v>
      </c>
      <c r="AD91" t="str">
        <f>IF('TRACKER - 20220622'!AG94&lt;&gt;"",UPPER('TRACKER - 20220622'!AG94),"")</f>
        <v>0</v>
      </c>
      <c r="AE91" t="str">
        <f>IF('TRACKER - 20220622'!AH94&lt;&gt;"",UPPER('TRACKER - 20220622'!AH94),"")</f>
        <v>-150</v>
      </c>
      <c r="AF91" t="str">
        <f>IF('TRACKER - 20220622'!AI94&lt;&gt;"",UPPER('TRACKER - 20220622'!AI94),"")</f>
        <v/>
      </c>
      <c r="AG91" t="str">
        <f>IF('TRACKER - 20220622'!AJ94&lt;&gt;"",UPPER('TRACKER - 20220622'!AJ94),"")</f>
        <v>0</v>
      </c>
      <c r="AH91" t="str">
        <f>IF('TRACKER - 20220622'!AK94&lt;&gt;"",UPPER('TRACKER - 20220622'!AK94),"")</f>
        <v>1.22448979591837</v>
      </c>
      <c r="AI91" t="str">
        <f>IF('TRACKER - 20220622'!AL94&lt;&gt;"",UPPER('TRACKER - 20220622'!AL94),"")</f>
        <v>4.69387755102041</v>
      </c>
      <c r="AJ91" t="str">
        <f>IF('TRACKER - 20220622'!AM94&lt;&gt;"",UPPER('TRACKER - 20220622'!AM94),"")</f>
        <v>1.63265306122449</v>
      </c>
      <c r="AK91" t="str">
        <f>IF('TRACKER - 20220622'!AN94&lt;&gt;"",UPPER('TRACKER - 20220622'!AN94),"")</f>
        <v>1.22448979591837</v>
      </c>
      <c r="AL91" t="str">
        <f>IF('TRACKER - 20220622'!AO94&lt;&gt;"",UPPER('TRACKER - 20220622'!AO94),"")</f>
        <v>1.22448979591837</v>
      </c>
      <c r="AM91" t="str">
        <f>IF('TRACKER - 20220622'!AP94&lt;&gt;"",UPPER('TRACKER - 20220622'!AP94),"")</f>
        <v>10</v>
      </c>
      <c r="AN91" t="str">
        <f>IF('TRACKER - 20220622'!AQ94&lt;&gt;"",UPPER('TRACKER - 20220622'!AQ94),"")</f>
        <v>0</v>
      </c>
      <c r="AO91" t="str">
        <f>IF('TRACKER - 20220622'!AR94&lt;&gt;"",UPPER('TRACKER - 20220622'!AR94),"")</f>
        <v>PRD</v>
      </c>
      <c r="AP91" t="str">
        <f>IF('TRACKER - 20220622'!AS94&lt;&gt;"",UPPER('TRACKER - 20220622'!AS94),"")</f>
        <v>BLG</v>
      </c>
      <c r="AQ91" t="str">
        <f>IF('TRACKER - 20220622'!AT94&lt;&gt;"",UPPER('TRACKER - 20220622'!AT94),"")</f>
        <v>N</v>
      </c>
      <c r="AR91" t="str">
        <f>IF('TRACKER - 20220622'!AU94&lt;&gt;"",UPPER('TRACKER - 20220622'!AU94),"")</f>
        <v>-150</v>
      </c>
      <c r="AS91" t="str">
        <f>IF('TRACKER - 20220622'!AV94&lt;&gt;"",UPPER('TRACKER - 20220622'!AV94),"")</f>
        <v/>
      </c>
      <c r="AT91" t="str">
        <f>IF('TRACKER - 20220622'!AW94&lt;&gt;"",UPPER('TRACKER - 20220622'!AW94),"")</f>
        <v/>
      </c>
      <c r="AU91" t="str">
        <f>IF('TRACKER - 20220622'!AX94&lt;&gt;"",UPPER('TRACKER - 20220622'!AX94),"")</f>
        <v>REASON94</v>
      </c>
      <c r="AV91" t="str">
        <f>IF('TRACKER - 20220622'!BD108&lt;&gt;"",'TRACKER - 20220622'!BD108,"")</f>
        <v/>
      </c>
      <c r="AW91" t="str">
        <f>IF('TRACKER - 20220622'!BE108&lt;&gt;"",'TRACKER - 20220622'!BE108,"")</f>
        <v/>
      </c>
      <c r="AX91" t="str">
        <f>IF('TRACKER - 20220622'!BF108&lt;&gt;"",'TRACKER - 20220622'!BF108,"")</f>
        <v/>
      </c>
      <c r="AY91" t="str">
        <f>IF('TRACKER - 20220622'!BG108&lt;&gt;"",'TRACKER - 20220622'!BG108,"")</f>
        <v/>
      </c>
      <c r="AZ91" t="str">
        <f>IF('TRACKER - 20220622'!BH108&lt;&gt;"",'TRACKER - 20220622'!BH108,"")</f>
        <v/>
      </c>
      <c r="BA91" t="str">
        <f>IF('TRACKER - 20220622'!BI108&lt;&gt;"",'TRACKER - 20220622'!BI108,"")</f>
        <v/>
      </c>
      <c r="BB91" t="str">
        <f>IF('TRACKER - 20220622'!BJ108&lt;&gt;"",'TRACKER - 20220622'!BJ108,"")</f>
        <v/>
      </c>
      <c r="BC91" t="str">
        <f>IF('TRACKER - 20220622'!BK108&lt;&gt;"",'TRACKER - 20220622'!BK108,"")</f>
        <v/>
      </c>
      <c r="BD91" t="str">
        <f>IF('TRACKER - 20220622'!BL108&lt;&gt;"",'TRACKER - 20220622'!BL108,"")</f>
        <v/>
      </c>
      <c r="BE91" t="str">
        <f>IF('TRACKER - 20220622'!BM108&lt;&gt;"",'TRACKER - 20220622'!BM108,"")</f>
        <v/>
      </c>
      <c r="BF91" t="str">
        <f>IF('TRACKER - 20220622'!BN108&lt;&gt;"",'TRACKER - 20220622'!BN108,"")</f>
        <v/>
      </c>
      <c r="BG91" t="str">
        <f>IF('TRACKER - 20220622'!BO108&lt;&gt;"",'TRACKER - 20220622'!BO108,"")</f>
        <v/>
      </c>
    </row>
    <row r="92" spans="1:59">
      <c r="A92" t="str">
        <f>IF('TRACKER - 20220622'!A109&lt;&gt;"",UPPER('TRACKER - 20220622'!A109),"")</f>
        <v>PRODUCT ROADMAP</v>
      </c>
      <c r="B92" t="str">
        <f>IF('TRACKER - 20220622'!B109&lt;&gt;"",UPPER('TRACKER - 20220622'!B109),"")</f>
        <v>N</v>
      </c>
      <c r="C92" t="str">
        <f>IF('TRACKER - 20220622'!D95&lt;&gt;"",UPPER('TRACKER - 20220622'!D95),"")</f>
        <v>13</v>
      </c>
      <c r="D92" t="str">
        <f>IF('TRACKER - 20220622'!F109&lt;&gt;"",UPPER('TRACKER - 20220622'!F109),"")</f>
        <v>PRD-REQ-2020-00024</v>
      </c>
      <c r="E92" t="str">
        <f>IF('TRACKER - 20220622'!H109&lt;&gt;"",'TRACKER - 20220622'!H109,"")</f>
        <v>OWASP Pen-Test - eTrader - Aspire</v>
      </c>
      <c r="F92" t="str">
        <f t="shared" si="2"/>
        <v>PRD-REQ-2020-00024 OWASP Pen-Test - eTrader - Aspire</v>
      </c>
      <c r="G92" t="str">
        <f t="shared" si="3"/>
        <v>00013 - OWASP Pen-Test - eTrader - Aspire</v>
      </c>
      <c r="H92">
        <f>IF('TRACKER - 20220622'!J109&lt;&gt;"",'TRACKER - 20220622'!J109,"")</f>
        <v>-8100</v>
      </c>
      <c r="I92" t="str">
        <f>IF('TRACKER - 20220622'!K95&lt;&gt;"",UPPER('TRACKER - 20220622'!K95),"")</f>
        <v>44173</v>
      </c>
      <c r="J92" t="str">
        <f>IF('TRACKER - 20220622'!L95&lt;&gt;"",UPPER('TRACKER - 20220622'!L95),"")</f>
        <v>44173</v>
      </c>
      <c r="K92" t="str">
        <f>IF('TRACKER - 20220622'!M95&lt;&gt;"",UPPER('TRACKER - 20220622'!M95),"")</f>
        <v/>
      </c>
      <c r="L92" t="str">
        <f>IF('TRACKER - 20220622'!N95&lt;&gt;"",UPPER('TRACKER - 20220622'!N95),"")</f>
        <v/>
      </c>
      <c r="M92" t="str">
        <f>IF('TRACKER - 20220622'!O95&lt;&gt;"",UPPER('TRACKER - 20220622'!O95),"")</f>
        <v/>
      </c>
      <c r="N92" t="str">
        <f>IF('TRACKER - 20220622'!P95&lt;&gt;"",UPPER('TRACKER - 20220622'!P95),"")</f>
        <v/>
      </c>
      <c r="O92" t="str">
        <f>IF('TRACKER - 20220622'!Q95&lt;&gt;"",UPPER('TRACKER - 20220622'!Q95),"")</f>
        <v>PLATFORM</v>
      </c>
      <c r="P92" t="str">
        <f>IF('TRACKER - 20220622'!R95&lt;&gt;"",UPPER('TRACKER - 20220622'!R95),"")</f>
        <v>TECHNICAL</v>
      </c>
      <c r="Q92" t="str">
        <f>IF('TRACKER - 20220622'!S95&lt;&gt;"",UPPER('TRACKER - 20220622'!S95),"")</f>
        <v>NEW</v>
      </c>
      <c r="R92" t="str">
        <f>IF('TRACKER - 20220622'!T95&lt;&gt;"",UPPER('TRACKER - 20220622'!T95),"")</f>
        <v>MODERATE</v>
      </c>
      <c r="S92" t="str">
        <f>IF('TRACKER - 20220622'!U95&lt;&gt;"",UPPER('TRACKER - 20220622'!U95),"")</f>
        <v>MODERATE</v>
      </c>
      <c r="T92" t="str">
        <f>IF('TRACKER - 20220622'!V95&lt;&gt;"",UPPER('TRACKER - 20220622'!V95),"")</f>
        <v/>
      </c>
      <c r="U92" t="str">
        <f>IF('TRACKER - 20220622'!W95&lt;&gt;"",UPPER('TRACKER - 20220622'!W95),"")</f>
        <v/>
      </c>
      <c r="V92" t="str">
        <f>IF('TRACKER - 20220622'!X95&lt;&gt;"",UPPER('TRACKER - 20220622'!X95),"")</f>
        <v>15/09/20 - SELECTED TO PRODUCT ROADMAP INVESTIGATION
REFFERED TO ARCHITECTURE GROUP
INTERNAL ASSURANCE - WHAT STANDARD CAN BE MADE TO APPLY.   REACH OUR TO CONTACT @ TEMENOS TO FIND OUT WHAT THEY ARE DOING RE THIS TOPIC.</v>
      </c>
      <c r="W92" t="str">
        <f>IF('TRACKER - 20220622'!Y95&lt;&gt;"",UPPER('TRACKER - 20220622'!Y95),"")</f>
        <v>0</v>
      </c>
      <c r="X92" t="str">
        <f>IF('TRACKER - 20220622'!Z95&lt;&gt;"",UPPER('TRACKER - 20220622'!Z95),"")</f>
        <v>0</v>
      </c>
      <c r="Y92" t="str">
        <f>IF('TRACKER - 20220622'!AA95&lt;&gt;"",UPPER('TRACKER - 20220622'!AA95),"")</f>
        <v>0</v>
      </c>
      <c r="Z92" t="str">
        <f>IF('TRACKER - 20220622'!AB95&lt;&gt;"",UPPER('TRACKER - 20220622'!AB95),"")</f>
        <v>0</v>
      </c>
      <c r="AA92" t="str">
        <f>IF('TRACKER - 20220622'!AC95&lt;&gt;"",UPPER('TRACKER - 20220622'!AC95),"")</f>
        <v>0</v>
      </c>
      <c r="AB92" t="str">
        <f>IF('TRACKER - 20220622'!AE95&lt;&gt;"",UPPER('TRACKER - 20220622'!AE95),"")</f>
        <v>0</v>
      </c>
      <c r="AC92" t="str">
        <f>IF('TRACKER - 20220622'!AF95&lt;&gt;"",UPPER('TRACKER - 20220622'!AF95),"")</f>
        <v>0</v>
      </c>
      <c r="AD92" t="str">
        <f>IF('TRACKER - 20220622'!AG95&lt;&gt;"",UPPER('TRACKER - 20220622'!AG95),"")</f>
        <v>0</v>
      </c>
      <c r="AE92" t="str">
        <f>IF('TRACKER - 20220622'!AH95&lt;&gt;"",UPPER('TRACKER - 20220622'!AH95),"")</f>
        <v>-150</v>
      </c>
      <c r="AF92" t="str">
        <f>IF('TRACKER - 20220622'!AI95&lt;&gt;"",UPPER('TRACKER - 20220622'!AI95),"")</f>
        <v/>
      </c>
      <c r="AG92" t="str">
        <f>IF('TRACKER - 20220622'!AJ95&lt;&gt;"",UPPER('TRACKER - 20220622'!AJ95),"")</f>
        <v>0</v>
      </c>
      <c r="AH92" t="str">
        <f>IF('TRACKER - 20220622'!AK95&lt;&gt;"",UPPER('TRACKER - 20220622'!AK95),"")</f>
        <v/>
      </c>
      <c r="AI92" t="str">
        <f>IF('TRACKER - 20220622'!AL95&lt;&gt;"",UPPER('TRACKER - 20220622'!AL95),"")</f>
        <v>0</v>
      </c>
      <c r="AJ92" t="str">
        <f>IF('TRACKER - 20220622'!AM95&lt;&gt;"",UPPER('TRACKER - 20220622'!AM95),"")</f>
        <v>0</v>
      </c>
      <c r="AK92" t="str">
        <f>IF('TRACKER - 20220622'!AN95&lt;&gt;"",UPPER('TRACKER - 20220622'!AN95),"")</f>
        <v/>
      </c>
      <c r="AL92" t="str">
        <f>IF('TRACKER - 20220622'!AO95&lt;&gt;"",UPPER('TRACKER - 20220622'!AO95),"")</f>
        <v>0</v>
      </c>
      <c r="AM92" t="str">
        <f>IF('TRACKER - 20220622'!AP95&lt;&gt;"",UPPER('TRACKER - 20220622'!AP95),"")</f>
        <v>0</v>
      </c>
      <c r="AN92" t="str">
        <f>IF('TRACKER - 20220622'!AQ95&lt;&gt;"",UPPER('TRACKER - 20220622'!AQ95),"")</f>
        <v>0</v>
      </c>
      <c r="AO92" t="str">
        <f>IF('TRACKER - 20220622'!AR95&lt;&gt;"",UPPER('TRACKER - 20220622'!AR95),"")</f>
        <v>PRD</v>
      </c>
      <c r="AP92" t="str">
        <f>IF('TRACKER - 20220622'!AS95&lt;&gt;"",UPPER('TRACKER - 20220622'!AS95),"")</f>
        <v>BLG</v>
      </c>
      <c r="AQ92" t="str">
        <f>IF('TRACKER - 20220622'!AT95&lt;&gt;"",UPPER('TRACKER - 20220622'!AT95),"")</f>
        <v>N</v>
      </c>
      <c r="AR92" t="str">
        <f>IF('TRACKER - 20220622'!AU95&lt;&gt;"",UPPER('TRACKER - 20220622'!AU95),"")</f>
        <v>-150</v>
      </c>
      <c r="AS92" t="str">
        <f>IF('TRACKER - 20220622'!AV95&lt;&gt;"",UPPER('TRACKER - 20220622'!AV95),"")</f>
        <v/>
      </c>
      <c r="AT92" t="str">
        <f>IF('TRACKER - 20220622'!AW95&lt;&gt;"",UPPER('TRACKER - 20220622'!AW95),"")</f>
        <v/>
      </c>
      <c r="AU92" t="str">
        <f>IF('TRACKER - 20220622'!AX95&lt;&gt;"",UPPER('TRACKER - 20220622'!AX95),"")</f>
        <v>REASON95</v>
      </c>
      <c r="AV92" t="str">
        <f>IF('TRACKER - 20220622'!BD109&lt;&gt;"",'TRACKER - 20220622'!BD109,"")</f>
        <v/>
      </c>
      <c r="AW92" t="str">
        <f>IF('TRACKER - 20220622'!BE109&lt;&gt;"",'TRACKER - 20220622'!BE109,"")</f>
        <v/>
      </c>
      <c r="AX92" t="str">
        <f>IF('TRACKER - 20220622'!BF109&lt;&gt;"",'TRACKER - 20220622'!BF109,"")</f>
        <v/>
      </c>
      <c r="AY92" t="str">
        <f>IF('TRACKER - 20220622'!BG109&lt;&gt;"",'TRACKER - 20220622'!BG109,"")</f>
        <v/>
      </c>
      <c r="AZ92" t="str">
        <f>IF('TRACKER - 20220622'!BH109&lt;&gt;"",'TRACKER - 20220622'!BH109,"")</f>
        <v/>
      </c>
      <c r="BA92" t="str">
        <f>IF('TRACKER - 20220622'!BI109&lt;&gt;"",'TRACKER - 20220622'!BI109,"")</f>
        <v/>
      </c>
      <c r="BB92" t="str">
        <f>IF('TRACKER - 20220622'!BJ109&lt;&gt;"",'TRACKER - 20220622'!BJ109,"")</f>
        <v/>
      </c>
      <c r="BC92" t="str">
        <f>IF('TRACKER - 20220622'!BK109&lt;&gt;"",'TRACKER - 20220622'!BK109,"")</f>
        <v/>
      </c>
      <c r="BD92" t="str">
        <f>IF('TRACKER - 20220622'!BL109&lt;&gt;"",'TRACKER - 20220622'!BL109,"")</f>
        <v/>
      </c>
      <c r="BE92" t="str">
        <f>IF('TRACKER - 20220622'!BM109&lt;&gt;"",'TRACKER - 20220622'!BM109,"")</f>
        <v/>
      </c>
      <c r="BF92" t="str">
        <f>IF('TRACKER - 20220622'!BN109&lt;&gt;"",'TRACKER - 20220622'!BN109,"")</f>
        <v/>
      </c>
      <c r="BG92" t="str">
        <f>IF('TRACKER - 20220622'!BO109&lt;&gt;"",'TRACKER - 20220622'!BO109,"")</f>
        <v/>
      </c>
    </row>
    <row r="93" spans="1:59">
      <c r="A93" t="str">
        <f>IF('TRACKER - 20220622'!A110&lt;&gt;"",UPPER('TRACKER - 20220622'!A110),"")</f>
        <v>PRODUCT ROADMAP</v>
      </c>
      <c r="B93" t="str">
        <f>IF('TRACKER - 20220622'!B110&lt;&gt;"",UPPER('TRACKER - 20220622'!B110),"")</f>
        <v>N</v>
      </c>
      <c r="C93" t="str">
        <f>IF('TRACKER - 20220622'!D96&lt;&gt;"",UPPER('TRACKER - 20220622'!D96),"")</f>
        <v>15</v>
      </c>
      <c r="D93" t="str">
        <f>IF('TRACKER - 20220622'!F110&lt;&gt;"",UPPER('TRACKER - 20220622'!F110),"")</f>
        <v>PRD-REQ-2020-00025</v>
      </c>
      <c r="E93" t="str">
        <f>IF('TRACKER - 20220622'!H110&lt;&gt;"",'TRACKER - 20220622'!H110,"")</f>
        <v>OWASP Pen-Test - ePayments - Aspire</v>
      </c>
      <c r="F93" t="str">
        <f t="shared" si="2"/>
        <v>PRD-REQ-2020-00025 OWASP Pen-Test - ePayments - Aspire</v>
      </c>
      <c r="G93" t="str">
        <f t="shared" si="3"/>
        <v>00015 - OWASP Pen-Test - ePayments - Aspire</v>
      </c>
      <c r="H93">
        <f>IF('TRACKER - 20220622'!J110&lt;&gt;"",'TRACKER - 20220622'!J110,"")</f>
        <v>-8100</v>
      </c>
      <c r="I93" t="str">
        <f>IF('TRACKER - 20220622'!K96&lt;&gt;"",UPPER('TRACKER - 20220622'!K96),"")</f>
        <v>44040</v>
      </c>
      <c r="J93" t="str">
        <f>IF('TRACKER - 20220622'!L96&lt;&gt;"",UPPER('TRACKER - 20220622'!L96),"")</f>
        <v>44040</v>
      </c>
      <c r="K93" t="str">
        <f>IF('TRACKER - 20220622'!M96&lt;&gt;"",UPPER('TRACKER - 20220622'!M96),"")</f>
        <v/>
      </c>
      <c r="L93" t="str">
        <f>IF('TRACKER - 20220622'!N96&lt;&gt;"",UPPER('TRACKER - 20220622'!N96),"")</f>
        <v/>
      </c>
      <c r="M93" t="str">
        <f>IF('TRACKER - 20220622'!O96&lt;&gt;"",UPPER('TRACKER - 20220622'!O96),"")</f>
        <v/>
      </c>
      <c r="N93" t="str">
        <f>IF('TRACKER - 20220622'!P96&lt;&gt;"",UPPER('TRACKER - 20220622'!P96),"")</f>
        <v/>
      </c>
      <c r="O93" t="str">
        <f>IF('TRACKER - 20220622'!Q96&lt;&gt;"",UPPER('TRACKER - 20220622'!Q96),"")</f>
        <v>ETRADER</v>
      </c>
      <c r="P93" t="str">
        <f>IF('TRACKER - 20220622'!R96&lt;&gt;"",UPPER('TRACKER - 20220622'!R96),"")</f>
        <v>PRODUCT</v>
      </c>
      <c r="Q93" t="str">
        <f>IF('TRACKER - 20220622'!S96&lt;&gt;"",UPPER('TRACKER - 20220622'!S96),"")</f>
        <v>NEW</v>
      </c>
      <c r="R93" t="str">
        <f>IF('TRACKER - 20220622'!T96&lt;&gt;"",UPPER('TRACKER - 20220622'!T96),"")</f>
        <v/>
      </c>
      <c r="S93" t="str">
        <f>IF('TRACKER - 20220622'!U96&lt;&gt;"",UPPER('TRACKER - 20220622'!U96),"")</f>
        <v/>
      </c>
      <c r="T93" t="str">
        <f>IF('TRACKER - 20220622'!V96&lt;&gt;"",UPPER('TRACKER - 20220622'!V96),"")</f>
        <v/>
      </c>
      <c r="U93" t="str">
        <f>IF('TRACKER - 20220622'!W96&lt;&gt;"",UPPER('TRACKER - 20220622'!W96),"")</f>
        <v/>
      </c>
      <c r="V93" t="str">
        <f>IF('TRACKER - 20220622'!X96&lt;&gt;"",UPPER('TRACKER - 20220622'!X96),"")</f>
        <v>15/09/20 - SELECTED TO PRODUCT ROADMAP INVESTIGATION - LINKED TO V6 STRAT</v>
      </c>
      <c r="W93" t="str">
        <f>IF('TRACKER - 20220622'!Y96&lt;&gt;"",UPPER('TRACKER - 20220622'!Y96),"")</f>
        <v>0</v>
      </c>
      <c r="X93" t="str">
        <f>IF('TRACKER - 20220622'!Z96&lt;&gt;"",UPPER('TRACKER - 20220622'!Z96),"")</f>
        <v>0</v>
      </c>
      <c r="Y93" t="str">
        <f>IF('TRACKER - 20220622'!AA96&lt;&gt;"",UPPER('TRACKER - 20220622'!AA96),"")</f>
        <v>0</v>
      </c>
      <c r="Z93" t="str">
        <f>IF('TRACKER - 20220622'!AB96&lt;&gt;"",UPPER('TRACKER - 20220622'!AB96),"")</f>
        <v>0</v>
      </c>
      <c r="AA93" t="str">
        <f>IF('TRACKER - 20220622'!AC96&lt;&gt;"",UPPER('TRACKER - 20220622'!AC96),"")</f>
        <v>0</v>
      </c>
      <c r="AB93" t="str">
        <f>IF('TRACKER - 20220622'!AE96&lt;&gt;"",UPPER('TRACKER - 20220622'!AE96),"")</f>
        <v>0</v>
      </c>
      <c r="AC93" t="str">
        <f>IF('TRACKER - 20220622'!AF96&lt;&gt;"",UPPER('TRACKER - 20220622'!AF96),"")</f>
        <v>0</v>
      </c>
      <c r="AD93" t="str">
        <f>IF('TRACKER - 20220622'!AG96&lt;&gt;"",UPPER('TRACKER - 20220622'!AG96),"")</f>
        <v>0</v>
      </c>
      <c r="AE93" t="str">
        <f>IF('TRACKER - 20220622'!AH96&lt;&gt;"",UPPER('TRACKER - 20220622'!AH96),"")</f>
        <v>-150</v>
      </c>
      <c r="AF93" t="str">
        <f>IF('TRACKER - 20220622'!AI96&lt;&gt;"",UPPER('TRACKER - 20220622'!AI96),"")</f>
        <v/>
      </c>
      <c r="AG93" t="str">
        <f>IF('TRACKER - 20220622'!AJ96&lt;&gt;"",UPPER('TRACKER - 20220622'!AJ96),"")</f>
        <v>0</v>
      </c>
      <c r="AH93" t="str">
        <f>IF('TRACKER - 20220622'!AK96&lt;&gt;"",UPPER('TRACKER - 20220622'!AK96),"")</f>
        <v/>
      </c>
      <c r="AI93" t="str">
        <f>IF('TRACKER - 20220622'!AL96&lt;&gt;"",UPPER('TRACKER - 20220622'!AL96),"")</f>
        <v>0</v>
      </c>
      <c r="AJ93" t="str">
        <f>IF('TRACKER - 20220622'!AM96&lt;&gt;"",UPPER('TRACKER - 20220622'!AM96),"")</f>
        <v>0</v>
      </c>
      <c r="AK93" t="str">
        <f>IF('TRACKER - 20220622'!AN96&lt;&gt;"",UPPER('TRACKER - 20220622'!AN96),"")</f>
        <v/>
      </c>
      <c r="AL93" t="str">
        <f>IF('TRACKER - 20220622'!AO96&lt;&gt;"",UPPER('TRACKER - 20220622'!AO96),"")</f>
        <v>0</v>
      </c>
      <c r="AM93" t="str">
        <f>IF('TRACKER - 20220622'!AP96&lt;&gt;"",UPPER('TRACKER - 20220622'!AP96),"")</f>
        <v>0</v>
      </c>
      <c r="AN93" t="str">
        <f>IF('TRACKER - 20220622'!AQ96&lt;&gt;"",UPPER('TRACKER - 20220622'!AQ96),"")</f>
        <v>0</v>
      </c>
      <c r="AO93" t="str">
        <f>IF('TRACKER - 20220622'!AR96&lt;&gt;"",UPPER('TRACKER - 20220622'!AR96),"")</f>
        <v>PRD</v>
      </c>
      <c r="AP93" t="str">
        <f>IF('TRACKER - 20220622'!AS96&lt;&gt;"",UPPER('TRACKER - 20220622'!AS96),"")</f>
        <v>REQ</v>
      </c>
      <c r="AQ93" t="str">
        <f>IF('TRACKER - 20220622'!AT96&lt;&gt;"",UPPER('TRACKER - 20220622'!AT96),"")</f>
        <v>N</v>
      </c>
      <c r="AR93" t="str">
        <f>IF('TRACKER - 20220622'!AU96&lt;&gt;"",UPPER('TRACKER - 20220622'!AU96),"")</f>
        <v>-150</v>
      </c>
      <c r="AS93" t="str">
        <f>IF('TRACKER - 20220622'!AV96&lt;&gt;"",UPPER('TRACKER - 20220622'!AV96),"")</f>
        <v/>
      </c>
      <c r="AT93" t="str">
        <f>IF('TRACKER - 20220622'!AW96&lt;&gt;"",UPPER('TRACKER - 20220622'!AW96),"")</f>
        <v/>
      </c>
      <c r="AU93" t="str">
        <f>IF('TRACKER - 20220622'!AX96&lt;&gt;"",UPPER('TRACKER - 20220622'!AX96),"")</f>
        <v>REASON96</v>
      </c>
      <c r="AV93" t="str">
        <f>IF('TRACKER - 20220622'!BD110&lt;&gt;"",'TRACKER - 20220622'!BD110,"")</f>
        <v/>
      </c>
      <c r="AW93" t="str">
        <f>IF('TRACKER - 20220622'!BE110&lt;&gt;"",'TRACKER - 20220622'!BE110,"")</f>
        <v/>
      </c>
      <c r="AX93" t="str">
        <f>IF('TRACKER - 20220622'!BF110&lt;&gt;"",'TRACKER - 20220622'!BF110,"")</f>
        <v/>
      </c>
      <c r="AY93" t="str">
        <f>IF('TRACKER - 20220622'!BG110&lt;&gt;"",'TRACKER - 20220622'!BG110,"")</f>
        <v/>
      </c>
      <c r="AZ93" t="str">
        <f>IF('TRACKER - 20220622'!BH110&lt;&gt;"",'TRACKER - 20220622'!BH110,"")</f>
        <v/>
      </c>
      <c r="BA93" t="str">
        <f>IF('TRACKER - 20220622'!BI110&lt;&gt;"",'TRACKER - 20220622'!BI110,"")</f>
        <v/>
      </c>
      <c r="BB93" t="str">
        <f>IF('TRACKER - 20220622'!BJ110&lt;&gt;"",'TRACKER - 20220622'!BJ110,"")</f>
        <v/>
      </c>
      <c r="BC93" t="str">
        <f>IF('TRACKER - 20220622'!BK110&lt;&gt;"",'TRACKER - 20220622'!BK110,"")</f>
        <v/>
      </c>
      <c r="BD93" t="str">
        <f>IF('TRACKER - 20220622'!BL110&lt;&gt;"",'TRACKER - 20220622'!BL110,"")</f>
        <v/>
      </c>
      <c r="BE93" t="str">
        <f>IF('TRACKER - 20220622'!BM110&lt;&gt;"",'TRACKER - 20220622'!BM110,"")</f>
        <v/>
      </c>
      <c r="BF93" t="str">
        <f>IF('TRACKER - 20220622'!BN110&lt;&gt;"",'TRACKER - 20220622'!BN110,"")</f>
        <v/>
      </c>
      <c r="BG93" t="str">
        <f>IF('TRACKER - 20220622'!BO110&lt;&gt;"",'TRACKER - 20220622'!BO110,"")</f>
        <v/>
      </c>
    </row>
    <row r="94" spans="1:59">
      <c r="A94" t="str">
        <f>IF('TRACKER - 20220622'!A111&lt;&gt;"",UPPER('TRACKER - 20220622'!A111),"")</f>
        <v>PRODUCT ROADMAP</v>
      </c>
      <c r="B94" t="str">
        <f>IF('TRACKER - 20220622'!B111&lt;&gt;"",UPPER('TRACKER - 20220622'!B111),"")</f>
        <v>N</v>
      </c>
      <c r="C94" t="str">
        <f>IF('TRACKER - 20220622'!D97&lt;&gt;"",UPPER('TRACKER - 20220622'!D97),"")</f>
        <v>16</v>
      </c>
      <c r="D94" t="str">
        <f>IF('TRACKER - 20220622'!F111&lt;&gt;"",UPPER('TRACKER - 20220622'!F111),"")</f>
        <v>PRD-REQ-2021-00001</v>
      </c>
      <c r="E94" t="str">
        <f>IF('TRACKER - 20220622'!H111&lt;&gt;"",'TRACKER - 20220622'!H111,"")</f>
        <v>Cash Flow Forecasting MVP</v>
      </c>
      <c r="F94" t="str">
        <f t="shared" si="2"/>
        <v>PRD-REQ-2021-00001 Cash Flow Forecasting MVP</v>
      </c>
      <c r="G94" t="str">
        <f t="shared" si="3"/>
        <v>00016 - Cash Flow Forecasting MVP</v>
      </c>
      <c r="H94">
        <f>IF('TRACKER - 20220622'!J111&lt;&gt;"",'TRACKER - 20220622'!J111,"")</f>
        <v>-45000</v>
      </c>
      <c r="I94" t="str">
        <f>IF('TRACKER - 20220622'!K97&lt;&gt;"",UPPER('TRACKER - 20220622'!K97),"")</f>
        <v>44040</v>
      </c>
      <c r="J94" t="str">
        <f>IF('TRACKER - 20220622'!L97&lt;&gt;"",UPPER('TRACKER - 20220622'!L97),"")</f>
        <v>44040</v>
      </c>
      <c r="K94" t="str">
        <f>IF('TRACKER - 20220622'!M97&lt;&gt;"",UPPER('TRACKER - 20220622'!M97),"")</f>
        <v/>
      </c>
      <c r="L94" t="str">
        <f>IF('TRACKER - 20220622'!N97&lt;&gt;"",UPPER('TRACKER - 20220622'!N97),"")</f>
        <v/>
      </c>
      <c r="M94" t="str">
        <f>IF('TRACKER - 20220622'!O97&lt;&gt;"",UPPER('TRACKER - 20220622'!O97),"")</f>
        <v/>
      </c>
      <c r="N94" t="str">
        <f>IF('TRACKER - 20220622'!P97&lt;&gt;"",UPPER('TRACKER - 20220622'!P97),"")</f>
        <v/>
      </c>
      <c r="O94" t="str">
        <f>IF('TRACKER - 20220622'!Q97&lt;&gt;"",UPPER('TRACKER - 20220622'!Q97),"")</f>
        <v>EPAYMENTS</v>
      </c>
      <c r="P94" t="str">
        <f>IF('TRACKER - 20220622'!R97&lt;&gt;"",UPPER('TRACKER - 20220622'!R97),"")</f>
        <v>PRODUCT</v>
      </c>
      <c r="Q94" t="str">
        <f>IF('TRACKER - 20220622'!S97&lt;&gt;"",UPPER('TRACKER - 20220622'!S97),"")</f>
        <v>NEW</v>
      </c>
      <c r="R94" t="str">
        <f>IF('TRACKER - 20220622'!T97&lt;&gt;"",UPPER('TRACKER - 20220622'!T97),"")</f>
        <v/>
      </c>
      <c r="S94" t="str">
        <f>IF('TRACKER - 20220622'!U97&lt;&gt;"",UPPER('TRACKER - 20220622'!U97),"")</f>
        <v/>
      </c>
      <c r="T94" t="str">
        <f>IF('TRACKER - 20220622'!V97&lt;&gt;"",UPPER('TRACKER - 20220622'!V97),"")</f>
        <v/>
      </c>
      <c r="U94" t="str">
        <f>IF('TRACKER - 20220622'!W97&lt;&gt;"",UPPER('TRACKER - 20220622'!W97),"")</f>
        <v/>
      </c>
      <c r="V94" t="str">
        <f>IF('TRACKER - 20220622'!X97&lt;&gt;"",UPPER('TRACKER - 20220622'!X97),"")</f>
        <v>15/09/20 - SELECTED TO PRODUCT ROADMAP INVESTIGATION - LINKED TO V6 STRAT</v>
      </c>
      <c r="W94" t="str">
        <f>IF('TRACKER - 20220622'!Y97&lt;&gt;"",UPPER('TRACKER - 20220622'!Y97),"")</f>
        <v>0</v>
      </c>
      <c r="X94" t="str">
        <f>IF('TRACKER - 20220622'!Z97&lt;&gt;"",UPPER('TRACKER - 20220622'!Z97),"")</f>
        <v>0</v>
      </c>
      <c r="Y94" t="str">
        <f>IF('TRACKER - 20220622'!AA97&lt;&gt;"",UPPER('TRACKER - 20220622'!AA97),"")</f>
        <v>0</v>
      </c>
      <c r="Z94" t="str">
        <f>IF('TRACKER - 20220622'!AB97&lt;&gt;"",UPPER('TRACKER - 20220622'!AB97),"")</f>
        <v>0</v>
      </c>
      <c r="AA94" t="str">
        <f>IF('TRACKER - 20220622'!AC97&lt;&gt;"",UPPER('TRACKER - 20220622'!AC97),"")</f>
        <v>0</v>
      </c>
      <c r="AB94" t="str">
        <f>IF('TRACKER - 20220622'!AE97&lt;&gt;"",UPPER('TRACKER - 20220622'!AE97),"")</f>
        <v>0</v>
      </c>
      <c r="AC94" t="str">
        <f>IF('TRACKER - 20220622'!AF97&lt;&gt;"",UPPER('TRACKER - 20220622'!AF97),"")</f>
        <v>0</v>
      </c>
      <c r="AD94" t="str">
        <f>IF('TRACKER - 20220622'!AG97&lt;&gt;"",UPPER('TRACKER - 20220622'!AG97),"")</f>
        <v>0</v>
      </c>
      <c r="AE94" t="str">
        <f>IF('TRACKER - 20220622'!AH97&lt;&gt;"",UPPER('TRACKER - 20220622'!AH97),"")</f>
        <v>-150</v>
      </c>
      <c r="AF94" t="str">
        <f>IF('TRACKER - 20220622'!AI97&lt;&gt;"",UPPER('TRACKER - 20220622'!AI97),"")</f>
        <v/>
      </c>
      <c r="AG94" t="str">
        <f>IF('TRACKER - 20220622'!AJ97&lt;&gt;"",UPPER('TRACKER - 20220622'!AJ97),"")</f>
        <v>0</v>
      </c>
      <c r="AH94" t="str">
        <f>IF('TRACKER - 20220622'!AK97&lt;&gt;"",UPPER('TRACKER - 20220622'!AK97),"")</f>
        <v/>
      </c>
      <c r="AI94" t="str">
        <f>IF('TRACKER - 20220622'!AL97&lt;&gt;"",UPPER('TRACKER - 20220622'!AL97),"")</f>
        <v>0</v>
      </c>
      <c r="AJ94" t="str">
        <f>IF('TRACKER - 20220622'!AM97&lt;&gt;"",UPPER('TRACKER - 20220622'!AM97),"")</f>
        <v>0</v>
      </c>
      <c r="AK94" t="str">
        <f>IF('TRACKER - 20220622'!AN97&lt;&gt;"",UPPER('TRACKER - 20220622'!AN97),"")</f>
        <v/>
      </c>
      <c r="AL94" t="str">
        <f>IF('TRACKER - 20220622'!AO97&lt;&gt;"",UPPER('TRACKER - 20220622'!AO97),"")</f>
        <v>0</v>
      </c>
      <c r="AM94" t="str">
        <f>IF('TRACKER - 20220622'!AP97&lt;&gt;"",UPPER('TRACKER - 20220622'!AP97),"")</f>
        <v>0</v>
      </c>
      <c r="AN94" t="str">
        <f>IF('TRACKER - 20220622'!AQ97&lt;&gt;"",UPPER('TRACKER - 20220622'!AQ97),"")</f>
        <v>0</v>
      </c>
      <c r="AO94" t="str">
        <f>IF('TRACKER - 20220622'!AR97&lt;&gt;"",UPPER('TRACKER - 20220622'!AR97),"")</f>
        <v>PRD</v>
      </c>
      <c r="AP94" t="str">
        <f>IF('TRACKER - 20220622'!AS97&lt;&gt;"",UPPER('TRACKER - 20220622'!AS97),"")</f>
        <v>REQ</v>
      </c>
      <c r="AQ94" t="str">
        <f>IF('TRACKER - 20220622'!AT97&lt;&gt;"",UPPER('TRACKER - 20220622'!AT97),"")</f>
        <v>N</v>
      </c>
      <c r="AR94" t="str">
        <f>IF('TRACKER - 20220622'!AU97&lt;&gt;"",UPPER('TRACKER - 20220622'!AU97),"")</f>
        <v>-150</v>
      </c>
      <c r="AS94" t="str">
        <f>IF('TRACKER - 20220622'!AV97&lt;&gt;"",UPPER('TRACKER - 20220622'!AV97),"")</f>
        <v/>
      </c>
      <c r="AT94" t="str">
        <f>IF('TRACKER - 20220622'!AW97&lt;&gt;"",UPPER('TRACKER - 20220622'!AW97),"")</f>
        <v/>
      </c>
      <c r="AU94" t="str">
        <f>IF('TRACKER - 20220622'!AX97&lt;&gt;"",UPPER('TRACKER - 20220622'!AX97),"")</f>
        <v>REASON97</v>
      </c>
      <c r="AV94" t="str">
        <f>IF('TRACKER - 20220622'!BD111&lt;&gt;"",'TRACKER - 20220622'!BD111,"")</f>
        <v/>
      </c>
      <c r="AW94" t="str">
        <f>IF('TRACKER - 20220622'!BE111&lt;&gt;"",'TRACKER - 20220622'!BE111,"")</f>
        <v/>
      </c>
      <c r="AX94" t="str">
        <f>IF('TRACKER - 20220622'!BF111&lt;&gt;"",'TRACKER - 20220622'!BF111,"")</f>
        <v/>
      </c>
      <c r="AY94" t="str">
        <f>IF('TRACKER - 20220622'!BG111&lt;&gt;"",'TRACKER - 20220622'!BG111,"")</f>
        <v/>
      </c>
      <c r="AZ94" t="str">
        <f>IF('TRACKER - 20220622'!BH111&lt;&gt;"",'TRACKER - 20220622'!BH111,"")</f>
        <v/>
      </c>
      <c r="BA94" t="str">
        <f>IF('TRACKER - 20220622'!BI111&lt;&gt;"",'TRACKER - 20220622'!BI111,"")</f>
        <v/>
      </c>
      <c r="BB94" t="str">
        <f>IF('TRACKER - 20220622'!BJ111&lt;&gt;"",'TRACKER - 20220622'!BJ111,"")</f>
        <v/>
      </c>
      <c r="BC94" t="str">
        <f>IF('TRACKER - 20220622'!BK111&lt;&gt;"",'TRACKER - 20220622'!BK111,"")</f>
        <v/>
      </c>
      <c r="BD94" t="str">
        <f>IF('TRACKER - 20220622'!BL111&lt;&gt;"",'TRACKER - 20220622'!BL111,"")</f>
        <v/>
      </c>
      <c r="BE94" t="str">
        <f>IF('TRACKER - 20220622'!BM111&lt;&gt;"",'TRACKER - 20220622'!BM111,"")</f>
        <v/>
      </c>
      <c r="BF94" t="str">
        <f>IF('TRACKER - 20220622'!BN111&lt;&gt;"",'TRACKER - 20220622'!BN111,"")</f>
        <v/>
      </c>
      <c r="BG94" t="str">
        <f>IF('TRACKER - 20220622'!BO111&lt;&gt;"",'TRACKER - 20220622'!BO111,"")</f>
        <v/>
      </c>
    </row>
    <row r="95" spans="1:59">
      <c r="A95" t="str">
        <f>IF('TRACKER - 20220622'!A112&lt;&gt;"",UPPER('TRACKER - 20220622'!A112),"")</f>
        <v>PRODUCT ROADMAP</v>
      </c>
      <c r="B95" t="str">
        <f>IF('TRACKER - 20220622'!B112&lt;&gt;"",UPPER('TRACKER - 20220622'!B112),"")</f>
        <v>N</v>
      </c>
      <c r="C95" t="str">
        <f>IF('TRACKER - 20220622'!D98&lt;&gt;"",UPPER('TRACKER - 20220622'!D98),"")</f>
        <v>17</v>
      </c>
      <c r="D95" t="str">
        <f>IF('TRACKER - 20220622'!F112&lt;&gt;"",UPPER('TRACKER - 20220622'!F112),"")</f>
        <v>PRD-REQ-2021-00003</v>
      </c>
      <c r="E95" t="str">
        <f>IF('TRACKER - 20220622'!H112&lt;&gt;"",'TRACKER - 20220622'!H112,"")</f>
        <v>Dashboard Strategy</v>
      </c>
      <c r="F95" t="str">
        <f t="shared" si="2"/>
        <v>PRD-REQ-2021-00003 Dashboard Strategy</v>
      </c>
      <c r="G95" t="str">
        <f t="shared" si="3"/>
        <v>00017 - Dashboard Strategy</v>
      </c>
      <c r="H95">
        <f>IF('TRACKER - 20220622'!J112&lt;&gt;"",'TRACKER - 20220622'!J112,"")</f>
        <v>0</v>
      </c>
      <c r="I95" t="str">
        <f>IF('TRACKER - 20220622'!K98&lt;&gt;"",UPPER('TRACKER - 20220622'!K98),"")</f>
        <v>44069</v>
      </c>
      <c r="J95" t="str">
        <f>IF('TRACKER - 20220622'!L98&lt;&gt;"",UPPER('TRACKER - 20220622'!L98),"")</f>
        <v>44069</v>
      </c>
      <c r="K95" t="str">
        <f>IF('TRACKER - 20220622'!M98&lt;&gt;"",UPPER('TRACKER - 20220622'!M98),"")</f>
        <v/>
      </c>
      <c r="L95" t="str">
        <f>IF('TRACKER - 20220622'!N98&lt;&gt;"",UPPER('TRACKER - 20220622'!N98),"")</f>
        <v/>
      </c>
      <c r="M95" t="str">
        <f>IF('TRACKER - 20220622'!O98&lt;&gt;"",UPPER('TRACKER - 20220622'!O98),"")</f>
        <v/>
      </c>
      <c r="N95" t="str">
        <f>IF('TRACKER - 20220622'!P98&lt;&gt;"",UPPER('TRACKER - 20220622'!P98),"")</f>
        <v/>
      </c>
      <c r="O95" t="str">
        <f>IF('TRACKER - 20220622'!Q98&lt;&gt;"",UPPER('TRACKER - 20220622'!Q98),"")</f>
        <v>SALES DESK</v>
      </c>
      <c r="P95" t="str">
        <f>IF('TRACKER - 20220622'!R98&lt;&gt;"",UPPER('TRACKER - 20220622'!R98),"")</f>
        <v>PRODUCT</v>
      </c>
      <c r="Q95" t="str">
        <f>IF('TRACKER - 20220622'!S98&lt;&gt;"",UPPER('TRACKER - 20220622'!S98),"")</f>
        <v>NEW</v>
      </c>
      <c r="R95" t="str">
        <f>IF('TRACKER - 20220622'!T98&lt;&gt;"",UPPER('TRACKER - 20220622'!T98),"")</f>
        <v/>
      </c>
      <c r="S95" t="str">
        <f>IF('TRACKER - 20220622'!U98&lt;&gt;"",UPPER('TRACKER - 20220622'!U98),"")</f>
        <v/>
      </c>
      <c r="T95" t="str">
        <f>IF('TRACKER - 20220622'!V98&lt;&gt;"",UPPER('TRACKER - 20220622'!V98),"")</f>
        <v/>
      </c>
      <c r="U95" t="str">
        <f>IF('TRACKER - 20220622'!W98&lt;&gt;"",UPPER('TRACKER - 20220622'!W98),"")</f>
        <v/>
      </c>
      <c r="V95" t="str">
        <f>IF('TRACKER - 20220622'!X98&lt;&gt;"",UPPER('TRACKER - 20220622'!X98),"")</f>
        <v>15/09/20 - SELECTED TO PRODUCT ROADMAP INVESTIGATION - LINKED TO V6 STRAT
"SINGLE PANE OF GLASS"</v>
      </c>
      <c r="W95" t="str">
        <f>IF('TRACKER - 20220622'!Y98&lt;&gt;"",UPPER('TRACKER - 20220622'!Y98),"")</f>
        <v>0</v>
      </c>
      <c r="X95" t="str">
        <f>IF('TRACKER - 20220622'!Z98&lt;&gt;"",UPPER('TRACKER - 20220622'!Z98),"")</f>
        <v>0</v>
      </c>
      <c r="Y95" t="str">
        <f>IF('TRACKER - 20220622'!AA98&lt;&gt;"",UPPER('TRACKER - 20220622'!AA98),"")</f>
        <v>0</v>
      </c>
      <c r="Z95" t="str">
        <f>IF('TRACKER - 20220622'!AB98&lt;&gt;"",UPPER('TRACKER - 20220622'!AB98),"")</f>
        <v>0</v>
      </c>
      <c r="AA95" t="str">
        <f>IF('TRACKER - 20220622'!AC98&lt;&gt;"",UPPER('TRACKER - 20220622'!AC98),"")</f>
        <v>0</v>
      </c>
      <c r="AB95" t="str">
        <f>IF('TRACKER - 20220622'!AE98&lt;&gt;"",UPPER('TRACKER - 20220622'!AE98),"")</f>
        <v>0</v>
      </c>
      <c r="AC95" t="str">
        <f>IF('TRACKER - 20220622'!AF98&lt;&gt;"",UPPER('TRACKER - 20220622'!AF98),"")</f>
        <v>0</v>
      </c>
      <c r="AD95" t="str">
        <f>IF('TRACKER - 20220622'!AG98&lt;&gt;"",UPPER('TRACKER - 20220622'!AG98),"")</f>
        <v>0</v>
      </c>
      <c r="AE95" t="str">
        <f>IF('TRACKER - 20220622'!AH98&lt;&gt;"",UPPER('TRACKER - 20220622'!AH98),"")</f>
        <v>-150</v>
      </c>
      <c r="AF95" t="str">
        <f>IF('TRACKER - 20220622'!AI98&lt;&gt;"",UPPER('TRACKER - 20220622'!AI98),"")</f>
        <v/>
      </c>
      <c r="AG95" t="str">
        <f>IF('TRACKER - 20220622'!AJ98&lt;&gt;"",UPPER('TRACKER - 20220622'!AJ98),"")</f>
        <v>0</v>
      </c>
      <c r="AH95" t="str">
        <f>IF('TRACKER - 20220622'!AK98&lt;&gt;"",UPPER('TRACKER - 20220622'!AK98),"")</f>
        <v/>
      </c>
      <c r="AI95" t="str">
        <f>IF('TRACKER - 20220622'!AL98&lt;&gt;"",UPPER('TRACKER - 20220622'!AL98),"")</f>
        <v>0</v>
      </c>
      <c r="AJ95" t="str">
        <f>IF('TRACKER - 20220622'!AM98&lt;&gt;"",UPPER('TRACKER - 20220622'!AM98),"")</f>
        <v>0</v>
      </c>
      <c r="AK95" t="str">
        <f>IF('TRACKER - 20220622'!AN98&lt;&gt;"",UPPER('TRACKER - 20220622'!AN98),"")</f>
        <v/>
      </c>
      <c r="AL95" t="str">
        <f>IF('TRACKER - 20220622'!AO98&lt;&gt;"",UPPER('TRACKER - 20220622'!AO98),"")</f>
        <v>0</v>
      </c>
      <c r="AM95" t="str">
        <f>IF('TRACKER - 20220622'!AP98&lt;&gt;"",UPPER('TRACKER - 20220622'!AP98),"")</f>
        <v>0</v>
      </c>
      <c r="AN95" t="str">
        <f>IF('TRACKER - 20220622'!AQ98&lt;&gt;"",UPPER('TRACKER - 20220622'!AQ98),"")</f>
        <v>0</v>
      </c>
      <c r="AO95" t="str">
        <f>IF('TRACKER - 20220622'!AR98&lt;&gt;"",UPPER('TRACKER - 20220622'!AR98),"")</f>
        <v>PRD</v>
      </c>
      <c r="AP95" t="str">
        <f>IF('TRACKER - 20220622'!AS98&lt;&gt;"",UPPER('TRACKER - 20220622'!AS98),"")</f>
        <v>REQ</v>
      </c>
      <c r="AQ95" t="str">
        <f>IF('TRACKER - 20220622'!AT98&lt;&gt;"",UPPER('TRACKER - 20220622'!AT98),"")</f>
        <v>N</v>
      </c>
      <c r="AR95" t="str">
        <f>IF('TRACKER - 20220622'!AU98&lt;&gt;"",UPPER('TRACKER - 20220622'!AU98),"")</f>
        <v>-150</v>
      </c>
      <c r="AS95" t="str">
        <f>IF('TRACKER - 20220622'!AV98&lt;&gt;"",UPPER('TRACKER - 20220622'!AV98),"")</f>
        <v/>
      </c>
      <c r="AT95" t="str">
        <f>IF('TRACKER - 20220622'!AW98&lt;&gt;"",UPPER('TRACKER - 20220622'!AW98),"")</f>
        <v/>
      </c>
      <c r="AU95" t="str">
        <f>IF('TRACKER - 20220622'!AX98&lt;&gt;"",UPPER('TRACKER - 20220622'!AX98),"")</f>
        <v>REASON98</v>
      </c>
      <c r="AV95" t="str">
        <f>IF('TRACKER - 20220622'!BD112&lt;&gt;"",'TRACKER - 20220622'!BD112,"")</f>
        <v/>
      </c>
      <c r="AW95" t="str">
        <f>IF('TRACKER - 20220622'!BE112&lt;&gt;"",'TRACKER - 20220622'!BE112,"")</f>
        <v/>
      </c>
      <c r="AX95" t="str">
        <f>IF('TRACKER - 20220622'!BF112&lt;&gt;"",'TRACKER - 20220622'!BF112,"")</f>
        <v/>
      </c>
      <c r="AY95" t="str">
        <f>IF('TRACKER - 20220622'!BG112&lt;&gt;"",'TRACKER - 20220622'!BG112,"")</f>
        <v/>
      </c>
      <c r="AZ95" t="str">
        <f>IF('TRACKER - 20220622'!BH112&lt;&gt;"",'TRACKER - 20220622'!BH112,"")</f>
        <v/>
      </c>
      <c r="BA95" t="str">
        <f>IF('TRACKER - 20220622'!BI112&lt;&gt;"",'TRACKER - 20220622'!BI112,"")</f>
        <v/>
      </c>
      <c r="BB95" t="str">
        <f>IF('TRACKER - 20220622'!BJ112&lt;&gt;"",'TRACKER - 20220622'!BJ112,"")</f>
        <v/>
      </c>
      <c r="BC95" t="str">
        <f>IF('TRACKER - 20220622'!BK112&lt;&gt;"",'TRACKER - 20220622'!BK112,"")</f>
        <v/>
      </c>
      <c r="BD95" t="str">
        <f>IF('TRACKER - 20220622'!BL112&lt;&gt;"",'TRACKER - 20220622'!BL112,"")</f>
        <v/>
      </c>
      <c r="BE95" t="str">
        <f>IF('TRACKER - 20220622'!BM112&lt;&gt;"",'TRACKER - 20220622'!BM112,"")</f>
        <v/>
      </c>
      <c r="BF95" t="str">
        <f>IF('TRACKER - 20220622'!BN112&lt;&gt;"",'TRACKER - 20220622'!BN112,"")</f>
        <v/>
      </c>
      <c r="BG95" t="str">
        <f>IF('TRACKER - 20220622'!BO112&lt;&gt;"",'TRACKER - 20220622'!BO112,"")</f>
        <v/>
      </c>
    </row>
    <row r="96" spans="1:59">
      <c r="A96" t="str">
        <f>IF('TRACKER - 20220622'!A113&lt;&gt;"",UPPER('TRACKER - 20220622'!A113),"")</f>
        <v>PRODUCT ROADMAP</v>
      </c>
      <c r="B96" t="str">
        <f>IF('TRACKER - 20220622'!B113&lt;&gt;"",UPPER('TRACKER - 20220622'!B113),"")</f>
        <v>N</v>
      </c>
      <c r="C96" t="str">
        <f>IF('TRACKER - 20220622'!D99&lt;&gt;"",UPPER('TRACKER - 20220622'!D99),"")</f>
        <v>19</v>
      </c>
      <c r="D96" t="str">
        <f>IF('TRACKER - 20220622'!F113&lt;&gt;"",UPPER('TRACKER - 20220622'!F113),"")</f>
        <v>PRD-REQ-2020-00005</v>
      </c>
      <c r="E96" t="str">
        <f>IF('TRACKER - 20220622'!H113&lt;&gt;"",'TRACKER - 20220622'!H113,"")</f>
        <v>Documentation Update</v>
      </c>
      <c r="F96" t="str">
        <f t="shared" si="2"/>
        <v>PRD-REQ-2020-00005 Documentation Update</v>
      </c>
      <c r="G96" t="str">
        <f t="shared" si="3"/>
        <v>00019 - Documentation Update</v>
      </c>
      <c r="H96">
        <f>IF('TRACKER - 20220622'!J113&lt;&gt;"",'TRACKER - 20220622'!J113,"")</f>
        <v>0</v>
      </c>
      <c r="I96" t="str">
        <f>IF('TRACKER - 20220622'!K99&lt;&gt;"",UPPER('TRACKER - 20220622'!K99),"")</f>
        <v>44070</v>
      </c>
      <c r="J96" t="str">
        <f>IF('TRACKER - 20220622'!L99&lt;&gt;"",UPPER('TRACKER - 20220622'!L99),"")</f>
        <v>44070</v>
      </c>
      <c r="K96" t="str">
        <f>IF('TRACKER - 20220622'!M99&lt;&gt;"",UPPER('TRACKER - 20220622'!M99),"")</f>
        <v/>
      </c>
      <c r="L96" t="str">
        <f>IF('TRACKER - 20220622'!N99&lt;&gt;"",UPPER('TRACKER - 20220622'!N99),"")</f>
        <v/>
      </c>
      <c r="M96" t="str">
        <f>IF('TRACKER - 20220622'!O99&lt;&gt;"",UPPER('TRACKER - 20220622'!O99),"")</f>
        <v/>
      </c>
      <c r="N96" t="str">
        <f>IF('TRACKER - 20220622'!P99&lt;&gt;"",UPPER('TRACKER - 20220622'!P99),"")</f>
        <v/>
      </c>
      <c r="O96" t="str">
        <f>IF('TRACKER - 20220622'!Q99&lt;&gt;"",UPPER('TRACKER - 20220622'!Q99),"")</f>
        <v>REGULATORY</v>
      </c>
      <c r="P96" t="str">
        <f>IF('TRACKER - 20220622'!R99&lt;&gt;"",UPPER('TRACKER - 20220622'!R99),"")</f>
        <v>MARKET</v>
      </c>
      <c r="Q96" t="str">
        <f>IF('TRACKER - 20220622'!S99&lt;&gt;"",UPPER('TRACKER - 20220622'!S99),"")</f>
        <v/>
      </c>
      <c r="R96" t="str">
        <f>IF('TRACKER - 20220622'!T99&lt;&gt;"",UPPER('TRACKER - 20220622'!T99),"")</f>
        <v/>
      </c>
      <c r="S96" t="str">
        <f>IF('TRACKER - 20220622'!U99&lt;&gt;"",UPPER('TRACKER - 20220622'!U99),"")</f>
        <v/>
      </c>
      <c r="T96" t="str">
        <f>IF('TRACKER - 20220622'!V99&lt;&gt;"",UPPER('TRACKER - 20220622'!V99),"")</f>
        <v/>
      </c>
      <c r="U96" t="str">
        <f>IF('TRACKER - 20220622'!W99&lt;&gt;"",UPPER('TRACKER - 20220622'!W99),"")</f>
        <v/>
      </c>
      <c r="V96" t="str">
        <f>IF('TRACKER - 20220622'!X99&lt;&gt;"",UPPER('TRACKER - 20220622'!X99),"")</f>
        <v>15/09/20 - SELECTED TO PRODUCT ROADMAP INVESTIGATION</v>
      </c>
      <c r="W96" t="str">
        <f>IF('TRACKER - 20220622'!Y99&lt;&gt;"",UPPER('TRACKER - 20220622'!Y99),"")</f>
        <v>0</v>
      </c>
      <c r="X96" t="str">
        <f>IF('TRACKER - 20220622'!Z99&lt;&gt;"",UPPER('TRACKER - 20220622'!Z99),"")</f>
        <v>0</v>
      </c>
      <c r="Y96" t="str">
        <f>IF('TRACKER - 20220622'!AA99&lt;&gt;"",UPPER('TRACKER - 20220622'!AA99),"")</f>
        <v>0</v>
      </c>
      <c r="Z96" t="str">
        <f>IF('TRACKER - 20220622'!AB99&lt;&gt;"",UPPER('TRACKER - 20220622'!AB99),"")</f>
        <v>0</v>
      </c>
      <c r="AA96" t="str">
        <f>IF('TRACKER - 20220622'!AC99&lt;&gt;"",UPPER('TRACKER - 20220622'!AC99),"")</f>
        <v>0</v>
      </c>
      <c r="AB96" t="str">
        <f>IF('TRACKER - 20220622'!AE99&lt;&gt;"",UPPER('TRACKER - 20220622'!AE99),"")</f>
        <v>0</v>
      </c>
      <c r="AC96" t="str">
        <f>IF('TRACKER - 20220622'!AF99&lt;&gt;"",UPPER('TRACKER - 20220622'!AF99),"")</f>
        <v>0</v>
      </c>
      <c r="AD96" t="str">
        <f>IF('TRACKER - 20220622'!AG99&lt;&gt;"",UPPER('TRACKER - 20220622'!AG99),"")</f>
        <v>0</v>
      </c>
      <c r="AE96" t="str">
        <f>IF('TRACKER - 20220622'!AH99&lt;&gt;"",UPPER('TRACKER - 20220622'!AH99),"")</f>
        <v>-150</v>
      </c>
      <c r="AF96" t="str">
        <f>IF('TRACKER - 20220622'!AI99&lt;&gt;"",UPPER('TRACKER - 20220622'!AI99),"")</f>
        <v/>
      </c>
      <c r="AG96" t="str">
        <f>IF('TRACKER - 20220622'!AJ99&lt;&gt;"",UPPER('TRACKER - 20220622'!AJ99),"")</f>
        <v>0</v>
      </c>
      <c r="AH96" t="str">
        <f>IF('TRACKER - 20220622'!AK99&lt;&gt;"",UPPER('TRACKER - 20220622'!AK99),"")</f>
        <v/>
      </c>
      <c r="AI96" t="str">
        <f>IF('TRACKER - 20220622'!AL99&lt;&gt;"",UPPER('TRACKER - 20220622'!AL99),"")</f>
        <v>0</v>
      </c>
      <c r="AJ96" t="str">
        <f>IF('TRACKER - 20220622'!AM99&lt;&gt;"",UPPER('TRACKER - 20220622'!AM99),"")</f>
        <v>0</v>
      </c>
      <c r="AK96" t="str">
        <f>IF('TRACKER - 20220622'!AN99&lt;&gt;"",UPPER('TRACKER - 20220622'!AN99),"")</f>
        <v/>
      </c>
      <c r="AL96" t="str">
        <f>IF('TRACKER - 20220622'!AO99&lt;&gt;"",UPPER('TRACKER - 20220622'!AO99),"")</f>
        <v>0</v>
      </c>
      <c r="AM96" t="str">
        <f>IF('TRACKER - 20220622'!AP99&lt;&gt;"",UPPER('TRACKER - 20220622'!AP99),"")</f>
        <v>0</v>
      </c>
      <c r="AN96" t="str">
        <f>IF('TRACKER - 20220622'!AQ99&lt;&gt;"",UPPER('TRACKER - 20220622'!AQ99),"")</f>
        <v>0</v>
      </c>
      <c r="AO96" t="str">
        <f>IF('TRACKER - 20220622'!AR99&lt;&gt;"",UPPER('TRACKER - 20220622'!AR99),"")</f>
        <v>PRD</v>
      </c>
      <c r="AP96" t="str">
        <f>IF('TRACKER - 20220622'!AS99&lt;&gt;"",UPPER('TRACKER - 20220622'!AS99),"")</f>
        <v>REQ</v>
      </c>
      <c r="AQ96" t="str">
        <f>IF('TRACKER - 20220622'!AT99&lt;&gt;"",UPPER('TRACKER - 20220622'!AT99),"")</f>
        <v>N</v>
      </c>
      <c r="AR96" t="str">
        <f>IF('TRACKER - 20220622'!AU99&lt;&gt;"",UPPER('TRACKER - 20220622'!AU99),"")</f>
        <v>-150</v>
      </c>
      <c r="AS96" t="str">
        <f>IF('TRACKER - 20220622'!AV99&lt;&gt;"",UPPER('TRACKER - 20220622'!AV99),"")</f>
        <v/>
      </c>
      <c r="AT96" t="str">
        <f>IF('TRACKER - 20220622'!AW99&lt;&gt;"",UPPER('TRACKER - 20220622'!AW99),"")</f>
        <v/>
      </c>
      <c r="AU96" t="str">
        <f>IF('TRACKER - 20220622'!AX99&lt;&gt;"",UPPER('TRACKER - 20220622'!AX99),"")</f>
        <v>REASON99</v>
      </c>
      <c r="AV96" t="str">
        <f>IF('TRACKER - 20220622'!BD113&lt;&gt;"",'TRACKER - 20220622'!BD113,"")</f>
        <v/>
      </c>
      <c r="AW96" t="str">
        <f>IF('TRACKER - 20220622'!BE113&lt;&gt;"",'TRACKER - 20220622'!BE113,"")</f>
        <v/>
      </c>
      <c r="AX96" t="str">
        <f>IF('TRACKER - 20220622'!BF113&lt;&gt;"",'TRACKER - 20220622'!BF113,"")</f>
        <v/>
      </c>
      <c r="AY96" t="str">
        <f>IF('TRACKER - 20220622'!BG113&lt;&gt;"",'TRACKER - 20220622'!BG113,"")</f>
        <v/>
      </c>
      <c r="AZ96" t="str">
        <f>IF('TRACKER - 20220622'!BH113&lt;&gt;"",'TRACKER - 20220622'!BH113,"")</f>
        <v/>
      </c>
      <c r="BA96" t="str">
        <f>IF('TRACKER - 20220622'!BI113&lt;&gt;"",'TRACKER - 20220622'!BI113,"")</f>
        <v/>
      </c>
      <c r="BB96" t="str">
        <f>IF('TRACKER - 20220622'!BJ113&lt;&gt;"",'TRACKER - 20220622'!BJ113,"")</f>
        <v/>
      </c>
      <c r="BC96" t="str">
        <f>IF('TRACKER - 20220622'!BK113&lt;&gt;"",'TRACKER - 20220622'!BK113,"")</f>
        <v/>
      </c>
      <c r="BD96" t="str">
        <f>IF('TRACKER - 20220622'!BL113&lt;&gt;"",'TRACKER - 20220622'!BL113,"")</f>
        <v/>
      </c>
      <c r="BE96" t="str">
        <f>IF('TRACKER - 20220622'!BM113&lt;&gt;"",'TRACKER - 20220622'!BM113,"")</f>
        <v/>
      </c>
      <c r="BF96" t="str">
        <f>IF('TRACKER - 20220622'!BN113&lt;&gt;"",'TRACKER - 20220622'!BN113,"")</f>
        <v/>
      </c>
      <c r="BG96" t="str">
        <f>IF('TRACKER - 20220622'!BO113&lt;&gt;"",'TRACKER - 20220622'!BO113,"")</f>
        <v/>
      </c>
    </row>
    <row r="97" spans="1:59">
      <c r="A97" t="str">
        <f>IF('TRACKER - 20220622'!A114&lt;&gt;"",UPPER('TRACKER - 20220622'!A114),"")</f>
        <v>PRODUCT ROADMAP</v>
      </c>
      <c r="B97" t="str">
        <f>IF('TRACKER - 20220622'!B114&lt;&gt;"",UPPER('TRACKER - 20220622'!B114),"")</f>
        <v>N</v>
      </c>
      <c r="C97" t="str">
        <f>IF('TRACKER - 20220622'!D101&lt;&gt;"",UPPER('TRACKER - 20220622'!D101),"")</f>
        <v>20</v>
      </c>
      <c r="D97" t="str">
        <f>IF('TRACKER - 20220622'!F114&lt;&gt;"",UPPER('TRACKER - 20220622'!F114),"")</f>
        <v>PRD-REQ-2020-00024</v>
      </c>
      <c r="E97" t="str">
        <f>IF('TRACKER - 20220622'!H114&lt;&gt;"",'TRACKER - 20220622'!H114,"")</f>
        <v>Credit Facilities Agreement Type</v>
      </c>
      <c r="F97" t="str">
        <f t="shared" si="2"/>
        <v>PRD-REQ-2020-00024 Credit Facilities Agreement Type</v>
      </c>
      <c r="G97" t="str">
        <f t="shared" si="3"/>
        <v>9.7959183673469400020 - Credit Facilities Agreement Type</v>
      </c>
      <c r="H97">
        <f>IF('TRACKER - 20220622'!J114&lt;&gt;"",'TRACKER - 20220622'!J114,"")</f>
        <v>0</v>
      </c>
      <c r="I97" t="str">
        <f>IF('TRACKER - 20220622'!K101&lt;&gt;"",UPPER('TRACKER - 20220622'!K101),"")</f>
        <v>43716</v>
      </c>
      <c r="J97" t="str">
        <f>IF('TRACKER - 20220622'!L101&lt;&gt;"",UPPER('TRACKER - 20220622'!L101),"")</f>
        <v>43716</v>
      </c>
      <c r="K97" t="str">
        <f>IF('TRACKER - 20220622'!M101&lt;&gt;"",UPPER('TRACKER - 20220622'!M101),"")</f>
        <v/>
      </c>
      <c r="L97" t="str">
        <f>IF('TRACKER - 20220622'!N101&lt;&gt;"",UPPER('TRACKER - 20220622'!N101),"")</f>
        <v/>
      </c>
      <c r="M97" t="str">
        <f>IF('TRACKER - 20220622'!O101&lt;&gt;"",UPPER('TRACKER - 20220622'!O101),"")</f>
        <v/>
      </c>
      <c r="N97" t="str">
        <f>IF('TRACKER - 20220622'!P101&lt;&gt;"",UPPER('TRACKER - 20220622'!P101),"")</f>
        <v/>
      </c>
      <c r="O97" t="str">
        <f>IF('TRACKER - 20220622'!Q101&lt;&gt;"",UPPER('TRACKER - 20220622'!Q101),"")</f>
        <v>TREASURY</v>
      </c>
      <c r="P97" t="str">
        <f>IF('TRACKER - 20220622'!R101&lt;&gt;"",UPPER('TRACKER - 20220622'!R101),"")</f>
        <v>MARKET</v>
      </c>
      <c r="Q97" t="str">
        <f>IF('TRACKER - 20220622'!S101&lt;&gt;"",UPPER('TRACKER - 20220622'!S101),"")</f>
        <v>GAP</v>
      </c>
      <c r="R97" t="str">
        <f>IF('TRACKER - 20220622'!T101&lt;&gt;"",UPPER('TRACKER - 20220622'!T101),"")</f>
        <v>HIGH</v>
      </c>
      <c r="S97" t="str">
        <f>IF('TRACKER - 20220622'!U101&lt;&gt;"",UPPER('TRACKER - 20220622'!U101),"")</f>
        <v>MODERATE</v>
      </c>
      <c r="T97" t="str">
        <f>IF('TRACKER - 20220622'!V101&lt;&gt;"",UPPER('TRACKER - 20220622'!V101),"")</f>
        <v/>
      </c>
      <c r="U97" t="str">
        <f>IF('TRACKER - 20220622'!W101&lt;&gt;"",UPPER('TRACKER - 20220622'!W101),"")</f>
        <v/>
      </c>
      <c r="V97" t="str">
        <f>IF('TRACKER - 20220622'!X101&lt;&gt;"",UPPER('TRACKER - 20220622'!X101),"")</f>
        <v>13/11/20 - ESTIMATE RECEIVED FROM OPS
09/06/21 - FREQUENT REQUEST ON RFI/RFP AND QUESTIONS FROM EXISTING NON TRAD CUSTOMERS. IF WE LOOK AT THIS IT SHOULD BE BOTH FLAVOURS INC ETFS.  OE/NM TO REVIEW.</v>
      </c>
      <c r="W97" t="str">
        <f>IF('TRACKER - 20220622'!Y101&lt;&gt;"",UPPER('TRACKER - 20220622'!Y101),"")</f>
        <v>-90000</v>
      </c>
      <c r="X97" t="str">
        <f>IF('TRACKER - 20220622'!Z101&lt;&gt;"",UPPER('TRACKER - 20220622'!Z101),"")</f>
        <v>-11020.4081632653</v>
      </c>
      <c r="Y97" t="str">
        <f>IF('TRACKER - 20220622'!AA101&lt;&gt;"",UPPER('TRACKER - 20220622'!AA101),"")</f>
        <v>-42244.8979591837</v>
      </c>
      <c r="Z97" t="str">
        <f>IF('TRACKER - 20220622'!AB101&lt;&gt;"",UPPER('TRACKER - 20220622'!AB101),"")</f>
        <v>-14693.8775510204</v>
      </c>
      <c r="AA97" t="str">
        <f>IF('TRACKER - 20220622'!AC101&lt;&gt;"",UPPER('TRACKER - 20220622'!AC101),"")</f>
        <v>-11020.4081632653</v>
      </c>
      <c r="AB97" t="str">
        <f>IF('TRACKER - 20220622'!AE101&lt;&gt;"",UPPER('TRACKER - 20220622'!AE101),"")</f>
        <v>-11020.4081632653</v>
      </c>
      <c r="AC97" t="str">
        <f>IF('TRACKER - 20220622'!AF101&lt;&gt;"",UPPER('TRACKER - 20220622'!AF101),"")</f>
        <v>-90000</v>
      </c>
      <c r="AD97" t="str">
        <f>IF('TRACKER - 20220622'!AG101&lt;&gt;"",UPPER('TRACKER - 20220622'!AG101),"")</f>
        <v>0</v>
      </c>
      <c r="AE97" t="str">
        <f>IF('TRACKER - 20220622'!AH101&lt;&gt;"",UPPER('TRACKER - 20220622'!AH101),"")</f>
        <v>-150</v>
      </c>
      <c r="AF97" t="str">
        <f>IF('TRACKER - 20220622'!AI101&lt;&gt;"",UPPER('TRACKER - 20220622'!AI101),"")</f>
        <v/>
      </c>
      <c r="AG97" t="str">
        <f>IF('TRACKER - 20220622'!AJ101&lt;&gt;"",UPPER('TRACKER - 20220622'!AJ101),"")</f>
        <v>0</v>
      </c>
      <c r="AH97" t="str">
        <f>IF('TRACKER - 20220622'!AK101&lt;&gt;"",UPPER('TRACKER - 20220622'!AK101),"")</f>
        <v>9.79591836734694</v>
      </c>
      <c r="AI97" t="str">
        <f>IF('TRACKER - 20220622'!AL101&lt;&gt;"",UPPER('TRACKER - 20220622'!AL101),"")</f>
        <v>37.5510204081633</v>
      </c>
      <c r="AJ97" t="str">
        <f>IF('TRACKER - 20220622'!AM101&lt;&gt;"",UPPER('TRACKER - 20220622'!AM101),"")</f>
        <v>13.0612244897959</v>
      </c>
      <c r="AK97" t="str">
        <f>IF('TRACKER - 20220622'!AN101&lt;&gt;"",UPPER('TRACKER - 20220622'!AN101),"")</f>
        <v>9.79591836734694</v>
      </c>
      <c r="AL97" t="str">
        <f>IF('TRACKER - 20220622'!AO101&lt;&gt;"",UPPER('TRACKER - 20220622'!AO101),"")</f>
        <v>9.79591836734694</v>
      </c>
      <c r="AM97" t="str">
        <f>IF('TRACKER - 20220622'!AP101&lt;&gt;"",UPPER('TRACKER - 20220622'!AP101),"")</f>
        <v>80</v>
      </c>
      <c r="AN97" t="str">
        <f>IF('TRACKER - 20220622'!AQ101&lt;&gt;"",UPPER('TRACKER - 20220622'!AQ101),"")</f>
        <v>0</v>
      </c>
      <c r="AO97" t="str">
        <f>IF('TRACKER - 20220622'!AR101&lt;&gt;"",UPPER('TRACKER - 20220622'!AR101),"")</f>
        <v>PRD</v>
      </c>
      <c r="AP97" t="str">
        <f>IF('TRACKER - 20220622'!AS101&lt;&gt;"",UPPER('TRACKER - 20220622'!AS101),"")</f>
        <v>REQ</v>
      </c>
      <c r="AQ97" t="str">
        <f>IF('TRACKER - 20220622'!AT101&lt;&gt;"",UPPER('TRACKER - 20220622'!AT101),"")</f>
        <v>N</v>
      </c>
      <c r="AR97" t="str">
        <f>IF('TRACKER - 20220622'!AU101&lt;&gt;"",UPPER('TRACKER - 20220622'!AU101),"")</f>
        <v>-150</v>
      </c>
      <c r="AS97" t="str">
        <f>IF('TRACKER - 20220622'!AV101&lt;&gt;"",UPPER('TRACKER - 20220622'!AV101),"")</f>
        <v/>
      </c>
      <c r="AT97" t="str">
        <f>IF('TRACKER - 20220622'!AW101&lt;&gt;"",UPPER('TRACKER - 20220622'!AW101),"")</f>
        <v/>
      </c>
      <c r="AU97" t="str">
        <f>IF('TRACKER - 20220622'!AX101&lt;&gt;"",UPPER('TRACKER - 20220622'!AX101),"")</f>
        <v>REASON101</v>
      </c>
      <c r="AV97" t="str">
        <f>IF('TRACKER - 20220622'!BD114&lt;&gt;"",'TRACKER - 20220622'!BD114,"")</f>
        <v/>
      </c>
      <c r="AW97" t="str">
        <f>IF('TRACKER - 20220622'!BE114&lt;&gt;"",'TRACKER - 20220622'!BE114,"")</f>
        <v/>
      </c>
      <c r="AX97" t="str">
        <f>IF('TRACKER - 20220622'!BF114&lt;&gt;"",'TRACKER - 20220622'!BF114,"")</f>
        <v/>
      </c>
      <c r="AY97" t="str">
        <f>IF('TRACKER - 20220622'!BG114&lt;&gt;"",'TRACKER - 20220622'!BG114,"")</f>
        <v/>
      </c>
      <c r="AZ97" t="str">
        <f>IF('TRACKER - 20220622'!BH114&lt;&gt;"",'TRACKER - 20220622'!BH114,"")</f>
        <v/>
      </c>
      <c r="BA97" t="str">
        <f>IF('TRACKER - 20220622'!BI114&lt;&gt;"",'TRACKER - 20220622'!BI114,"")</f>
        <v/>
      </c>
      <c r="BB97" t="str">
        <f>IF('TRACKER - 20220622'!BJ114&lt;&gt;"",'TRACKER - 20220622'!BJ114,"")</f>
        <v/>
      </c>
      <c r="BC97" t="str">
        <f>IF('TRACKER - 20220622'!BK114&lt;&gt;"",'TRACKER - 20220622'!BK114,"")</f>
        <v/>
      </c>
      <c r="BD97" t="str">
        <f>IF('TRACKER - 20220622'!BL114&lt;&gt;"",'TRACKER - 20220622'!BL114,"")</f>
        <v/>
      </c>
      <c r="BE97" t="str">
        <f>IF('TRACKER - 20220622'!BM114&lt;&gt;"",'TRACKER - 20220622'!BM114,"")</f>
        <v/>
      </c>
      <c r="BF97" t="str">
        <f>IF('TRACKER - 20220622'!BN114&lt;&gt;"",'TRACKER - 20220622'!BN114,"")</f>
        <v/>
      </c>
      <c r="BG97" t="str">
        <f>IF('TRACKER - 20220622'!BO114&lt;&gt;"",'TRACKER - 20220622'!BO114,"")</f>
        <v/>
      </c>
    </row>
    <row r="98" spans="1:59">
      <c r="A98" t="str">
        <f>IF('TRACKER - 20220622'!A115&lt;&gt;"",UPPER('TRACKER - 20220622'!A115),"")</f>
        <v>PRODUCT BACKLOG</v>
      </c>
      <c r="B98" t="str">
        <f>IF('TRACKER - 20220622'!B115&lt;&gt;"",UPPER('TRACKER - 20220622'!B115),"")</f>
        <v>N</v>
      </c>
      <c r="C98" t="str">
        <f>IF('TRACKER - 20220622'!D102&lt;&gt;"",UPPER('TRACKER - 20220622'!D102),"")</f>
        <v>21</v>
      </c>
      <c r="D98" t="str">
        <f>IF('TRACKER - 20220622'!F115&lt;&gt;"",UPPER('TRACKER - 20220622'!F115),"")</f>
        <v>PRD-BLG-2020-32165</v>
      </c>
      <c r="E98" t="str">
        <f>IF('TRACKER - 20220622'!H115&lt;&gt;"",'TRACKER - 20220622'!H115,"")</f>
        <v>EMI Reporting SSRS</v>
      </c>
      <c r="F98" t="str">
        <f t="shared" si="2"/>
        <v>PRD-BLG-2020-32165 EMI Reporting SSRS</v>
      </c>
      <c r="G98" t="str">
        <f t="shared" si="3"/>
        <v>5.5102040816326500021 - EMI Reporting SSRS</v>
      </c>
      <c r="H98">
        <f>IF('TRACKER - 20220622'!J115&lt;&gt;"",'TRACKER - 20220622'!J115,"")</f>
        <v>-19125</v>
      </c>
      <c r="I98" t="str">
        <f>IF('TRACKER - 20220622'!K102&lt;&gt;"",UPPER('TRACKER - 20220622'!K102),"")</f>
        <v>43716</v>
      </c>
      <c r="J98" t="str">
        <f>IF('TRACKER - 20220622'!L102&lt;&gt;"",UPPER('TRACKER - 20220622'!L102),"")</f>
        <v>43716</v>
      </c>
      <c r="K98" t="str">
        <f>IF('TRACKER - 20220622'!M102&lt;&gt;"",UPPER('TRACKER - 20220622'!M102),"")</f>
        <v/>
      </c>
      <c r="L98" t="str">
        <f>IF('TRACKER - 20220622'!N102&lt;&gt;"",UPPER('TRACKER - 20220622'!N102),"")</f>
        <v/>
      </c>
      <c r="M98" t="str">
        <f>IF('TRACKER - 20220622'!O102&lt;&gt;"",UPPER('TRACKER - 20220622'!O102),"")</f>
        <v/>
      </c>
      <c r="N98" t="str">
        <f>IF('TRACKER - 20220622'!P102&lt;&gt;"",UPPER('TRACKER - 20220622'!P102),"")</f>
        <v/>
      </c>
      <c r="O98" t="str">
        <f>IF('TRACKER - 20220622'!Q102&lt;&gt;"",UPPER('TRACKER - 20220622'!Q102),"")</f>
        <v>TREASURY</v>
      </c>
      <c r="P98" t="str">
        <f>IF('TRACKER - 20220622'!R102&lt;&gt;"",UPPER('TRACKER - 20220622'!R102),"")</f>
        <v>MARKET</v>
      </c>
      <c r="Q98" t="str">
        <f>IF('TRACKER - 20220622'!S102&lt;&gt;"",UPPER('TRACKER - 20220622'!S102),"")</f>
        <v>GAP</v>
      </c>
      <c r="R98" t="str">
        <f>IF('TRACKER - 20220622'!T102&lt;&gt;"",UPPER('TRACKER - 20220622'!T102),"")</f>
        <v>HIGH</v>
      </c>
      <c r="S98" t="str">
        <f>IF('TRACKER - 20220622'!U102&lt;&gt;"",UPPER('TRACKER - 20220622'!U102),"")</f>
        <v>MODERATE</v>
      </c>
      <c r="T98" t="str">
        <f>IF('TRACKER - 20220622'!V102&lt;&gt;"",UPPER('TRACKER - 20220622'!V102),"")</f>
        <v/>
      </c>
      <c r="U98" t="str">
        <f>IF('TRACKER - 20220622'!W102&lt;&gt;"",UPPER('TRACKER - 20220622'!W102),"")</f>
        <v/>
      </c>
      <c r="V98" t="str">
        <f>IF('TRACKER - 20220622'!X102&lt;&gt;"",UPPER('TRACKER - 20220622'!X102),"")</f>
        <v>13/11/20 - ESTIMATE RECEIVED FROM OPS
10/06/21 - CUSTOMER HAVE ASKED FOR, INC CYNERGY. COVERS BONDS &amp; FRN PRODUCTS. CURRENT WORKAROUND - MANIPULATE THE SHCEDULE WHEN ADJUSTMENT NEEDED TO PRINCIPLE. WILL REQUIRE RE-ESTIMATION.
UPDATE TRADE DATE POS, SEND NOTE, FEED BACK OFFICE.
PACKAGE WITH SHORTING FOR ALL TRADING HOUSE INSTRUMENTS.</v>
      </c>
      <c r="W98" t="str">
        <f>IF('TRACKER - 20220622'!Y102&lt;&gt;"",UPPER('TRACKER - 20220622'!Y102),"")</f>
        <v>-50625</v>
      </c>
      <c r="X98" t="str">
        <f>IF('TRACKER - 20220622'!Z102&lt;&gt;"",UPPER('TRACKER - 20220622'!Z102),"")</f>
        <v>-6198.97959183673</v>
      </c>
      <c r="Y98" t="str">
        <f>IF('TRACKER - 20220622'!AA102&lt;&gt;"",UPPER('TRACKER - 20220622'!AA102),"")</f>
        <v>-23762.7551020408</v>
      </c>
      <c r="Z98" t="str">
        <f>IF('TRACKER - 20220622'!AB102&lt;&gt;"",UPPER('TRACKER - 20220622'!AB102),"")</f>
        <v>-8265.30612244898</v>
      </c>
      <c r="AA98" t="str">
        <f>IF('TRACKER - 20220622'!AC102&lt;&gt;"",UPPER('TRACKER - 20220622'!AC102),"")</f>
        <v>-6198.97959183673</v>
      </c>
      <c r="AB98" t="str">
        <f>IF('TRACKER - 20220622'!AE102&lt;&gt;"",UPPER('TRACKER - 20220622'!AE102),"")</f>
        <v>-6198.97959183673</v>
      </c>
      <c r="AC98" t="str">
        <f>IF('TRACKER - 20220622'!AF102&lt;&gt;"",UPPER('TRACKER - 20220622'!AF102),"")</f>
        <v>-50625</v>
      </c>
      <c r="AD98" t="str">
        <f>IF('TRACKER - 20220622'!AG102&lt;&gt;"",UPPER('TRACKER - 20220622'!AG102),"")</f>
        <v>0</v>
      </c>
      <c r="AE98" t="str">
        <f>IF('TRACKER - 20220622'!AH102&lt;&gt;"",UPPER('TRACKER - 20220622'!AH102),"")</f>
        <v>-150</v>
      </c>
      <c r="AF98" t="str">
        <f>IF('TRACKER - 20220622'!AI102&lt;&gt;"",UPPER('TRACKER - 20220622'!AI102),"")</f>
        <v/>
      </c>
      <c r="AG98" t="str">
        <f>IF('TRACKER - 20220622'!AJ102&lt;&gt;"",UPPER('TRACKER - 20220622'!AJ102),"")</f>
        <v>0</v>
      </c>
      <c r="AH98" t="str">
        <f>IF('TRACKER - 20220622'!AK102&lt;&gt;"",UPPER('TRACKER - 20220622'!AK102),"")</f>
        <v>5.51020408163265</v>
      </c>
      <c r="AI98" t="str">
        <f>IF('TRACKER - 20220622'!AL102&lt;&gt;"",UPPER('TRACKER - 20220622'!AL102),"")</f>
        <v>21.1224489795918</v>
      </c>
      <c r="AJ98" t="str">
        <f>IF('TRACKER - 20220622'!AM102&lt;&gt;"",UPPER('TRACKER - 20220622'!AM102),"")</f>
        <v>7.3469387755102</v>
      </c>
      <c r="AK98" t="str">
        <f>IF('TRACKER - 20220622'!AN102&lt;&gt;"",UPPER('TRACKER - 20220622'!AN102),"")</f>
        <v>5.51020408163265</v>
      </c>
      <c r="AL98" t="str">
        <f>IF('TRACKER - 20220622'!AO102&lt;&gt;"",UPPER('TRACKER - 20220622'!AO102),"")</f>
        <v>5.51020408163265</v>
      </c>
      <c r="AM98" t="str">
        <f>IF('TRACKER - 20220622'!AP102&lt;&gt;"",UPPER('TRACKER - 20220622'!AP102),"")</f>
        <v>45</v>
      </c>
      <c r="AN98" t="str">
        <f>IF('TRACKER - 20220622'!AQ102&lt;&gt;"",UPPER('TRACKER - 20220622'!AQ102),"")</f>
        <v>0</v>
      </c>
      <c r="AO98" t="str">
        <f>IF('TRACKER - 20220622'!AR102&lt;&gt;"",UPPER('TRACKER - 20220622'!AR102),"")</f>
        <v>PRD</v>
      </c>
      <c r="AP98" t="str">
        <f>IF('TRACKER - 20220622'!AS102&lt;&gt;"",UPPER('TRACKER - 20220622'!AS102),"")</f>
        <v>REQ</v>
      </c>
      <c r="AQ98" t="str">
        <f>IF('TRACKER - 20220622'!AT102&lt;&gt;"",UPPER('TRACKER - 20220622'!AT102),"")</f>
        <v>N</v>
      </c>
      <c r="AR98" t="str">
        <f>IF('TRACKER - 20220622'!AU102&lt;&gt;"",UPPER('TRACKER - 20220622'!AU102),"")</f>
        <v>-150</v>
      </c>
      <c r="AS98" t="str">
        <f>IF('TRACKER - 20220622'!AV102&lt;&gt;"",UPPER('TRACKER - 20220622'!AV102),"")</f>
        <v/>
      </c>
      <c r="AT98" t="str">
        <f>IF('TRACKER - 20220622'!AW102&lt;&gt;"",UPPER('TRACKER - 20220622'!AW102),"")</f>
        <v/>
      </c>
      <c r="AU98" t="str">
        <f>IF('TRACKER - 20220622'!AX102&lt;&gt;"",UPPER('TRACKER - 20220622'!AX102),"")</f>
        <v>REASON102</v>
      </c>
      <c r="AV98" t="str">
        <f>IF('TRACKER - 20220622'!BD115&lt;&gt;"",'TRACKER - 20220622'!BD115,"")</f>
        <v/>
      </c>
      <c r="AW98" t="str">
        <f>IF('TRACKER - 20220622'!BE115&lt;&gt;"",'TRACKER - 20220622'!BE115,"")</f>
        <v/>
      </c>
      <c r="AX98" t="str">
        <f>IF('TRACKER - 20220622'!BF115&lt;&gt;"",'TRACKER - 20220622'!BF115,"")</f>
        <v/>
      </c>
      <c r="AY98" t="str">
        <f>IF('TRACKER - 20220622'!BG115&lt;&gt;"",'TRACKER - 20220622'!BG115,"")</f>
        <v/>
      </c>
      <c r="AZ98" t="str">
        <f>IF('TRACKER - 20220622'!BH115&lt;&gt;"",'TRACKER - 20220622'!BH115,"")</f>
        <v/>
      </c>
      <c r="BA98" t="str">
        <f>IF('TRACKER - 20220622'!BI115&lt;&gt;"",'TRACKER - 20220622'!BI115,"")</f>
        <v/>
      </c>
      <c r="BB98" t="str">
        <f>IF('TRACKER - 20220622'!BJ115&lt;&gt;"",'TRACKER - 20220622'!BJ115,"")</f>
        <v/>
      </c>
      <c r="BC98" t="str">
        <f>IF('TRACKER - 20220622'!BK115&lt;&gt;"",'TRACKER - 20220622'!BK115,"")</f>
        <v/>
      </c>
      <c r="BD98" t="str">
        <f>IF('TRACKER - 20220622'!BL115&lt;&gt;"",'TRACKER - 20220622'!BL115,"")</f>
        <v/>
      </c>
      <c r="BE98" t="str">
        <f>IF('TRACKER - 20220622'!BM115&lt;&gt;"",'TRACKER - 20220622'!BM115,"")</f>
        <v/>
      </c>
      <c r="BF98" t="str">
        <f>IF('TRACKER - 20220622'!BN115&lt;&gt;"",'TRACKER - 20220622'!BN115,"")</f>
        <v/>
      </c>
      <c r="BG98" t="str">
        <f>IF('TRACKER - 20220622'!BO115&lt;&gt;"",'TRACKER - 20220622'!BO115,"")</f>
        <v/>
      </c>
    </row>
    <row r="99" spans="1:59">
      <c r="A99" t="str">
        <f>IF('TRACKER - 20220622'!A116&lt;&gt;"",UPPER('TRACKER - 20220622'!A116),"")</f>
        <v>PRODUCT BACKLOG</v>
      </c>
      <c r="B99" t="str">
        <f>IF('TRACKER - 20220622'!B116&lt;&gt;"",UPPER('TRACKER - 20220622'!B116),"")</f>
        <v>N</v>
      </c>
      <c r="C99" t="str">
        <f>IF('TRACKER - 20220622'!D103&lt;&gt;"",UPPER('TRACKER - 20220622'!D103),"")</f>
        <v>21</v>
      </c>
      <c r="D99" t="str">
        <f>IF('TRACKER - 20220622'!F116&lt;&gt;"",UPPER('TRACKER - 20220622'!F116),"")</f>
        <v>PRD-BLG-2020-33671</v>
      </c>
      <c r="E99" t="str">
        <f>IF('TRACKER - 20220622'!H116&lt;&gt;"",'TRACKER - 20220622'!H116,"")</f>
        <v>PayPal Connectivity - Barry Callebut</v>
      </c>
      <c r="F99" t="str">
        <f t="shared" si="2"/>
        <v>PRD-BLG-2020-33671 PayPal Connectivity - Barry Callebut</v>
      </c>
      <c r="G99" t="str">
        <f t="shared" si="3"/>
        <v>1.8367346938775500021 - PayPal Connectivity - Barry Callebut</v>
      </c>
      <c r="H99">
        <f>IF('TRACKER - 20220622'!J116&lt;&gt;"",'TRACKER - 20220622'!J116,"")</f>
        <v>0</v>
      </c>
      <c r="I99" t="str">
        <f>IF('TRACKER - 20220622'!K103&lt;&gt;"",UPPER('TRACKER - 20220622'!K103),"")</f>
        <v>43831</v>
      </c>
      <c r="J99" t="str">
        <f>IF('TRACKER - 20220622'!L103&lt;&gt;"",UPPER('TRACKER - 20220622'!L103),"")</f>
        <v>43831</v>
      </c>
      <c r="K99" t="str">
        <f>IF('TRACKER - 20220622'!M103&lt;&gt;"",UPPER('TRACKER - 20220622'!M103),"")</f>
        <v/>
      </c>
      <c r="L99" t="str">
        <f>IF('TRACKER - 20220622'!N103&lt;&gt;"",UPPER('TRACKER - 20220622'!N103),"")</f>
        <v/>
      </c>
      <c r="M99" t="str">
        <f>IF('TRACKER - 20220622'!O103&lt;&gt;"",UPPER('TRACKER - 20220622'!O103),"")</f>
        <v/>
      </c>
      <c r="N99" t="str">
        <f>IF('TRACKER - 20220622'!P103&lt;&gt;"",UPPER('TRACKER - 20220622'!P103),"")</f>
        <v/>
      </c>
      <c r="O99" t="str">
        <f>IF('TRACKER - 20220622'!Q103&lt;&gt;"",UPPER('TRACKER - 20220622'!Q103),"")</f>
        <v>PLATFORM</v>
      </c>
      <c r="P99" t="str">
        <f>IF('TRACKER - 20220622'!R103&lt;&gt;"",UPPER('TRACKER - 20220622'!R103),"")</f>
        <v>PRODUCT</v>
      </c>
      <c r="Q99" t="str">
        <f>IF('TRACKER - 20220622'!S103&lt;&gt;"",UPPER('TRACKER - 20220622'!S103),"")</f>
        <v>NEW</v>
      </c>
      <c r="R99" t="str">
        <f>IF('TRACKER - 20220622'!T103&lt;&gt;"",UPPER('TRACKER - 20220622'!T103),"")</f>
        <v/>
      </c>
      <c r="S99" t="str">
        <f>IF('TRACKER - 20220622'!U103&lt;&gt;"",UPPER('TRACKER - 20220622'!U103),"")</f>
        <v/>
      </c>
      <c r="T99" t="str">
        <f>IF('TRACKER - 20220622'!V103&lt;&gt;"",UPPER('TRACKER - 20220622'!V103),"")</f>
        <v/>
      </c>
      <c r="U99" t="str">
        <f>IF('TRACKER - 20220622'!W103&lt;&gt;"",UPPER('TRACKER - 20220622'!W103),"")</f>
        <v/>
      </c>
      <c r="V99" t="str">
        <f>IF('TRACKER - 20220622'!X103&lt;&gt;"",UPPER('TRACKER - 20220622'!X103),"")</f>
        <v>13/11/20 - ESTIMATE RECEIVED FROM OPS</v>
      </c>
      <c r="W99" t="str">
        <f>IF('TRACKER - 20220622'!Y103&lt;&gt;"",UPPER('TRACKER - 20220622'!Y103),"")</f>
        <v>-16875</v>
      </c>
      <c r="X99" t="str">
        <f>IF('TRACKER - 20220622'!Z103&lt;&gt;"",UPPER('TRACKER - 20220622'!Z103),"")</f>
        <v>-2066.32653061224</v>
      </c>
      <c r="Y99" t="str">
        <f>IF('TRACKER - 20220622'!AA103&lt;&gt;"",UPPER('TRACKER - 20220622'!AA103),"")</f>
        <v>-7920.91836734694</v>
      </c>
      <c r="Z99" t="str">
        <f>IF('TRACKER - 20220622'!AB103&lt;&gt;"",UPPER('TRACKER - 20220622'!AB103),"")</f>
        <v>-2755.10204081633</v>
      </c>
      <c r="AA99" t="str">
        <f>IF('TRACKER - 20220622'!AC103&lt;&gt;"",UPPER('TRACKER - 20220622'!AC103),"")</f>
        <v>-2066.32653061224</v>
      </c>
      <c r="AB99" t="str">
        <f>IF('TRACKER - 20220622'!AE103&lt;&gt;"",UPPER('TRACKER - 20220622'!AE103),"")</f>
        <v>-2066.32653061224</v>
      </c>
      <c r="AC99" t="str">
        <f>IF('TRACKER - 20220622'!AF103&lt;&gt;"",UPPER('TRACKER - 20220622'!AF103),"")</f>
        <v>-16875</v>
      </c>
      <c r="AD99" t="str">
        <f>IF('TRACKER - 20220622'!AG103&lt;&gt;"",UPPER('TRACKER - 20220622'!AG103),"")</f>
        <v>0</v>
      </c>
      <c r="AE99" t="str">
        <f>IF('TRACKER - 20220622'!AH103&lt;&gt;"",UPPER('TRACKER - 20220622'!AH103),"")</f>
        <v>-150</v>
      </c>
      <c r="AF99" t="str">
        <f>IF('TRACKER - 20220622'!AI103&lt;&gt;"",UPPER('TRACKER - 20220622'!AI103),"")</f>
        <v/>
      </c>
      <c r="AG99" t="str">
        <f>IF('TRACKER - 20220622'!AJ103&lt;&gt;"",UPPER('TRACKER - 20220622'!AJ103),"")</f>
        <v>0</v>
      </c>
      <c r="AH99" t="str">
        <f>IF('TRACKER - 20220622'!AK103&lt;&gt;"",UPPER('TRACKER - 20220622'!AK103),"")</f>
        <v>1.83673469387755</v>
      </c>
      <c r="AI99" t="str">
        <f>IF('TRACKER - 20220622'!AL103&lt;&gt;"",UPPER('TRACKER - 20220622'!AL103),"")</f>
        <v>7.04081632653061</v>
      </c>
      <c r="AJ99" t="str">
        <f>IF('TRACKER - 20220622'!AM103&lt;&gt;"",UPPER('TRACKER - 20220622'!AM103),"")</f>
        <v>2.44897959183673</v>
      </c>
      <c r="AK99" t="str">
        <f>IF('TRACKER - 20220622'!AN103&lt;&gt;"",UPPER('TRACKER - 20220622'!AN103),"")</f>
        <v>1.83673469387755</v>
      </c>
      <c r="AL99" t="str">
        <f>IF('TRACKER - 20220622'!AO103&lt;&gt;"",UPPER('TRACKER - 20220622'!AO103),"")</f>
        <v>1.83673469387755</v>
      </c>
      <c r="AM99" t="str">
        <f>IF('TRACKER - 20220622'!AP103&lt;&gt;"",UPPER('TRACKER - 20220622'!AP103),"")</f>
        <v>15</v>
      </c>
      <c r="AN99" t="str">
        <f>IF('TRACKER - 20220622'!AQ103&lt;&gt;"",UPPER('TRACKER - 20220622'!AQ103),"")</f>
        <v>0</v>
      </c>
      <c r="AO99" t="str">
        <f>IF('TRACKER - 20220622'!AR103&lt;&gt;"",UPPER('TRACKER - 20220622'!AR103),"")</f>
        <v>PRD</v>
      </c>
      <c r="AP99" t="str">
        <f>IF('TRACKER - 20220622'!AS103&lt;&gt;"",UPPER('TRACKER - 20220622'!AS103),"")</f>
        <v>REQ</v>
      </c>
      <c r="AQ99" t="str">
        <f>IF('TRACKER - 20220622'!AT103&lt;&gt;"",UPPER('TRACKER - 20220622'!AT103),"")</f>
        <v>N</v>
      </c>
      <c r="AR99" t="str">
        <f>IF('TRACKER - 20220622'!AU103&lt;&gt;"",UPPER('TRACKER - 20220622'!AU103),"")</f>
        <v>-150</v>
      </c>
      <c r="AS99" t="str">
        <f>IF('TRACKER - 20220622'!AV103&lt;&gt;"",UPPER('TRACKER - 20220622'!AV103),"")</f>
        <v/>
      </c>
      <c r="AT99" t="str">
        <f>IF('TRACKER - 20220622'!AW103&lt;&gt;"",UPPER('TRACKER - 20220622'!AW103),"")</f>
        <v/>
      </c>
      <c r="AU99" t="str">
        <f>IF('TRACKER - 20220622'!AX103&lt;&gt;"",UPPER('TRACKER - 20220622'!AX103),"")</f>
        <v>REASON103</v>
      </c>
      <c r="AV99" t="str">
        <f>IF('TRACKER - 20220622'!BD116&lt;&gt;"",'TRACKER - 20220622'!BD116,"")</f>
        <v/>
      </c>
      <c r="AW99" t="str">
        <f>IF('TRACKER - 20220622'!BE116&lt;&gt;"",'TRACKER - 20220622'!BE116,"")</f>
        <v/>
      </c>
      <c r="AX99" t="str">
        <f>IF('TRACKER - 20220622'!BF116&lt;&gt;"",'TRACKER - 20220622'!BF116,"")</f>
        <v/>
      </c>
      <c r="AY99" t="str">
        <f>IF('TRACKER - 20220622'!BG116&lt;&gt;"",'TRACKER - 20220622'!BG116,"")</f>
        <v/>
      </c>
      <c r="AZ99" t="str">
        <f>IF('TRACKER - 20220622'!BH116&lt;&gt;"",'TRACKER - 20220622'!BH116,"")</f>
        <v/>
      </c>
      <c r="BA99" t="str">
        <f>IF('TRACKER - 20220622'!BI116&lt;&gt;"",'TRACKER - 20220622'!BI116,"")</f>
        <v/>
      </c>
      <c r="BB99" t="str">
        <f>IF('TRACKER - 20220622'!BJ116&lt;&gt;"",'TRACKER - 20220622'!BJ116,"")</f>
        <v/>
      </c>
      <c r="BC99" t="str">
        <f>IF('TRACKER - 20220622'!BK116&lt;&gt;"",'TRACKER - 20220622'!BK116,"")</f>
        <v/>
      </c>
      <c r="BD99" t="str">
        <f>IF('TRACKER - 20220622'!BL116&lt;&gt;"",'TRACKER - 20220622'!BL116,"")</f>
        <v/>
      </c>
      <c r="BE99" t="str">
        <f>IF('TRACKER - 20220622'!BM116&lt;&gt;"",'TRACKER - 20220622'!BM116,"")</f>
        <v/>
      </c>
      <c r="BF99" t="str">
        <f>IF('TRACKER - 20220622'!BN116&lt;&gt;"",'TRACKER - 20220622'!BN116,"")</f>
        <v/>
      </c>
      <c r="BG99" t="str">
        <f>IF('TRACKER - 20220622'!BO116&lt;&gt;"",'TRACKER - 20220622'!BO116,"")</f>
        <v/>
      </c>
    </row>
    <row r="100" spans="1:59">
      <c r="A100" t="str">
        <f>IF('TRACKER - 20220622'!A117&lt;&gt;"",UPPER('TRACKER - 20220622'!A117),"")</f>
        <v>PRODUCT BACKLOG</v>
      </c>
      <c r="B100" t="str">
        <f>IF('TRACKER - 20220622'!B117&lt;&gt;"",UPPER('TRACKER - 20220622'!B117),"")</f>
        <v>N</v>
      </c>
      <c r="C100" t="str">
        <f>IF('TRACKER - 20220622'!D104&lt;&gt;"",UPPER('TRACKER - 20220622'!D104),"")</f>
        <v>22</v>
      </c>
      <c r="D100" t="str">
        <f>IF('TRACKER - 20220622'!F117&lt;&gt;"",UPPER('TRACKER - 20220622'!F117),"")</f>
        <v>PRD-BLG-2020-33672</v>
      </c>
      <c r="E100" t="str">
        <f>IF('TRACKER - 20220622'!H117&lt;&gt;"",'TRACKER - 20220622'!H117,"")</f>
        <v>Stripe Connectivity - Barry Callebut</v>
      </c>
      <c r="F100" t="str">
        <f t="shared" si="2"/>
        <v>PRD-BLG-2020-33672 Stripe Connectivity - Barry Callebut</v>
      </c>
      <c r="G100" t="str">
        <f t="shared" si="3"/>
        <v>00022 - Stripe Connectivity - Barry Callebut</v>
      </c>
      <c r="H100">
        <f>IF('TRACKER - 20220622'!J117&lt;&gt;"",'TRACKER - 20220622'!J117,"")</f>
        <v>0</v>
      </c>
      <c r="I100" t="str">
        <f>IF('TRACKER - 20220622'!K104&lt;&gt;"",UPPER('TRACKER - 20220622'!K104),"")</f>
        <v>44119</v>
      </c>
      <c r="J100" t="str">
        <f>IF('TRACKER - 20220622'!L104&lt;&gt;"",UPPER('TRACKER - 20220622'!L104),"")</f>
        <v>44119</v>
      </c>
      <c r="K100" t="str">
        <f>IF('TRACKER - 20220622'!M104&lt;&gt;"",UPPER('TRACKER - 20220622'!M104),"")</f>
        <v/>
      </c>
      <c r="L100" t="str">
        <f>IF('TRACKER - 20220622'!N104&lt;&gt;"",UPPER('TRACKER - 20220622'!N104),"")</f>
        <v/>
      </c>
      <c r="M100" t="str">
        <f>IF('TRACKER - 20220622'!O104&lt;&gt;"",UPPER('TRACKER - 20220622'!O104),"")</f>
        <v/>
      </c>
      <c r="N100" t="str">
        <f>IF('TRACKER - 20220622'!P104&lt;&gt;"",UPPER('TRACKER - 20220622'!P104),"")</f>
        <v/>
      </c>
      <c r="O100" t="str">
        <f>IF('TRACKER - 20220622'!Q104&lt;&gt;"",UPPER('TRACKER - 20220622'!Q104),"")</f>
        <v>PLATFORM</v>
      </c>
      <c r="P100" t="str">
        <f>IF('TRACKER - 20220622'!R104&lt;&gt;"",UPPER('TRACKER - 20220622'!R104),"")</f>
        <v>TECHNICAL</v>
      </c>
      <c r="Q100" t="str">
        <f>IF('TRACKER - 20220622'!S104&lt;&gt;"",UPPER('TRACKER - 20220622'!S104),"")</f>
        <v>NEW</v>
      </c>
      <c r="R100" t="str">
        <f>IF('TRACKER - 20220622'!T104&lt;&gt;"",UPPER('TRACKER - 20220622'!T104),"")</f>
        <v>HIGH</v>
      </c>
      <c r="S100" t="str">
        <f>IF('TRACKER - 20220622'!U104&lt;&gt;"",UPPER('TRACKER - 20220622'!U104),"")</f>
        <v>HIGH</v>
      </c>
      <c r="T100" t="str">
        <f>IF('TRACKER - 20220622'!V104&lt;&gt;"",UPPER('TRACKER - 20220622'!V104),"")</f>
        <v/>
      </c>
      <c r="U100" t="str">
        <f>IF('TRACKER - 20220622'!W104&lt;&gt;"",UPPER('TRACKER - 20220622'!W104),"")</f>
        <v/>
      </c>
      <c r="V100" t="str">
        <f>IF('TRACKER - 20220622'!X104&lt;&gt;"",UPPER('TRACKER - 20220622'!X104),"")</f>
        <v>LINKED TO NEW VERSION OF SIENA</v>
      </c>
      <c r="W100" t="str">
        <f>IF('TRACKER - 20220622'!Y104&lt;&gt;"",UPPER('TRACKER - 20220622'!Y104),"")</f>
        <v>0</v>
      </c>
      <c r="X100" t="str">
        <f>IF('TRACKER - 20220622'!Z104&lt;&gt;"",UPPER('TRACKER - 20220622'!Z104),"")</f>
        <v>0</v>
      </c>
      <c r="Y100" t="str">
        <f>IF('TRACKER - 20220622'!AA104&lt;&gt;"",UPPER('TRACKER - 20220622'!AA104),"")</f>
        <v>0</v>
      </c>
      <c r="Z100" t="str">
        <f>IF('TRACKER - 20220622'!AB104&lt;&gt;"",UPPER('TRACKER - 20220622'!AB104),"")</f>
        <v>0</v>
      </c>
      <c r="AA100" t="str">
        <f>IF('TRACKER - 20220622'!AC104&lt;&gt;"",UPPER('TRACKER - 20220622'!AC104),"")</f>
        <v>0</v>
      </c>
      <c r="AB100" t="str">
        <f>IF('TRACKER - 20220622'!AE104&lt;&gt;"",UPPER('TRACKER - 20220622'!AE104),"")</f>
        <v>0</v>
      </c>
      <c r="AC100" t="str">
        <f>IF('TRACKER - 20220622'!AF104&lt;&gt;"",UPPER('TRACKER - 20220622'!AF104),"")</f>
        <v>0</v>
      </c>
      <c r="AD100" t="str">
        <f>IF('TRACKER - 20220622'!AG104&lt;&gt;"",UPPER('TRACKER - 20220622'!AG104),"")</f>
        <v>0</v>
      </c>
      <c r="AE100" t="str">
        <f>IF('TRACKER - 20220622'!AH104&lt;&gt;"",UPPER('TRACKER - 20220622'!AH104),"")</f>
        <v>-150</v>
      </c>
      <c r="AF100" t="str">
        <f>IF('TRACKER - 20220622'!AI104&lt;&gt;"",UPPER('TRACKER - 20220622'!AI104),"")</f>
        <v/>
      </c>
      <c r="AG100" t="str">
        <f>IF('TRACKER - 20220622'!AJ104&lt;&gt;"",UPPER('TRACKER - 20220622'!AJ104),"")</f>
        <v>0</v>
      </c>
      <c r="AH100" t="str">
        <f>IF('TRACKER - 20220622'!AK104&lt;&gt;"",UPPER('TRACKER - 20220622'!AK104),"")</f>
        <v/>
      </c>
      <c r="AI100" t="str">
        <f>IF('TRACKER - 20220622'!AL104&lt;&gt;"",UPPER('TRACKER - 20220622'!AL104),"")</f>
        <v>0</v>
      </c>
      <c r="AJ100" t="str">
        <f>IF('TRACKER - 20220622'!AM104&lt;&gt;"",UPPER('TRACKER - 20220622'!AM104),"")</f>
        <v>0</v>
      </c>
      <c r="AK100" t="str">
        <f>IF('TRACKER - 20220622'!AN104&lt;&gt;"",UPPER('TRACKER - 20220622'!AN104),"")</f>
        <v/>
      </c>
      <c r="AL100" t="str">
        <f>IF('TRACKER - 20220622'!AO104&lt;&gt;"",UPPER('TRACKER - 20220622'!AO104),"")</f>
        <v>0</v>
      </c>
      <c r="AM100" t="str">
        <f>IF('TRACKER - 20220622'!AP104&lt;&gt;"",UPPER('TRACKER - 20220622'!AP104),"")</f>
        <v>0</v>
      </c>
      <c r="AN100" t="str">
        <f>IF('TRACKER - 20220622'!AQ104&lt;&gt;"",UPPER('TRACKER - 20220622'!AQ104),"")</f>
        <v>0</v>
      </c>
      <c r="AO100" t="str">
        <f>IF('TRACKER - 20220622'!AR104&lt;&gt;"",UPPER('TRACKER - 20220622'!AR104),"")</f>
        <v>PRD</v>
      </c>
      <c r="AP100" t="str">
        <f>IF('TRACKER - 20220622'!AS104&lt;&gt;"",UPPER('TRACKER - 20220622'!AS104),"")</f>
        <v>BLG</v>
      </c>
      <c r="AQ100" t="str">
        <f>IF('TRACKER - 20220622'!AT104&lt;&gt;"",UPPER('TRACKER - 20220622'!AT104),"")</f>
        <v>N</v>
      </c>
      <c r="AR100" t="str">
        <f>IF('TRACKER - 20220622'!AU104&lt;&gt;"",UPPER('TRACKER - 20220622'!AU104),"")</f>
        <v>-150</v>
      </c>
      <c r="AS100" t="str">
        <f>IF('TRACKER - 20220622'!AV104&lt;&gt;"",UPPER('TRACKER - 20220622'!AV104),"")</f>
        <v/>
      </c>
      <c r="AT100" t="str">
        <f>IF('TRACKER - 20220622'!AW104&lt;&gt;"",UPPER('TRACKER - 20220622'!AW104),"")</f>
        <v/>
      </c>
      <c r="AU100" t="str">
        <f>IF('TRACKER - 20220622'!AX104&lt;&gt;"",UPPER('TRACKER - 20220622'!AX104),"")</f>
        <v>REASON104</v>
      </c>
      <c r="AV100" t="str">
        <f>IF('TRACKER - 20220622'!BD117&lt;&gt;"",'TRACKER - 20220622'!BD117,"")</f>
        <v/>
      </c>
      <c r="AW100" t="str">
        <f>IF('TRACKER - 20220622'!BE117&lt;&gt;"",'TRACKER - 20220622'!BE117,"")</f>
        <v/>
      </c>
      <c r="AX100" t="str">
        <f>IF('TRACKER - 20220622'!BF117&lt;&gt;"",'TRACKER - 20220622'!BF117,"")</f>
        <v/>
      </c>
      <c r="AY100" t="str">
        <f>IF('TRACKER - 20220622'!BG117&lt;&gt;"",'TRACKER - 20220622'!BG117,"")</f>
        <v/>
      </c>
      <c r="AZ100" t="str">
        <f>IF('TRACKER - 20220622'!BH117&lt;&gt;"",'TRACKER - 20220622'!BH117,"")</f>
        <v/>
      </c>
      <c r="BA100" t="str">
        <f>IF('TRACKER - 20220622'!BI117&lt;&gt;"",'TRACKER - 20220622'!BI117,"")</f>
        <v/>
      </c>
      <c r="BB100" t="str">
        <f>IF('TRACKER - 20220622'!BJ117&lt;&gt;"",'TRACKER - 20220622'!BJ117,"")</f>
        <v/>
      </c>
      <c r="BC100" t="str">
        <f>IF('TRACKER - 20220622'!BK117&lt;&gt;"",'TRACKER - 20220622'!BK117,"")</f>
        <v/>
      </c>
      <c r="BD100" t="str">
        <f>IF('TRACKER - 20220622'!BL117&lt;&gt;"",'TRACKER - 20220622'!BL117,"")</f>
        <v/>
      </c>
      <c r="BE100" t="str">
        <f>IF('TRACKER - 20220622'!BM117&lt;&gt;"",'TRACKER - 20220622'!BM117,"")</f>
        <v/>
      </c>
      <c r="BF100" t="str">
        <f>IF('TRACKER - 20220622'!BN117&lt;&gt;"",'TRACKER - 20220622'!BN117,"")</f>
        <v/>
      </c>
      <c r="BG100" t="str">
        <f>IF('TRACKER - 20220622'!BO117&lt;&gt;"",'TRACKER - 20220622'!BO117,"")</f>
        <v/>
      </c>
    </row>
    <row r="101" spans="1:59">
      <c r="A101" t="str">
        <f>IF('TRACKER - 20220622'!A118&lt;&gt;"",UPPER('TRACKER - 20220622'!A118),"")</f>
        <v>PRODUCT BACKLOG</v>
      </c>
      <c r="B101" t="str">
        <f>IF('TRACKER - 20220622'!B118&lt;&gt;"",UPPER('TRACKER - 20220622'!B118),"")</f>
        <v>N</v>
      </c>
      <c r="C101" t="str">
        <f>IF('TRACKER - 20220622'!D105&lt;&gt;"",UPPER('TRACKER - 20220622'!D105),"")</f>
        <v>32165</v>
      </c>
      <c r="D101" t="str">
        <f>IF('TRACKER - 20220622'!F118&lt;&gt;"",UPPER('TRACKER - 20220622'!F118),"")</f>
        <v>PRD-BLG-2020-33673</v>
      </c>
      <c r="E101" t="str">
        <f>IF('TRACKER - 20220622'!H118&lt;&gt;"",'TRACKER - 20220622'!H118,"")</f>
        <v>Accuity Connectivity - Barry Callebut</v>
      </c>
      <c r="F101" t="str">
        <f t="shared" si="2"/>
        <v>PRD-BLG-2020-33673 Accuity Connectivity - Barry Callebut</v>
      </c>
      <c r="G101" t="str">
        <f t="shared" si="3"/>
        <v>32165 - Accuity Connectivity - Barry Callebut</v>
      </c>
      <c r="H101">
        <f>IF('TRACKER - 20220622'!J118&lt;&gt;"",'TRACKER - 20220622'!J118,"")</f>
        <v>0</v>
      </c>
      <c r="I101" t="str">
        <f>IF('TRACKER - 20220622'!K105&lt;&gt;"",UPPER('TRACKER - 20220622'!K105),"")</f>
        <v>43951</v>
      </c>
      <c r="J101" t="str">
        <f>IF('TRACKER - 20220622'!L105&lt;&gt;"",UPPER('TRACKER - 20220622'!L105),"")</f>
        <v>43951</v>
      </c>
      <c r="K101" t="str">
        <f>IF('TRACKER - 20220622'!M105&lt;&gt;"",UPPER('TRACKER - 20220622'!M105),"")</f>
        <v/>
      </c>
      <c r="L101" t="str">
        <f>IF('TRACKER - 20220622'!N105&lt;&gt;"",UPPER('TRACKER - 20220622'!N105),"")</f>
        <v/>
      </c>
      <c r="M101" t="str">
        <f>IF('TRACKER - 20220622'!O105&lt;&gt;"",UPPER('TRACKER - 20220622'!O105),"")</f>
        <v/>
      </c>
      <c r="N101" t="str">
        <f>IF('TRACKER - 20220622'!P105&lt;&gt;"",UPPER('TRACKER - 20220622'!P105),"")</f>
        <v/>
      </c>
      <c r="O101" t="str">
        <f>IF('TRACKER - 20220622'!Q105&lt;&gt;"",UPPER('TRACKER - 20220622'!Q105),"")</f>
        <v>REGULATORY</v>
      </c>
      <c r="P101" t="str">
        <f>IF('TRACKER - 20220622'!R105&lt;&gt;"",UPPER('TRACKER - 20220622'!R105),"")</f>
        <v>MARKET</v>
      </c>
      <c r="Q101" t="str">
        <f>IF('TRACKER - 20220622'!S105&lt;&gt;"",UPPER('TRACKER - 20220622'!S105),"")</f>
        <v/>
      </c>
      <c r="R101" t="str">
        <f>IF('TRACKER - 20220622'!T105&lt;&gt;"",UPPER('TRACKER - 20220622'!T105),"")</f>
        <v/>
      </c>
      <c r="S101" t="str">
        <f>IF('TRACKER - 20220622'!U105&lt;&gt;"",UPPER('TRACKER - 20220622'!U105),"")</f>
        <v/>
      </c>
      <c r="T101" t="str">
        <f>IF('TRACKER - 20220622'!V105&lt;&gt;"",UPPER('TRACKER - 20220622'!V105),"")</f>
        <v/>
      </c>
      <c r="U101" t="str">
        <f>IF('TRACKER - 20220622'!W105&lt;&gt;"",UPPER('TRACKER - 20220622'!W105),"")</f>
        <v/>
      </c>
      <c r="V101" t="str">
        <f>IF('TRACKER - 20220622'!X105&lt;&gt;"",UPPER('TRACKER - 20220622'!X105),"")</f>
        <v>15/09/20 - SELECTED TO PRODUCT ROADMAP INVESTIGATION</v>
      </c>
      <c r="W101" t="str">
        <f>IF('TRACKER - 20220622'!Y105&lt;&gt;"",UPPER('TRACKER - 20220622'!Y105),"")</f>
        <v>-37125</v>
      </c>
      <c r="X101" t="str">
        <f>IF('TRACKER - 20220622'!Z105&lt;&gt;"",UPPER('TRACKER - 20220622'!Z105),"")</f>
        <v>0</v>
      </c>
      <c r="Y101" t="str">
        <f>IF('TRACKER - 20220622'!AA105&lt;&gt;"",UPPER('TRACKER - 20220622'!AA105),"")</f>
        <v>-22500</v>
      </c>
      <c r="Z101" t="str">
        <f>IF('TRACKER - 20220622'!AB105&lt;&gt;"",UPPER('TRACKER - 20220622'!AB105),"")</f>
        <v>-7875</v>
      </c>
      <c r="AA101" t="str">
        <f>IF('TRACKER - 20220622'!AC105&lt;&gt;"",UPPER('TRACKER - 20220622'!AC105),"")</f>
        <v>0</v>
      </c>
      <c r="AB101" t="str">
        <f>IF('TRACKER - 20220622'!AE105&lt;&gt;"",UPPER('TRACKER - 20220622'!AE105),"")</f>
        <v>-6750</v>
      </c>
      <c r="AC101" t="str">
        <f>IF('TRACKER - 20220622'!AF105&lt;&gt;"",UPPER('TRACKER - 20220622'!AF105),"")</f>
        <v>-37125</v>
      </c>
      <c r="AD101" t="str">
        <f>IF('TRACKER - 20220622'!AG105&lt;&gt;"",UPPER('TRACKER - 20220622'!AG105),"")</f>
        <v>0</v>
      </c>
      <c r="AE101" t="str">
        <f>IF('TRACKER - 20220622'!AH105&lt;&gt;"",UPPER('TRACKER - 20220622'!AH105),"")</f>
        <v>-150</v>
      </c>
      <c r="AF101" t="str">
        <f>IF('TRACKER - 20220622'!AI105&lt;&gt;"",UPPER('TRACKER - 20220622'!AI105),"")</f>
        <v/>
      </c>
      <c r="AG101" t="str">
        <f>IF('TRACKER - 20220622'!AJ105&lt;&gt;"",UPPER('TRACKER - 20220622'!AJ105),"")</f>
        <v>0</v>
      </c>
      <c r="AH101" t="str">
        <f>IF('TRACKER - 20220622'!AK105&lt;&gt;"",UPPER('TRACKER - 20220622'!AK105),"")</f>
        <v/>
      </c>
      <c r="AI101" t="str">
        <f>IF('TRACKER - 20220622'!AL105&lt;&gt;"",UPPER('TRACKER - 20220622'!AL105),"")</f>
        <v>20</v>
      </c>
      <c r="AJ101" t="str">
        <f>IF('TRACKER - 20220622'!AM105&lt;&gt;"",UPPER('TRACKER - 20220622'!AM105),"")</f>
        <v>7</v>
      </c>
      <c r="AK101" t="str">
        <f>IF('TRACKER - 20220622'!AN105&lt;&gt;"",UPPER('TRACKER - 20220622'!AN105),"")</f>
        <v/>
      </c>
      <c r="AL101" t="str">
        <f>IF('TRACKER - 20220622'!AO105&lt;&gt;"",UPPER('TRACKER - 20220622'!AO105),"")</f>
        <v>6</v>
      </c>
      <c r="AM101" t="str">
        <f>IF('TRACKER - 20220622'!AP105&lt;&gt;"",UPPER('TRACKER - 20220622'!AP105),"")</f>
        <v>33</v>
      </c>
      <c r="AN101" t="str">
        <f>IF('TRACKER - 20220622'!AQ105&lt;&gt;"",UPPER('TRACKER - 20220622'!AQ105),"")</f>
        <v>0</v>
      </c>
      <c r="AO101" t="str">
        <f>IF('TRACKER - 20220622'!AR105&lt;&gt;"",UPPER('TRACKER - 20220622'!AR105),"")</f>
        <v>PRD</v>
      </c>
      <c r="AP101" t="str">
        <f>IF('TRACKER - 20220622'!AS105&lt;&gt;"",UPPER('TRACKER - 20220622'!AS105),"")</f>
        <v>REQ</v>
      </c>
      <c r="AQ101" t="str">
        <f>IF('TRACKER - 20220622'!AT105&lt;&gt;"",UPPER('TRACKER - 20220622'!AT105),"")</f>
        <v>N</v>
      </c>
      <c r="AR101" t="str">
        <f>IF('TRACKER - 20220622'!AU105&lt;&gt;"",UPPER('TRACKER - 20220622'!AU105),"")</f>
        <v>-150</v>
      </c>
      <c r="AS101" t="str">
        <f>IF('TRACKER - 20220622'!AV105&lt;&gt;"",UPPER('TRACKER - 20220622'!AV105),"")</f>
        <v/>
      </c>
      <c r="AT101" t="str">
        <f>IF('TRACKER - 20220622'!AW105&lt;&gt;"",UPPER('TRACKER - 20220622'!AW105),"")</f>
        <v/>
      </c>
      <c r="AU101" t="str">
        <f>IF('TRACKER - 20220622'!AX105&lt;&gt;"",UPPER('TRACKER - 20220622'!AX105),"")</f>
        <v>REASON105</v>
      </c>
      <c r="AV101" t="str">
        <f>IF('TRACKER - 20220622'!BD118&lt;&gt;"",'TRACKER - 20220622'!BD118,"")</f>
        <v/>
      </c>
      <c r="AW101" t="str">
        <f>IF('TRACKER - 20220622'!BE118&lt;&gt;"",'TRACKER - 20220622'!BE118,"")</f>
        <v/>
      </c>
      <c r="AX101" t="str">
        <f>IF('TRACKER - 20220622'!BF118&lt;&gt;"",'TRACKER - 20220622'!BF118,"")</f>
        <v/>
      </c>
      <c r="AY101" t="str">
        <f>IF('TRACKER - 20220622'!BG118&lt;&gt;"",'TRACKER - 20220622'!BG118,"")</f>
        <v/>
      </c>
      <c r="AZ101" t="str">
        <f>IF('TRACKER - 20220622'!BH118&lt;&gt;"",'TRACKER - 20220622'!BH118,"")</f>
        <v/>
      </c>
      <c r="BA101" t="str">
        <f>IF('TRACKER - 20220622'!BI118&lt;&gt;"",'TRACKER - 20220622'!BI118,"")</f>
        <v/>
      </c>
      <c r="BB101" t="str">
        <f>IF('TRACKER - 20220622'!BJ118&lt;&gt;"",'TRACKER - 20220622'!BJ118,"")</f>
        <v/>
      </c>
      <c r="BC101" t="str">
        <f>IF('TRACKER - 20220622'!BK118&lt;&gt;"",'TRACKER - 20220622'!BK118,"")</f>
        <v/>
      </c>
      <c r="BD101" t="str">
        <f>IF('TRACKER - 20220622'!BL118&lt;&gt;"",'TRACKER - 20220622'!BL118,"")</f>
        <v/>
      </c>
      <c r="BE101" t="str">
        <f>IF('TRACKER - 20220622'!BM118&lt;&gt;"",'TRACKER - 20220622'!BM118,"")</f>
        <v/>
      </c>
      <c r="BF101" t="str">
        <f>IF('TRACKER - 20220622'!BN118&lt;&gt;"",'TRACKER - 20220622'!BN118,"")</f>
        <v/>
      </c>
      <c r="BG101" t="str">
        <f>IF('TRACKER - 20220622'!BO118&lt;&gt;"",'TRACKER - 20220622'!BO118,"")</f>
        <v/>
      </c>
    </row>
    <row r="102" spans="1:59">
      <c r="A102" t="str">
        <f>IF('TRACKER - 20220622'!A119&lt;&gt;"",UPPER('TRACKER - 20220622'!A119),"")</f>
        <v>PRODUCT BACKLOG</v>
      </c>
      <c r="B102" t="str">
        <f>IF('TRACKER - 20220622'!B119&lt;&gt;"",UPPER('TRACKER - 20220622'!B119),"")</f>
        <v>N</v>
      </c>
      <c r="C102" t="str">
        <f>IF('TRACKER - 20220622'!D106&lt;&gt;"",UPPER('TRACKER - 20220622'!D106),"")</f>
        <v>26</v>
      </c>
      <c r="D102" t="str">
        <f>IF('TRACKER - 20220622'!F119&lt;&gt;"",UPPER('TRACKER - 20220622'!F119),"")</f>
        <v>PRD-BLG-2020-00001</v>
      </c>
      <c r="E102" t="str">
        <f>IF('TRACKER - 20220622'!H119&lt;&gt;"",'TRACKER - 20220622'!H119,"")</f>
        <v>Agreement Mandates</v>
      </c>
      <c r="F102" t="str">
        <f t="shared" si="2"/>
        <v>PRD-BLG-2020-00001 Agreement Mandates</v>
      </c>
      <c r="G102" t="str">
        <f t="shared" si="3"/>
        <v>1.2244897959183700026 - Agreement Mandates</v>
      </c>
      <c r="H102">
        <f>IF('TRACKER - 20220622'!J119&lt;&gt;"",'TRACKER - 20220622'!J119,"")</f>
        <v>0</v>
      </c>
      <c r="I102" t="str">
        <f>IF('TRACKER - 20220622'!K106&lt;&gt;"",UPPER('TRACKER - 20220622'!K106),"")</f>
        <v>43877</v>
      </c>
      <c r="J102" t="str">
        <f>IF('TRACKER - 20220622'!L106&lt;&gt;"",UPPER('TRACKER - 20220622'!L106),"")</f>
        <v>43877</v>
      </c>
      <c r="K102" t="str">
        <f>IF('TRACKER - 20220622'!M106&lt;&gt;"",UPPER('TRACKER - 20220622'!M106),"")</f>
        <v/>
      </c>
      <c r="L102" t="str">
        <f>IF('TRACKER - 20220622'!N106&lt;&gt;"",UPPER('TRACKER - 20220622'!N106),"")</f>
        <v/>
      </c>
      <c r="M102" t="str">
        <f>IF('TRACKER - 20220622'!O106&lt;&gt;"",UPPER('TRACKER - 20220622'!O106),"")</f>
        <v/>
      </c>
      <c r="N102" t="str">
        <f>IF('TRACKER - 20220622'!P106&lt;&gt;"",UPPER('TRACKER - 20220622'!P106),"")</f>
        <v/>
      </c>
      <c r="O102" t="str">
        <f>IF('TRACKER - 20220622'!Q106&lt;&gt;"",UPPER('TRACKER - 20220622'!Q106),"")</f>
        <v>AGREEMENTS</v>
      </c>
      <c r="P102" t="str">
        <f>IF('TRACKER - 20220622'!R106&lt;&gt;"",UPPER('TRACKER - 20220622'!R106),"")</f>
        <v>MARKET</v>
      </c>
      <c r="Q102" t="str">
        <f>IF('TRACKER - 20220622'!S106&lt;&gt;"",UPPER('TRACKER - 20220622'!S106),"")</f>
        <v/>
      </c>
      <c r="R102" t="str">
        <f>IF('TRACKER - 20220622'!T106&lt;&gt;"",UPPER('TRACKER - 20220622'!T106),"")</f>
        <v/>
      </c>
      <c r="S102" t="str">
        <f>IF('TRACKER - 20220622'!U106&lt;&gt;"",UPPER('TRACKER - 20220622'!U106),"")</f>
        <v/>
      </c>
      <c r="T102" t="str">
        <f>IF('TRACKER - 20220622'!V106&lt;&gt;"",UPPER('TRACKER - 20220622'!V106),"")</f>
        <v/>
      </c>
      <c r="U102" t="str">
        <f>IF('TRACKER - 20220622'!W106&lt;&gt;"",UPPER('TRACKER - 20220622'!W106),"")</f>
        <v/>
      </c>
      <c r="V102" t="str">
        <f>IF('TRACKER - 20220622'!X106&lt;&gt;"",UPPER('TRACKER - 20220622'!X106),"")</f>
        <v>15/09/20 - SELECTED TO PRODUCT ROADMAP INVESTIGATION
09/11/20 - REQUEST TO OPS FOR ETA OF ESTIMATION.</v>
      </c>
      <c r="W102" t="str">
        <f>IF('TRACKER - 20220622'!Y106&lt;&gt;"",UPPER('TRACKER - 20220622'!Y106),"")</f>
        <v>-11250</v>
      </c>
      <c r="X102" t="str">
        <f>IF('TRACKER - 20220622'!Z106&lt;&gt;"",UPPER('TRACKER - 20220622'!Z106),"")</f>
        <v>-1377.55102040816</v>
      </c>
      <c r="Y102" t="str">
        <f>IF('TRACKER - 20220622'!AA106&lt;&gt;"",UPPER('TRACKER - 20220622'!AA106),"")</f>
        <v>-5280.61224489796</v>
      </c>
      <c r="Z102" t="str">
        <f>IF('TRACKER - 20220622'!AB106&lt;&gt;"",UPPER('TRACKER - 20220622'!AB106),"")</f>
        <v>-1836.73469387755</v>
      </c>
      <c r="AA102" t="str">
        <f>IF('TRACKER - 20220622'!AC106&lt;&gt;"",UPPER('TRACKER - 20220622'!AC106),"")</f>
        <v>-1377.55102040816</v>
      </c>
      <c r="AB102" t="str">
        <f>IF('TRACKER - 20220622'!AE106&lt;&gt;"",UPPER('TRACKER - 20220622'!AE106),"")</f>
        <v>-1377.55102040816</v>
      </c>
      <c r="AC102" t="str">
        <f>IF('TRACKER - 20220622'!AF106&lt;&gt;"",UPPER('TRACKER - 20220622'!AF106),"")</f>
        <v>-11250</v>
      </c>
      <c r="AD102" t="str">
        <f>IF('TRACKER - 20220622'!AG106&lt;&gt;"",UPPER('TRACKER - 20220622'!AG106),"")</f>
        <v>0</v>
      </c>
      <c r="AE102" t="str">
        <f>IF('TRACKER - 20220622'!AH106&lt;&gt;"",UPPER('TRACKER - 20220622'!AH106),"")</f>
        <v>-150</v>
      </c>
      <c r="AF102" t="str">
        <f>IF('TRACKER - 20220622'!AI106&lt;&gt;"",UPPER('TRACKER - 20220622'!AI106),"")</f>
        <v/>
      </c>
      <c r="AG102" t="str">
        <f>IF('TRACKER - 20220622'!AJ106&lt;&gt;"",UPPER('TRACKER - 20220622'!AJ106),"")</f>
        <v>0</v>
      </c>
      <c r="AH102" t="str">
        <f>IF('TRACKER - 20220622'!AK106&lt;&gt;"",UPPER('TRACKER - 20220622'!AK106),"")</f>
        <v>1.22448979591837</v>
      </c>
      <c r="AI102" t="str">
        <f>IF('TRACKER - 20220622'!AL106&lt;&gt;"",UPPER('TRACKER - 20220622'!AL106),"")</f>
        <v>4.69387755102041</v>
      </c>
      <c r="AJ102" t="str">
        <f>IF('TRACKER - 20220622'!AM106&lt;&gt;"",UPPER('TRACKER - 20220622'!AM106),"")</f>
        <v>1.63265306122449</v>
      </c>
      <c r="AK102" t="str">
        <f>IF('TRACKER - 20220622'!AN106&lt;&gt;"",UPPER('TRACKER - 20220622'!AN106),"")</f>
        <v>1.22448979591837</v>
      </c>
      <c r="AL102" t="str">
        <f>IF('TRACKER - 20220622'!AO106&lt;&gt;"",UPPER('TRACKER - 20220622'!AO106),"")</f>
        <v>1.22448979591837</v>
      </c>
      <c r="AM102" t="str">
        <f>IF('TRACKER - 20220622'!AP106&lt;&gt;"",UPPER('TRACKER - 20220622'!AP106),"")</f>
        <v>10</v>
      </c>
      <c r="AN102" t="str">
        <f>IF('TRACKER - 20220622'!AQ106&lt;&gt;"",UPPER('TRACKER - 20220622'!AQ106),"")</f>
        <v>0</v>
      </c>
      <c r="AO102" t="str">
        <f>IF('TRACKER - 20220622'!AR106&lt;&gt;"",UPPER('TRACKER - 20220622'!AR106),"")</f>
        <v>PRD</v>
      </c>
      <c r="AP102" t="str">
        <f>IF('TRACKER - 20220622'!AS106&lt;&gt;"",UPPER('TRACKER - 20220622'!AS106),"")</f>
        <v>REQ</v>
      </c>
      <c r="AQ102" t="str">
        <f>IF('TRACKER - 20220622'!AT106&lt;&gt;"",UPPER('TRACKER - 20220622'!AT106),"")</f>
        <v>N</v>
      </c>
      <c r="AR102" t="str">
        <f>IF('TRACKER - 20220622'!AU106&lt;&gt;"",UPPER('TRACKER - 20220622'!AU106),"")</f>
        <v>-150</v>
      </c>
      <c r="AS102" t="str">
        <f>IF('TRACKER - 20220622'!AV106&lt;&gt;"",UPPER('TRACKER - 20220622'!AV106),"")</f>
        <v/>
      </c>
      <c r="AT102" t="str">
        <f>IF('TRACKER - 20220622'!AW106&lt;&gt;"",UPPER('TRACKER - 20220622'!AW106),"")</f>
        <v/>
      </c>
      <c r="AU102" t="str">
        <f>IF('TRACKER - 20220622'!AX106&lt;&gt;"",UPPER('TRACKER - 20220622'!AX106),"")</f>
        <v>REASON106</v>
      </c>
      <c r="AV102" t="str">
        <f>IF('TRACKER - 20220622'!BD119&lt;&gt;"",'TRACKER - 20220622'!BD119,"")</f>
        <v/>
      </c>
      <c r="AW102" t="str">
        <f>IF('TRACKER - 20220622'!BE119&lt;&gt;"",'TRACKER - 20220622'!BE119,"")</f>
        <v/>
      </c>
      <c r="AX102" t="str">
        <f>IF('TRACKER - 20220622'!BF119&lt;&gt;"",'TRACKER - 20220622'!BF119,"")</f>
        <v/>
      </c>
      <c r="AY102" t="str">
        <f>IF('TRACKER - 20220622'!BG119&lt;&gt;"",'TRACKER - 20220622'!BG119,"")</f>
        <v/>
      </c>
      <c r="AZ102" t="str">
        <f>IF('TRACKER - 20220622'!BH119&lt;&gt;"",'TRACKER - 20220622'!BH119,"")</f>
        <v/>
      </c>
      <c r="BA102" t="str">
        <f>IF('TRACKER - 20220622'!BI119&lt;&gt;"",'TRACKER - 20220622'!BI119,"")</f>
        <v/>
      </c>
      <c r="BB102" t="str">
        <f>IF('TRACKER - 20220622'!BJ119&lt;&gt;"",'TRACKER - 20220622'!BJ119,"")</f>
        <v/>
      </c>
      <c r="BC102" t="str">
        <f>IF('TRACKER - 20220622'!BK119&lt;&gt;"",'TRACKER - 20220622'!BK119,"")</f>
        <v/>
      </c>
      <c r="BD102" t="str">
        <f>IF('TRACKER - 20220622'!BL119&lt;&gt;"",'TRACKER - 20220622'!BL119,"")</f>
        <v/>
      </c>
      <c r="BE102" t="str">
        <f>IF('TRACKER - 20220622'!BM119&lt;&gt;"",'TRACKER - 20220622'!BM119,"")</f>
        <v/>
      </c>
      <c r="BF102" t="str">
        <f>IF('TRACKER - 20220622'!BN119&lt;&gt;"",'TRACKER - 20220622'!BN119,"")</f>
        <v/>
      </c>
      <c r="BG102" t="str">
        <f>IF('TRACKER - 20220622'!BO119&lt;&gt;"",'TRACKER - 20220622'!BO119,"")</f>
        <v/>
      </c>
    </row>
    <row r="103" spans="1:59">
      <c r="A103" t="str">
        <f>IF('TRACKER - 20220622'!A120&lt;&gt;"",UPPER('TRACKER - 20220622'!A120),"")</f>
        <v>PRODUCT BACKLOG</v>
      </c>
      <c r="B103" t="str">
        <f>IF('TRACKER - 20220622'!B120&lt;&gt;"",UPPER('TRACKER - 20220622'!B120),"")</f>
        <v>N</v>
      </c>
      <c r="C103" t="str">
        <f>IF('TRACKER - 20220622'!D107&lt;&gt;"",UPPER('TRACKER - 20220622'!D107),"")</f>
        <v/>
      </c>
      <c r="D103" t="str">
        <f>IF('TRACKER - 20220622'!F120&lt;&gt;"",UPPER('TRACKER - 20220622'!F120),"")</f>
        <v>PRD-BLG-2021-00001</v>
      </c>
      <c r="E103" t="str">
        <f>IF('TRACKER - 20220622'!H120&lt;&gt;"",'TRACKER - 20220622'!H120,"")</f>
        <v>IFD/IFR prudential regime</v>
      </c>
      <c r="F103" t="str">
        <f t="shared" si="2"/>
        <v>PRD-BLG-2021-00001 IFD/IFR prudential regime</v>
      </c>
      <c r="G103" t="str">
        <f t="shared" si="3"/>
        <v xml:space="preserve"> - IFD/IFR prudential regime</v>
      </c>
      <c r="H103">
        <f>IF('TRACKER - 20220622'!J120&lt;&gt;"",'TRACKER - 20220622'!J120,"")</f>
        <v>0</v>
      </c>
      <c r="I103" t="str">
        <f>IF('TRACKER - 20220622'!K107&lt;&gt;"",UPPER('TRACKER - 20220622'!K107),"")</f>
        <v>44070</v>
      </c>
      <c r="J103" t="str">
        <f>IF('TRACKER - 20220622'!L107&lt;&gt;"",UPPER('TRACKER - 20220622'!L107),"")</f>
        <v>44070</v>
      </c>
      <c r="K103" t="str">
        <f>IF('TRACKER - 20220622'!M107&lt;&gt;"",UPPER('TRACKER - 20220622'!M107),"")</f>
        <v/>
      </c>
      <c r="L103" t="str">
        <f>IF('TRACKER - 20220622'!N107&lt;&gt;"",UPPER('TRACKER - 20220622'!N107),"")</f>
        <v/>
      </c>
      <c r="M103" t="str">
        <f>IF('TRACKER - 20220622'!O107&lt;&gt;"",UPPER('TRACKER - 20220622'!O107),"")</f>
        <v/>
      </c>
      <c r="N103" t="str">
        <f>IF('TRACKER - 20220622'!P107&lt;&gt;"",UPPER('TRACKER - 20220622'!P107),"")</f>
        <v/>
      </c>
      <c r="O103" t="str">
        <f>IF('TRACKER - 20220622'!Q107&lt;&gt;"",UPPER('TRACKER - 20220622'!Q107),"")</f>
        <v>PLATFORM</v>
      </c>
      <c r="P103" t="str">
        <f>IF('TRACKER - 20220622'!R107&lt;&gt;"",UPPER('TRACKER - 20220622'!R107),"")</f>
        <v>PRODUCT</v>
      </c>
      <c r="Q103" t="str">
        <f>IF('TRACKER - 20220622'!S107&lt;&gt;"",UPPER('TRACKER - 20220622'!S107),"")</f>
        <v/>
      </c>
      <c r="R103" t="str">
        <f>IF('TRACKER - 20220622'!T107&lt;&gt;"",UPPER('TRACKER - 20220622'!T107),"")</f>
        <v/>
      </c>
      <c r="S103" t="str">
        <f>IF('TRACKER - 20220622'!U107&lt;&gt;"",UPPER('TRACKER - 20220622'!U107),"")</f>
        <v/>
      </c>
      <c r="T103" t="str">
        <f>IF('TRACKER - 20220622'!V107&lt;&gt;"",UPPER('TRACKER - 20220622'!V107),"")</f>
        <v/>
      </c>
      <c r="U103" t="str">
        <f>IF('TRACKER - 20220622'!W107&lt;&gt;"",UPPER('TRACKER - 20220622'!W107),"")</f>
        <v/>
      </c>
      <c r="V103" t="str">
        <f>IF('TRACKER - 20220622'!X107&lt;&gt;"",UPPER('TRACKER - 20220622'!X107),"")</f>
        <v>15/09/20 - SELECTED TO PRODUCT ROADMAP INVESTIGATION</v>
      </c>
      <c r="W103" t="str">
        <f>IF('TRACKER - 20220622'!Y107&lt;&gt;"",UPPER('TRACKER - 20220622'!Y107),"")</f>
        <v>0</v>
      </c>
      <c r="X103" t="str">
        <f>IF('TRACKER - 20220622'!Z107&lt;&gt;"",UPPER('TRACKER - 20220622'!Z107),"")</f>
        <v>0</v>
      </c>
      <c r="Y103" t="str">
        <f>IF('TRACKER - 20220622'!AA107&lt;&gt;"",UPPER('TRACKER - 20220622'!AA107),"")</f>
        <v>0</v>
      </c>
      <c r="Z103" t="str">
        <f>IF('TRACKER - 20220622'!AB107&lt;&gt;"",UPPER('TRACKER - 20220622'!AB107),"")</f>
        <v>0</v>
      </c>
      <c r="AA103" t="str">
        <f>IF('TRACKER - 20220622'!AC107&lt;&gt;"",UPPER('TRACKER - 20220622'!AC107),"")</f>
        <v>0</v>
      </c>
      <c r="AB103" t="str">
        <f>IF('TRACKER - 20220622'!AE107&lt;&gt;"",UPPER('TRACKER - 20220622'!AE107),"")</f>
        <v>0</v>
      </c>
      <c r="AC103" t="str">
        <f>IF('TRACKER - 20220622'!AF107&lt;&gt;"",UPPER('TRACKER - 20220622'!AF107),"")</f>
        <v>0</v>
      </c>
      <c r="AD103" t="str">
        <f>IF('TRACKER - 20220622'!AG107&lt;&gt;"",UPPER('TRACKER - 20220622'!AG107),"")</f>
        <v>0</v>
      </c>
      <c r="AE103" t="str">
        <f>IF('TRACKER - 20220622'!AH107&lt;&gt;"",UPPER('TRACKER - 20220622'!AH107),"")</f>
        <v>-150</v>
      </c>
      <c r="AF103" t="str">
        <f>IF('TRACKER - 20220622'!AI107&lt;&gt;"",UPPER('TRACKER - 20220622'!AI107),"")</f>
        <v/>
      </c>
      <c r="AG103" t="str">
        <f>IF('TRACKER - 20220622'!AJ107&lt;&gt;"",UPPER('TRACKER - 20220622'!AJ107),"")</f>
        <v>0</v>
      </c>
      <c r="AH103" t="str">
        <f>IF('TRACKER - 20220622'!AK107&lt;&gt;"",UPPER('TRACKER - 20220622'!AK107),"")</f>
        <v/>
      </c>
      <c r="AI103" t="str">
        <f>IF('TRACKER - 20220622'!AL107&lt;&gt;"",UPPER('TRACKER - 20220622'!AL107),"")</f>
        <v>0</v>
      </c>
      <c r="AJ103" t="str">
        <f>IF('TRACKER - 20220622'!AM107&lt;&gt;"",UPPER('TRACKER - 20220622'!AM107),"")</f>
        <v>0</v>
      </c>
      <c r="AK103" t="str">
        <f>IF('TRACKER - 20220622'!AN107&lt;&gt;"",UPPER('TRACKER - 20220622'!AN107),"")</f>
        <v/>
      </c>
      <c r="AL103" t="str">
        <f>IF('TRACKER - 20220622'!AO107&lt;&gt;"",UPPER('TRACKER - 20220622'!AO107),"")</f>
        <v>0</v>
      </c>
      <c r="AM103" t="str">
        <f>IF('TRACKER - 20220622'!AP107&lt;&gt;"",UPPER('TRACKER - 20220622'!AP107),"")</f>
        <v>0</v>
      </c>
      <c r="AN103" t="str">
        <f>IF('TRACKER - 20220622'!AQ107&lt;&gt;"",UPPER('TRACKER - 20220622'!AQ107),"")</f>
        <v>0</v>
      </c>
      <c r="AO103" t="str">
        <f>IF('TRACKER - 20220622'!AR107&lt;&gt;"",UPPER('TRACKER - 20220622'!AR107),"")</f>
        <v>PRD</v>
      </c>
      <c r="AP103" t="str">
        <f>IF('TRACKER - 20220622'!AS107&lt;&gt;"",UPPER('TRACKER - 20220622'!AS107),"")</f>
        <v>REQ</v>
      </c>
      <c r="AQ103" t="str">
        <f>IF('TRACKER - 20220622'!AT107&lt;&gt;"",UPPER('TRACKER - 20220622'!AT107),"")</f>
        <v>N</v>
      </c>
      <c r="AR103" t="str">
        <f>IF('TRACKER - 20220622'!AU107&lt;&gt;"",UPPER('TRACKER - 20220622'!AU107),"")</f>
        <v>-150</v>
      </c>
      <c r="AS103" t="str">
        <f>IF('TRACKER - 20220622'!AV107&lt;&gt;"",UPPER('TRACKER - 20220622'!AV107),"")</f>
        <v/>
      </c>
      <c r="AT103" t="str">
        <f>IF('TRACKER - 20220622'!AW107&lt;&gt;"",UPPER('TRACKER - 20220622'!AW107),"")</f>
        <v/>
      </c>
      <c r="AU103" t="str">
        <f>IF('TRACKER - 20220622'!AX107&lt;&gt;"",UPPER('TRACKER - 20220622'!AX107),"")</f>
        <v>REASON107</v>
      </c>
      <c r="AV103" t="str">
        <f>IF('TRACKER - 20220622'!BD120&lt;&gt;"",'TRACKER - 20220622'!BD120,"")</f>
        <v/>
      </c>
      <c r="AW103" t="str">
        <f>IF('TRACKER - 20220622'!BE120&lt;&gt;"",'TRACKER - 20220622'!BE120,"")</f>
        <v/>
      </c>
      <c r="AX103" t="str">
        <f>IF('TRACKER - 20220622'!BF120&lt;&gt;"",'TRACKER - 20220622'!BF120,"")</f>
        <v/>
      </c>
      <c r="AY103" t="str">
        <f>IF('TRACKER - 20220622'!BG120&lt;&gt;"",'TRACKER - 20220622'!BG120,"")</f>
        <v/>
      </c>
      <c r="AZ103" t="str">
        <f>IF('TRACKER - 20220622'!BH120&lt;&gt;"",'TRACKER - 20220622'!BH120,"")</f>
        <v/>
      </c>
      <c r="BA103" t="str">
        <f>IF('TRACKER - 20220622'!BI120&lt;&gt;"",'TRACKER - 20220622'!BI120,"")</f>
        <v/>
      </c>
      <c r="BB103" t="str">
        <f>IF('TRACKER - 20220622'!BJ120&lt;&gt;"",'TRACKER - 20220622'!BJ120,"")</f>
        <v/>
      </c>
      <c r="BC103" t="str">
        <f>IF('TRACKER - 20220622'!BK120&lt;&gt;"",'TRACKER - 20220622'!BK120,"")</f>
        <v/>
      </c>
      <c r="BD103" t="str">
        <f>IF('TRACKER - 20220622'!BL120&lt;&gt;"",'TRACKER - 20220622'!BL120,"")</f>
        <v/>
      </c>
      <c r="BE103" t="str">
        <f>IF('TRACKER - 20220622'!BM120&lt;&gt;"",'TRACKER - 20220622'!BM120,"")</f>
        <v/>
      </c>
      <c r="BF103" t="str">
        <f>IF('TRACKER - 20220622'!BN120&lt;&gt;"",'TRACKER - 20220622'!BN120,"")</f>
        <v/>
      </c>
      <c r="BG103" t="str">
        <f>IF('TRACKER - 20220622'!BO120&lt;&gt;"",'TRACKER - 20220622'!BO120,"")</f>
        <v/>
      </c>
    </row>
    <row r="104" spans="1:59">
      <c r="A104" t="str">
        <f>IF('TRACKER - 20220622'!A121&lt;&gt;"",UPPER('TRACKER - 20220622'!A121),"")</f>
        <v>PRODUCT BACKLOG</v>
      </c>
      <c r="B104" t="str">
        <f>IF('TRACKER - 20220622'!B121&lt;&gt;"",UPPER('TRACKER - 20220622'!B121),"")</f>
        <v>N</v>
      </c>
      <c r="C104" t="str">
        <f>IF('TRACKER - 20220622'!D108&lt;&gt;"",UPPER('TRACKER - 20220622'!D108),"")</f>
        <v>9</v>
      </c>
      <c r="D104" t="str">
        <f>IF('TRACKER - 20220622'!F121&lt;&gt;"",UPPER('TRACKER - 20220622'!F121),"")</f>
        <v>PRD-BLG-2021-00002</v>
      </c>
      <c r="E104" t="str">
        <f>IF('TRACKER - 20220622'!H121&lt;&gt;"",'TRACKER - 20220622'!H121,"")</f>
        <v>Direct Bank Conncitity (OpenBanking or PSD2)</v>
      </c>
      <c r="F104" t="str">
        <f t="shared" si="2"/>
        <v>PRD-BLG-2021-00002 Direct Bank Conncitity (OpenBanking or PSD2)</v>
      </c>
      <c r="G104" t="str">
        <f t="shared" si="3"/>
        <v>00009 - Direct Bank Conncitity (OpenBanking or PSD2)</v>
      </c>
      <c r="H104">
        <f>IF('TRACKER - 20220622'!J121&lt;&gt;"",'TRACKER - 20220622'!J121,"")</f>
        <v>0</v>
      </c>
      <c r="I104" t="str">
        <f>IF('TRACKER - 20220622'!K108&lt;&gt;"",UPPER('TRACKER - 20220622'!K108),"")</f>
        <v>43845</v>
      </c>
      <c r="J104" t="str">
        <f>IF('TRACKER - 20220622'!L108&lt;&gt;"",UPPER('TRACKER - 20220622'!L108),"")</f>
        <v>43845</v>
      </c>
      <c r="K104" t="str">
        <f>IF('TRACKER - 20220622'!M108&lt;&gt;"",UPPER('TRACKER - 20220622'!M108),"")</f>
        <v/>
      </c>
      <c r="L104" t="str">
        <f>IF('TRACKER - 20220622'!N108&lt;&gt;"",UPPER('TRACKER - 20220622'!N108),"")</f>
        <v/>
      </c>
      <c r="M104" t="str">
        <f>IF('TRACKER - 20220622'!O108&lt;&gt;"",UPPER('TRACKER - 20220622'!O108),"")</f>
        <v/>
      </c>
      <c r="N104" t="str">
        <f>IF('TRACKER - 20220622'!P108&lt;&gt;"",UPPER('TRACKER - 20220622'!P108),"")</f>
        <v/>
      </c>
      <c r="O104" t="str">
        <f>IF('TRACKER - 20220622'!Q108&lt;&gt;"",UPPER('TRACKER - 20220622'!Q108),"")</f>
        <v>PLATFORM</v>
      </c>
      <c r="P104" t="str">
        <f>IF('TRACKER - 20220622'!R108&lt;&gt;"",UPPER('TRACKER - 20220622'!R108),"")</f>
        <v>CLIENT</v>
      </c>
      <c r="Q104" t="str">
        <f>IF('TRACKER - 20220622'!S108&lt;&gt;"",UPPER('TRACKER - 20220622'!S108),"")</f>
        <v/>
      </c>
      <c r="R104" t="str">
        <f>IF('TRACKER - 20220622'!T108&lt;&gt;"",UPPER('TRACKER - 20220622'!T108),"")</f>
        <v/>
      </c>
      <c r="S104" t="str">
        <f>IF('TRACKER - 20220622'!U108&lt;&gt;"",UPPER('TRACKER - 20220622'!U108),"")</f>
        <v/>
      </c>
      <c r="T104" t="str">
        <f>IF('TRACKER - 20220622'!V108&lt;&gt;"",UPPER('TRACKER - 20220622'!V108),"")</f>
        <v/>
      </c>
      <c r="U104" t="str">
        <f>IF('TRACKER - 20220622'!W108&lt;&gt;"",UPPER('TRACKER - 20220622'!W108),"")</f>
        <v/>
      </c>
      <c r="V104" t="str">
        <f>IF('TRACKER - 20220622'!X108&lt;&gt;"",UPPER('TRACKER - 20220622'!X108),"")</f>
        <v>19/11/20 - REQUESTED ESTIMATION FROM OPS.</v>
      </c>
      <c r="W104" t="str">
        <f>IF('TRACKER - 20220622'!Y108&lt;&gt;"",UPPER('TRACKER - 20220622'!Y108),"")</f>
        <v>-3375</v>
      </c>
      <c r="X104" t="str">
        <f>IF('TRACKER - 20220622'!Z108&lt;&gt;"",UPPER('TRACKER - 20220622'!Z108),"")</f>
        <v>0</v>
      </c>
      <c r="Y104" t="str">
        <f>IF('TRACKER - 20220622'!AA108&lt;&gt;"",UPPER('TRACKER - 20220622'!AA108),"")</f>
        <v>-3375</v>
      </c>
      <c r="Z104" t="str">
        <f>IF('TRACKER - 20220622'!AB108&lt;&gt;"",UPPER('TRACKER - 20220622'!AB108),"")</f>
        <v>0</v>
      </c>
      <c r="AA104" t="str">
        <f>IF('TRACKER - 20220622'!AC108&lt;&gt;"",UPPER('TRACKER - 20220622'!AC108),"")</f>
        <v>0</v>
      </c>
      <c r="AB104" t="str">
        <f>IF('TRACKER - 20220622'!AE108&lt;&gt;"",UPPER('TRACKER - 20220622'!AE108),"")</f>
        <v>0</v>
      </c>
      <c r="AC104" t="str">
        <f>IF('TRACKER - 20220622'!AF108&lt;&gt;"",UPPER('TRACKER - 20220622'!AF108),"")</f>
        <v>-3375</v>
      </c>
      <c r="AD104" t="str">
        <f>IF('TRACKER - 20220622'!AG108&lt;&gt;"",UPPER('TRACKER - 20220622'!AG108),"")</f>
        <v>0</v>
      </c>
      <c r="AE104" t="str">
        <f>IF('TRACKER - 20220622'!AH108&lt;&gt;"",UPPER('TRACKER - 20220622'!AH108),"")</f>
        <v>-150</v>
      </c>
      <c r="AF104" t="str">
        <f>IF('TRACKER - 20220622'!AI108&lt;&gt;"",UPPER('TRACKER - 20220622'!AI108),"")</f>
        <v/>
      </c>
      <c r="AG104" t="str">
        <f>IF('TRACKER - 20220622'!AJ108&lt;&gt;"",UPPER('TRACKER - 20220622'!AJ108),"")</f>
        <v>0</v>
      </c>
      <c r="AH104" t="str">
        <f>IF('TRACKER - 20220622'!AK108&lt;&gt;"",UPPER('TRACKER - 20220622'!AK108),"")</f>
        <v/>
      </c>
      <c r="AI104" t="str">
        <f>IF('TRACKER - 20220622'!AL108&lt;&gt;"",UPPER('TRACKER - 20220622'!AL108),"")</f>
        <v>3</v>
      </c>
      <c r="AJ104" t="str">
        <f>IF('TRACKER - 20220622'!AM108&lt;&gt;"",UPPER('TRACKER - 20220622'!AM108),"")</f>
        <v>0</v>
      </c>
      <c r="AK104" t="str">
        <f>IF('TRACKER - 20220622'!AN108&lt;&gt;"",UPPER('TRACKER - 20220622'!AN108),"")</f>
        <v/>
      </c>
      <c r="AL104" t="str">
        <f>IF('TRACKER - 20220622'!AO108&lt;&gt;"",UPPER('TRACKER - 20220622'!AO108),"")</f>
        <v>0</v>
      </c>
      <c r="AM104" t="str">
        <f>IF('TRACKER - 20220622'!AP108&lt;&gt;"",UPPER('TRACKER - 20220622'!AP108),"")</f>
        <v>3</v>
      </c>
      <c r="AN104" t="str">
        <f>IF('TRACKER - 20220622'!AQ108&lt;&gt;"",UPPER('TRACKER - 20220622'!AQ108),"")</f>
        <v>0</v>
      </c>
      <c r="AO104" t="str">
        <f>IF('TRACKER - 20220622'!AR108&lt;&gt;"",UPPER('TRACKER - 20220622'!AR108),"")</f>
        <v>PRD</v>
      </c>
      <c r="AP104" t="str">
        <f>IF('TRACKER - 20220622'!AS108&lt;&gt;"",UPPER('TRACKER - 20220622'!AS108),"")</f>
        <v>REQ</v>
      </c>
      <c r="AQ104" t="str">
        <f>IF('TRACKER - 20220622'!AT108&lt;&gt;"",UPPER('TRACKER - 20220622'!AT108),"")</f>
        <v>N</v>
      </c>
      <c r="AR104" t="str">
        <f>IF('TRACKER - 20220622'!AU108&lt;&gt;"",UPPER('TRACKER - 20220622'!AU108),"")</f>
        <v>-150</v>
      </c>
      <c r="AS104" t="str">
        <f>IF('TRACKER - 20220622'!AV108&lt;&gt;"",UPPER('TRACKER - 20220622'!AV108),"")</f>
        <v/>
      </c>
      <c r="AT104" t="str">
        <f>IF('TRACKER - 20220622'!AW108&lt;&gt;"",UPPER('TRACKER - 20220622'!AW108),"")</f>
        <v/>
      </c>
      <c r="AU104" t="str">
        <f>IF('TRACKER - 20220622'!AX108&lt;&gt;"",UPPER('TRACKER - 20220622'!AX108),"")</f>
        <v>REASON108</v>
      </c>
      <c r="AV104" t="str">
        <f>IF('TRACKER - 20220622'!BD121&lt;&gt;"",'TRACKER - 20220622'!BD121,"")</f>
        <v/>
      </c>
      <c r="AW104" t="str">
        <f>IF('TRACKER - 20220622'!BE121&lt;&gt;"",'TRACKER - 20220622'!BE121,"")</f>
        <v/>
      </c>
      <c r="AX104" t="str">
        <f>IF('TRACKER - 20220622'!BF121&lt;&gt;"",'TRACKER - 20220622'!BF121,"")</f>
        <v/>
      </c>
      <c r="AY104" t="str">
        <f>IF('TRACKER - 20220622'!BG121&lt;&gt;"",'TRACKER - 20220622'!BG121,"")</f>
        <v/>
      </c>
      <c r="AZ104" t="str">
        <f>IF('TRACKER - 20220622'!BH121&lt;&gt;"",'TRACKER - 20220622'!BH121,"")</f>
        <v/>
      </c>
      <c r="BA104" t="str">
        <f>IF('TRACKER - 20220622'!BI121&lt;&gt;"",'TRACKER - 20220622'!BI121,"")</f>
        <v/>
      </c>
      <c r="BB104" t="str">
        <f>IF('TRACKER - 20220622'!BJ121&lt;&gt;"",'TRACKER - 20220622'!BJ121,"")</f>
        <v/>
      </c>
      <c r="BC104" t="str">
        <f>IF('TRACKER - 20220622'!BK121&lt;&gt;"",'TRACKER - 20220622'!BK121,"")</f>
        <v/>
      </c>
      <c r="BD104" t="str">
        <f>IF('TRACKER - 20220622'!BL121&lt;&gt;"",'TRACKER - 20220622'!BL121,"")</f>
        <v/>
      </c>
      <c r="BE104" t="str">
        <f>IF('TRACKER - 20220622'!BM121&lt;&gt;"",'TRACKER - 20220622'!BM121,"")</f>
        <v/>
      </c>
      <c r="BF104" t="str">
        <f>IF('TRACKER - 20220622'!BN121&lt;&gt;"",'TRACKER - 20220622'!BN121,"")</f>
        <v/>
      </c>
      <c r="BG104" t="str">
        <f>IF('TRACKER - 20220622'!BO121&lt;&gt;"",'TRACKER - 20220622'!BO121,"")</f>
        <v/>
      </c>
    </row>
    <row r="105" spans="1:59">
      <c r="A105" t="str">
        <f>IF('TRACKER - 20220622'!A122&lt;&gt;"",UPPER('TRACKER - 20220622'!A122),"")</f>
        <v>PRODUCT BACKLOG</v>
      </c>
      <c r="B105" t="str">
        <f>IF('TRACKER - 20220622'!B122&lt;&gt;"",UPPER('TRACKER - 20220622'!B122),"")</f>
        <v>N</v>
      </c>
      <c r="C105" t="str">
        <f>IF('TRACKER - 20220622'!D109&lt;&gt;"",UPPER('TRACKER - 20220622'!D109),"")</f>
        <v>24</v>
      </c>
      <c r="D105" t="str">
        <f>IF('TRACKER - 20220622'!F122&lt;&gt;"",UPPER('TRACKER - 20220622'!F122),"")</f>
        <v>PRD-BLG-2021-00003</v>
      </c>
      <c r="E105" t="str">
        <f>IF('TRACKER - 20220622'!H122&lt;&gt;"",'TRACKER - 20220622'!H122,"")</f>
        <v>Bank Line Integration - C&amp;C</v>
      </c>
      <c r="F105" t="str">
        <f t="shared" si="2"/>
        <v>PRD-BLG-2021-00003 Bank Line Integration - C&amp;C</v>
      </c>
      <c r="G105" t="str">
        <f t="shared" si="3"/>
        <v>00024 - Bank Line Integration - C&amp;C</v>
      </c>
      <c r="H105">
        <f>IF('TRACKER - 20220622'!J122&lt;&gt;"",'TRACKER - 20220622'!J122,"")</f>
        <v>0</v>
      </c>
      <c r="I105" t="str">
        <f>IF('TRACKER - 20220622'!K109&lt;&gt;"",UPPER('TRACKER - 20220622'!K109),"")</f>
        <v>44152</v>
      </c>
      <c r="J105" t="str">
        <f>IF('TRACKER - 20220622'!L109&lt;&gt;"",UPPER('TRACKER - 20220622'!L109),"")</f>
        <v>44152</v>
      </c>
      <c r="K105" t="str">
        <f>IF('TRACKER - 20220622'!M109&lt;&gt;"",UPPER('TRACKER - 20220622'!M109),"")</f>
        <v/>
      </c>
      <c r="L105" t="str">
        <f>IF('TRACKER - 20220622'!N109&lt;&gt;"",UPPER('TRACKER - 20220622'!N109),"")</f>
        <v/>
      </c>
      <c r="M105" t="str">
        <f>IF('TRACKER - 20220622'!O109&lt;&gt;"",UPPER('TRACKER - 20220622'!O109),"")</f>
        <v/>
      </c>
      <c r="N105" t="str">
        <f>IF('TRACKER - 20220622'!P109&lt;&gt;"",UPPER('TRACKER - 20220622'!P109),"")</f>
        <v/>
      </c>
      <c r="O105" t="str">
        <f>IF('TRACKER - 20220622'!Q109&lt;&gt;"",UPPER('TRACKER - 20220622'!Q109),"")</f>
        <v>ETRADER</v>
      </c>
      <c r="P105" t="str">
        <f>IF('TRACKER - 20220622'!R109&lt;&gt;"",UPPER('TRACKER - 20220622'!R109),"")</f>
        <v>MARKET</v>
      </c>
      <c r="Q105" t="str">
        <f>IF('TRACKER - 20220622'!S109&lt;&gt;"",UPPER('TRACKER - 20220622'!S109),"")</f>
        <v/>
      </c>
      <c r="R105" t="str">
        <f>IF('TRACKER - 20220622'!T109&lt;&gt;"",UPPER('TRACKER - 20220622'!T109),"")</f>
        <v/>
      </c>
      <c r="S105" t="str">
        <f>IF('TRACKER - 20220622'!U109&lt;&gt;"",UPPER('TRACKER - 20220622'!U109),"")</f>
        <v/>
      </c>
      <c r="T105" t="str">
        <f>IF('TRACKER - 20220622'!V109&lt;&gt;"",UPPER('TRACKER - 20220622'!V109),"")</f>
        <v/>
      </c>
      <c r="U105" t="str">
        <f>IF('TRACKER - 20220622'!W109&lt;&gt;"",UPPER('TRACKER - 20220622'!W109),"")</f>
        <v/>
      </c>
      <c r="V105" t="str">
        <f>IF('TRACKER - 20220622'!X109&lt;&gt;"",UPPER('TRACKER - 20220622'!X109),"")</f>
        <v>16/11/20 - COSTS PROVIDED BY BS VIA EXAMPLE OF SYNERGY2 CUSTOMER UI (ADDED 2 DAYS EACH FOR MANAGEMENT &amp; ASSESSMENT POST DELIVERT).</v>
      </c>
      <c r="W105" t="str">
        <f>IF('TRACKER - 20220622'!Y109&lt;&gt;"",UPPER('TRACKER - 20220622'!Y109),"")</f>
        <v>-8100</v>
      </c>
      <c r="X105" t="str">
        <f>IF('TRACKER - 20220622'!Z109&lt;&gt;"",UPPER('TRACKER - 20220622'!Z109),"")</f>
        <v>-2250</v>
      </c>
      <c r="Y105" t="str">
        <f>IF('TRACKER - 20220622'!AA109&lt;&gt;"",UPPER('TRACKER - 20220622'!AA109),"")</f>
        <v>-3600</v>
      </c>
      <c r="Z105" t="str">
        <f>IF('TRACKER - 20220622'!AB109&lt;&gt;"",UPPER('TRACKER - 20220622'!AB109),"")</f>
        <v>0</v>
      </c>
      <c r="AA105" t="str">
        <f>IF('TRACKER - 20220622'!AC109&lt;&gt;"",UPPER('TRACKER - 20220622'!AC109),"")</f>
        <v>0</v>
      </c>
      <c r="AB105" t="str">
        <f>IF('TRACKER - 20220622'!AE109&lt;&gt;"",UPPER('TRACKER - 20220622'!AE109),"")</f>
        <v>-2250</v>
      </c>
      <c r="AC105" t="str">
        <f>IF('TRACKER - 20220622'!AF109&lt;&gt;"",UPPER('TRACKER - 20220622'!AF109),"")</f>
        <v>-8100</v>
      </c>
      <c r="AD105" t="str">
        <f>IF('TRACKER - 20220622'!AG109&lt;&gt;"",UPPER('TRACKER - 20220622'!AG109),"")</f>
        <v>0</v>
      </c>
      <c r="AE105" t="str">
        <f>IF('TRACKER - 20220622'!AH109&lt;&gt;"",UPPER('TRACKER - 20220622'!AH109),"")</f>
        <v>-150</v>
      </c>
      <c r="AF105" t="str">
        <f>IF('TRACKER - 20220622'!AI109&lt;&gt;"",UPPER('TRACKER - 20220622'!AI109),"")</f>
        <v/>
      </c>
      <c r="AG105" t="str">
        <f>IF('TRACKER - 20220622'!AJ109&lt;&gt;"",UPPER('TRACKER - 20220622'!AJ109),"")</f>
        <v>0</v>
      </c>
      <c r="AH105" t="str">
        <f>IF('TRACKER - 20220622'!AK109&lt;&gt;"",UPPER('TRACKER - 20220622'!AK109),"")</f>
        <v>2</v>
      </c>
      <c r="AI105" t="str">
        <f>IF('TRACKER - 20220622'!AL109&lt;&gt;"",UPPER('TRACKER - 20220622'!AL109),"")</f>
        <v>0</v>
      </c>
      <c r="AJ105" t="str">
        <f>IF('TRACKER - 20220622'!AM109&lt;&gt;"",UPPER('TRACKER - 20220622'!AM109),"")</f>
        <v>0</v>
      </c>
      <c r="AK105" t="str">
        <f>IF('TRACKER - 20220622'!AN109&lt;&gt;"",UPPER('TRACKER - 20220622'!AN109),"")</f>
        <v/>
      </c>
      <c r="AL105" t="str">
        <f>IF('TRACKER - 20220622'!AO109&lt;&gt;"",UPPER('TRACKER - 20220622'!AO109),"")</f>
        <v>2</v>
      </c>
      <c r="AM105" t="str">
        <f>IF('TRACKER - 20220622'!AP109&lt;&gt;"",UPPER('TRACKER - 20220622'!AP109),"")</f>
        <v>4</v>
      </c>
      <c r="AN105" t="str">
        <f>IF('TRACKER - 20220622'!AQ109&lt;&gt;"",UPPER('TRACKER - 20220622'!AQ109),"")</f>
        <v>0</v>
      </c>
      <c r="AO105" t="str">
        <f>IF('TRACKER - 20220622'!AR109&lt;&gt;"",UPPER('TRACKER - 20220622'!AR109),"")</f>
        <v>PRD</v>
      </c>
      <c r="AP105" t="str">
        <f>IF('TRACKER - 20220622'!AS109&lt;&gt;"",UPPER('TRACKER - 20220622'!AS109),"")</f>
        <v>REQ</v>
      </c>
      <c r="AQ105" t="str">
        <f>IF('TRACKER - 20220622'!AT109&lt;&gt;"",UPPER('TRACKER - 20220622'!AT109),"")</f>
        <v>N</v>
      </c>
      <c r="AR105" t="str">
        <f>IF('TRACKER - 20220622'!AU109&lt;&gt;"",UPPER('TRACKER - 20220622'!AU109),"")</f>
        <v>-150</v>
      </c>
      <c r="AS105" t="str">
        <f>IF('TRACKER - 20220622'!AV109&lt;&gt;"",UPPER('TRACKER - 20220622'!AV109),"")</f>
        <v/>
      </c>
      <c r="AT105" t="str">
        <f>IF('TRACKER - 20220622'!AW109&lt;&gt;"",UPPER('TRACKER - 20220622'!AW109),"")</f>
        <v/>
      </c>
      <c r="AU105" t="str">
        <f>IF('TRACKER - 20220622'!AX109&lt;&gt;"",UPPER('TRACKER - 20220622'!AX109),"")</f>
        <v>REASON109</v>
      </c>
      <c r="AV105" t="str">
        <f>IF('TRACKER - 20220622'!BD122&lt;&gt;"",'TRACKER - 20220622'!BD122,"")</f>
        <v/>
      </c>
      <c r="AW105" t="str">
        <f>IF('TRACKER - 20220622'!BE122&lt;&gt;"",'TRACKER - 20220622'!BE122,"")</f>
        <v/>
      </c>
      <c r="AX105" t="str">
        <f>IF('TRACKER - 20220622'!BF122&lt;&gt;"",'TRACKER - 20220622'!BF122,"")</f>
        <v/>
      </c>
      <c r="AY105" t="str">
        <f>IF('TRACKER - 20220622'!BG122&lt;&gt;"",'TRACKER - 20220622'!BG122,"")</f>
        <v/>
      </c>
      <c r="AZ105" t="str">
        <f>IF('TRACKER - 20220622'!BH122&lt;&gt;"",'TRACKER - 20220622'!BH122,"")</f>
        <v/>
      </c>
      <c r="BA105" t="str">
        <f>IF('TRACKER - 20220622'!BI122&lt;&gt;"",'TRACKER - 20220622'!BI122,"")</f>
        <v/>
      </c>
      <c r="BB105" t="str">
        <f>IF('TRACKER - 20220622'!BJ122&lt;&gt;"",'TRACKER - 20220622'!BJ122,"")</f>
        <v/>
      </c>
      <c r="BC105" t="str">
        <f>IF('TRACKER - 20220622'!BK122&lt;&gt;"",'TRACKER - 20220622'!BK122,"")</f>
        <v/>
      </c>
      <c r="BD105" t="str">
        <f>IF('TRACKER - 20220622'!BL122&lt;&gt;"",'TRACKER - 20220622'!BL122,"")</f>
        <v/>
      </c>
      <c r="BE105" t="str">
        <f>IF('TRACKER - 20220622'!BM122&lt;&gt;"",'TRACKER - 20220622'!BM122,"")</f>
        <v/>
      </c>
      <c r="BF105" t="str">
        <f>IF('TRACKER - 20220622'!BN122&lt;&gt;"",'TRACKER - 20220622'!BN122,"")</f>
        <v/>
      </c>
      <c r="BG105" t="str">
        <f>IF('TRACKER - 20220622'!BO122&lt;&gt;"",'TRACKER - 20220622'!BO122,"")</f>
        <v/>
      </c>
    </row>
    <row r="106" spans="1:59">
      <c r="A106" t="str">
        <f>IF('TRACKER - 20220622'!A123&lt;&gt;"",UPPER('TRACKER - 20220622'!A123),"")</f>
        <v>PRODUCT BACKLOG</v>
      </c>
      <c r="B106" t="str">
        <f>IF('TRACKER - 20220622'!B123&lt;&gt;"",UPPER('TRACKER - 20220622'!B123),"")</f>
        <v>N</v>
      </c>
      <c r="C106" t="str">
        <f>IF('TRACKER - 20220622'!D110&lt;&gt;"",UPPER('TRACKER - 20220622'!D110),"")</f>
        <v>25</v>
      </c>
      <c r="D106" t="str">
        <f>IF('TRACKER - 20220622'!F123&lt;&gt;"",UPPER('TRACKER - 20220622'!F123),"")</f>
        <v>PRD-BLG-2021-00004</v>
      </c>
      <c r="E106" t="str">
        <f>IF('TRACKER - 20220622'!H123&lt;&gt;"",'TRACKER - 20220622'!H123,"")</f>
        <v>EVE &amp; NII Calculations &amp; Metrics - C&amp;C</v>
      </c>
      <c r="F106" t="str">
        <f t="shared" si="2"/>
        <v>PRD-BLG-2021-00004 EVE &amp; NII Calculations &amp; Metrics - C&amp;C</v>
      </c>
      <c r="G106" t="str">
        <f t="shared" si="3"/>
        <v>00025 - EVE &amp; NII Calculations &amp; Metrics - C&amp;C</v>
      </c>
      <c r="H106">
        <f>IF('TRACKER - 20220622'!J123&lt;&gt;"",'TRACKER - 20220622'!J123,"")</f>
        <v>0</v>
      </c>
      <c r="I106" t="str">
        <f>IF('TRACKER - 20220622'!K110&lt;&gt;"",UPPER('TRACKER - 20220622'!K110),"")</f>
        <v>44152</v>
      </c>
      <c r="J106" t="str">
        <f>IF('TRACKER - 20220622'!L110&lt;&gt;"",UPPER('TRACKER - 20220622'!L110),"")</f>
        <v>44152</v>
      </c>
      <c r="K106" t="str">
        <f>IF('TRACKER - 20220622'!M110&lt;&gt;"",UPPER('TRACKER - 20220622'!M110),"")</f>
        <v/>
      </c>
      <c r="L106" t="str">
        <f>IF('TRACKER - 20220622'!N110&lt;&gt;"",UPPER('TRACKER - 20220622'!N110),"")</f>
        <v/>
      </c>
      <c r="M106" t="str">
        <f>IF('TRACKER - 20220622'!O110&lt;&gt;"",UPPER('TRACKER - 20220622'!O110),"")</f>
        <v/>
      </c>
      <c r="N106" t="str">
        <f>IF('TRACKER - 20220622'!P110&lt;&gt;"",UPPER('TRACKER - 20220622'!P110),"")</f>
        <v/>
      </c>
      <c r="O106" t="str">
        <f>IF('TRACKER - 20220622'!Q110&lt;&gt;"",UPPER('TRACKER - 20220622'!Q110),"")</f>
        <v>EPAYMENTS</v>
      </c>
      <c r="P106" t="str">
        <f>IF('TRACKER - 20220622'!R110&lt;&gt;"",UPPER('TRACKER - 20220622'!R110),"")</f>
        <v>MARKET</v>
      </c>
      <c r="Q106" t="str">
        <f>IF('TRACKER - 20220622'!S110&lt;&gt;"",UPPER('TRACKER - 20220622'!S110),"")</f>
        <v/>
      </c>
      <c r="R106" t="str">
        <f>IF('TRACKER - 20220622'!T110&lt;&gt;"",UPPER('TRACKER - 20220622'!T110),"")</f>
        <v/>
      </c>
      <c r="S106" t="str">
        <f>IF('TRACKER - 20220622'!U110&lt;&gt;"",UPPER('TRACKER - 20220622'!U110),"")</f>
        <v/>
      </c>
      <c r="T106" t="str">
        <f>IF('TRACKER - 20220622'!V110&lt;&gt;"",UPPER('TRACKER - 20220622'!V110),"")</f>
        <v/>
      </c>
      <c r="U106" t="str">
        <f>IF('TRACKER - 20220622'!W110&lt;&gt;"",UPPER('TRACKER - 20220622'!W110),"")</f>
        <v/>
      </c>
      <c r="V106" t="str">
        <f>IF('TRACKER - 20220622'!X110&lt;&gt;"",UPPER('TRACKER - 20220622'!X110),"")</f>
        <v>16/11/20 - COSTS PROVIDED BY BS VIA EXAMPLE OF SYNERGY2 CUSTOMER UI (ADDED 2 DAYS EACH FOR MANAGEMENT &amp; ASSESSMENT POST DELIVERT).</v>
      </c>
      <c r="W106" t="str">
        <f>IF('TRACKER - 20220622'!Y110&lt;&gt;"",UPPER('TRACKER - 20220622'!Y110),"")</f>
        <v>-8100</v>
      </c>
      <c r="X106" t="str">
        <f>IF('TRACKER - 20220622'!Z110&lt;&gt;"",UPPER('TRACKER - 20220622'!Z110),"")</f>
        <v>-2250</v>
      </c>
      <c r="Y106" t="str">
        <f>IF('TRACKER - 20220622'!AA110&lt;&gt;"",UPPER('TRACKER - 20220622'!AA110),"")</f>
        <v>-3600</v>
      </c>
      <c r="Z106" t="str">
        <f>IF('TRACKER - 20220622'!AB110&lt;&gt;"",UPPER('TRACKER - 20220622'!AB110),"")</f>
        <v>0</v>
      </c>
      <c r="AA106" t="str">
        <f>IF('TRACKER - 20220622'!AC110&lt;&gt;"",UPPER('TRACKER - 20220622'!AC110),"")</f>
        <v>0</v>
      </c>
      <c r="AB106" t="str">
        <f>IF('TRACKER - 20220622'!AE110&lt;&gt;"",UPPER('TRACKER - 20220622'!AE110),"")</f>
        <v>-2250</v>
      </c>
      <c r="AC106" t="str">
        <f>IF('TRACKER - 20220622'!AF110&lt;&gt;"",UPPER('TRACKER - 20220622'!AF110),"")</f>
        <v>-8100</v>
      </c>
      <c r="AD106" t="str">
        <f>IF('TRACKER - 20220622'!AG110&lt;&gt;"",UPPER('TRACKER - 20220622'!AG110),"")</f>
        <v>0</v>
      </c>
      <c r="AE106" t="str">
        <f>IF('TRACKER - 20220622'!AH110&lt;&gt;"",UPPER('TRACKER - 20220622'!AH110),"")</f>
        <v>-150</v>
      </c>
      <c r="AF106" t="str">
        <f>IF('TRACKER - 20220622'!AI110&lt;&gt;"",UPPER('TRACKER - 20220622'!AI110),"")</f>
        <v/>
      </c>
      <c r="AG106" t="str">
        <f>IF('TRACKER - 20220622'!AJ110&lt;&gt;"",UPPER('TRACKER - 20220622'!AJ110),"")</f>
        <v>0</v>
      </c>
      <c r="AH106" t="str">
        <f>IF('TRACKER - 20220622'!AK110&lt;&gt;"",UPPER('TRACKER - 20220622'!AK110),"")</f>
        <v>2</v>
      </c>
      <c r="AI106" t="str">
        <f>IF('TRACKER - 20220622'!AL110&lt;&gt;"",UPPER('TRACKER - 20220622'!AL110),"")</f>
        <v>0</v>
      </c>
      <c r="AJ106" t="str">
        <f>IF('TRACKER - 20220622'!AM110&lt;&gt;"",UPPER('TRACKER - 20220622'!AM110),"")</f>
        <v>0</v>
      </c>
      <c r="AK106" t="str">
        <f>IF('TRACKER - 20220622'!AN110&lt;&gt;"",UPPER('TRACKER - 20220622'!AN110),"")</f>
        <v/>
      </c>
      <c r="AL106" t="str">
        <f>IF('TRACKER - 20220622'!AO110&lt;&gt;"",UPPER('TRACKER - 20220622'!AO110),"")</f>
        <v>2</v>
      </c>
      <c r="AM106" t="str">
        <f>IF('TRACKER - 20220622'!AP110&lt;&gt;"",UPPER('TRACKER - 20220622'!AP110),"")</f>
        <v>4</v>
      </c>
      <c r="AN106" t="str">
        <f>IF('TRACKER - 20220622'!AQ110&lt;&gt;"",UPPER('TRACKER - 20220622'!AQ110),"")</f>
        <v>0</v>
      </c>
      <c r="AO106" t="str">
        <f>IF('TRACKER - 20220622'!AR110&lt;&gt;"",UPPER('TRACKER - 20220622'!AR110),"")</f>
        <v>PRD</v>
      </c>
      <c r="AP106" t="str">
        <f>IF('TRACKER - 20220622'!AS110&lt;&gt;"",UPPER('TRACKER - 20220622'!AS110),"")</f>
        <v>REQ</v>
      </c>
      <c r="AQ106" t="str">
        <f>IF('TRACKER - 20220622'!AT110&lt;&gt;"",UPPER('TRACKER - 20220622'!AT110),"")</f>
        <v>N</v>
      </c>
      <c r="AR106" t="str">
        <f>IF('TRACKER - 20220622'!AU110&lt;&gt;"",UPPER('TRACKER - 20220622'!AU110),"")</f>
        <v>-150</v>
      </c>
      <c r="AS106" t="str">
        <f>IF('TRACKER - 20220622'!AV110&lt;&gt;"",UPPER('TRACKER - 20220622'!AV110),"")</f>
        <v/>
      </c>
      <c r="AT106" t="str">
        <f>IF('TRACKER - 20220622'!AW110&lt;&gt;"",UPPER('TRACKER - 20220622'!AW110),"")</f>
        <v/>
      </c>
      <c r="AU106" t="str">
        <f>IF('TRACKER - 20220622'!AX110&lt;&gt;"",UPPER('TRACKER - 20220622'!AX110),"")</f>
        <v>REASON110</v>
      </c>
      <c r="AV106" t="str">
        <f>IF('TRACKER - 20220622'!BD123&lt;&gt;"",'TRACKER - 20220622'!BD123,"")</f>
        <v/>
      </c>
      <c r="AW106" t="str">
        <f>IF('TRACKER - 20220622'!BE123&lt;&gt;"",'TRACKER - 20220622'!BE123,"")</f>
        <v/>
      </c>
      <c r="AX106" t="str">
        <f>IF('TRACKER - 20220622'!BF123&lt;&gt;"",'TRACKER - 20220622'!BF123,"")</f>
        <v/>
      </c>
      <c r="AY106" t="str">
        <f>IF('TRACKER - 20220622'!BG123&lt;&gt;"",'TRACKER - 20220622'!BG123,"")</f>
        <v/>
      </c>
      <c r="AZ106" t="str">
        <f>IF('TRACKER - 20220622'!BH123&lt;&gt;"",'TRACKER - 20220622'!BH123,"")</f>
        <v/>
      </c>
      <c r="BA106" t="str">
        <f>IF('TRACKER - 20220622'!BI123&lt;&gt;"",'TRACKER - 20220622'!BI123,"")</f>
        <v/>
      </c>
      <c r="BB106" t="str">
        <f>IF('TRACKER - 20220622'!BJ123&lt;&gt;"",'TRACKER - 20220622'!BJ123,"")</f>
        <v/>
      </c>
      <c r="BC106" t="str">
        <f>IF('TRACKER - 20220622'!BK123&lt;&gt;"",'TRACKER - 20220622'!BK123,"")</f>
        <v/>
      </c>
      <c r="BD106" t="str">
        <f>IF('TRACKER - 20220622'!BL123&lt;&gt;"",'TRACKER - 20220622'!BL123,"")</f>
        <v/>
      </c>
      <c r="BE106" t="str">
        <f>IF('TRACKER - 20220622'!BM123&lt;&gt;"",'TRACKER - 20220622'!BM123,"")</f>
        <v/>
      </c>
      <c r="BF106" t="str">
        <f>IF('TRACKER - 20220622'!BN123&lt;&gt;"",'TRACKER - 20220622'!BN123,"")</f>
        <v/>
      </c>
      <c r="BG106" t="str">
        <f>IF('TRACKER - 20220622'!BO123&lt;&gt;"",'TRACKER - 20220622'!BO123,"")</f>
        <v/>
      </c>
    </row>
    <row r="107" spans="1:59">
      <c r="A107" t="str">
        <f>IF('TRACKER - 20220622'!A124&lt;&gt;"",UPPER('TRACKER - 20220622'!A124),"")</f>
        <v>PRODUCT BACKLOG</v>
      </c>
      <c r="B107" t="str">
        <f>IF('TRACKER - 20220622'!B124&lt;&gt;"",UPPER('TRACKER - 20220622'!B124),"")</f>
        <v>N</v>
      </c>
      <c r="C107" t="str">
        <f>IF('TRACKER - 20220622'!D111&lt;&gt;"",UPPER('TRACKER - 20220622'!D111),"")</f>
        <v>1</v>
      </c>
      <c r="D107" t="str">
        <f>IF('TRACKER - 20220622'!F124&lt;&gt;"",UPPER('TRACKER - 20220622'!F124),"")</f>
        <v>PRD-BLG-2021-00005</v>
      </c>
      <c r="E107" t="str">
        <f>IF('TRACKER - 20220622'!H124&lt;&gt;"",'TRACKER - 20220622'!H124,"")</f>
        <v>Fair Value Reval into GL - C&amp;C</v>
      </c>
      <c r="F107" t="str">
        <f t="shared" si="2"/>
        <v>PRD-BLG-2021-00005 Fair Value Reval into GL - C&amp;C</v>
      </c>
      <c r="G107" t="str">
        <f t="shared" si="3"/>
        <v>400001 - Fair Value Reval into GL - C&amp;C</v>
      </c>
      <c r="H107">
        <f>IF('TRACKER - 20220622'!J124&lt;&gt;"",'TRACKER - 20220622'!J124,"")</f>
        <v>0</v>
      </c>
      <c r="I107" t="str">
        <f>IF('TRACKER - 20220622'!K111&lt;&gt;"",UPPER('TRACKER - 20220622'!K111),"")</f>
        <v>44201</v>
      </c>
      <c r="J107" t="str">
        <f>IF('TRACKER - 20220622'!L111&lt;&gt;"",UPPER('TRACKER - 20220622'!L111),"")</f>
        <v>44201</v>
      </c>
      <c r="K107" t="str">
        <f>IF('TRACKER - 20220622'!M111&lt;&gt;"",UPPER('TRACKER - 20220622'!M111),"")</f>
        <v/>
      </c>
      <c r="L107" t="str">
        <f>IF('TRACKER - 20220622'!N111&lt;&gt;"",UPPER('TRACKER - 20220622'!N111),"")</f>
        <v/>
      </c>
      <c r="M107" t="str">
        <f>IF('TRACKER - 20220622'!O111&lt;&gt;"",UPPER('TRACKER - 20220622'!O111),"")</f>
        <v/>
      </c>
      <c r="N107" t="str">
        <f>IF('TRACKER - 20220622'!P111&lt;&gt;"",UPPER('TRACKER - 20220622'!P111),"")</f>
        <v/>
      </c>
      <c r="O107" t="str">
        <f>IF('TRACKER - 20220622'!Q111&lt;&gt;"",UPPER('TRACKER - 20220622'!Q111),"")</f>
        <v>PLATFORM</v>
      </c>
      <c r="P107" t="str">
        <f>IF('TRACKER - 20220622'!R111&lt;&gt;"",UPPER('TRACKER - 20220622'!R111),"")</f>
        <v>MARKET</v>
      </c>
      <c r="Q107" t="str">
        <f>IF('TRACKER - 20220622'!S111&lt;&gt;"",UPPER('TRACKER - 20220622'!S111),"")</f>
        <v/>
      </c>
      <c r="R107" t="str">
        <f>IF('TRACKER - 20220622'!T111&lt;&gt;"",UPPER('TRACKER - 20220622'!T111),"")</f>
        <v/>
      </c>
      <c r="S107" t="str">
        <f>IF('TRACKER - 20220622'!U111&lt;&gt;"",UPPER('TRACKER - 20220622'!U111),"")</f>
        <v/>
      </c>
      <c r="T107" t="str">
        <f>IF('TRACKER - 20220622'!V111&lt;&gt;"",UPPER('TRACKER - 20220622'!V111),"")</f>
        <v/>
      </c>
      <c r="U107" t="str">
        <f>IF('TRACKER - 20220622'!W111&lt;&gt;"",UPPER('TRACKER - 20220622'!W111),"")</f>
        <v/>
      </c>
      <c r="V107" t="str">
        <f>IF('TRACKER - 20220622'!X111&lt;&gt;"",UPPER('TRACKER - 20220622'!X111),"")</f>
        <v xml:space="preserve">08/01/21 - ESTIMATED FOR MONEY BOX. ONLY 1 ACTIVE FORECAST. DESIGN TO IMPORT CASHFLOWS TO DUMMY ACCOUNT DEAL-TYPE. </v>
      </c>
      <c r="W107" t="str">
        <f>IF('TRACKER - 20220622'!Y111&lt;&gt;"",UPPER('TRACKER - 20220622'!Y111),"")</f>
        <v>-45000</v>
      </c>
      <c r="X107" t="str">
        <f>IF('TRACKER - 20220622'!Z111&lt;&gt;"",UPPER('TRACKER - 20220622'!Z111),"")</f>
        <v>-5625</v>
      </c>
      <c r="Y107" t="str">
        <f>IF('TRACKER - 20220622'!AA111&lt;&gt;"",UPPER('TRACKER - 20220622'!AA111),"")</f>
        <v>-21375</v>
      </c>
      <c r="Z107" t="str">
        <f>IF('TRACKER - 20220622'!AB111&lt;&gt;"",UPPER('TRACKER - 20220622'!AB111),"")</f>
        <v>-7875</v>
      </c>
      <c r="AA107" t="str">
        <f>IF('TRACKER - 20220622'!AC111&lt;&gt;"",UPPER('TRACKER - 20220622'!AC111),"")</f>
        <v>-4500</v>
      </c>
      <c r="AB107" t="str">
        <f>IF('TRACKER - 20220622'!AE111&lt;&gt;"",UPPER('TRACKER - 20220622'!AE111),"")</f>
        <v>-5625</v>
      </c>
      <c r="AC107" t="str">
        <f>IF('TRACKER - 20220622'!AF111&lt;&gt;"",UPPER('TRACKER - 20220622'!AF111),"")</f>
        <v>-45000</v>
      </c>
      <c r="AD107" t="str">
        <f>IF('TRACKER - 20220622'!AG111&lt;&gt;"",UPPER('TRACKER - 20220622'!AG111),"")</f>
        <v>0</v>
      </c>
      <c r="AE107" t="str">
        <f>IF('TRACKER - 20220622'!AH111&lt;&gt;"",UPPER('TRACKER - 20220622'!AH111),"")</f>
        <v>-150</v>
      </c>
      <c r="AF107" t="str">
        <f>IF('TRACKER - 20220622'!AI111&lt;&gt;"",UPPER('TRACKER - 20220622'!AI111),"")</f>
        <v/>
      </c>
      <c r="AG107" t="str">
        <f>IF('TRACKER - 20220622'!AJ111&lt;&gt;"",UPPER('TRACKER - 20220622'!AJ111),"")</f>
        <v>0</v>
      </c>
      <c r="AH107" t="str">
        <f>IF('TRACKER - 20220622'!AK111&lt;&gt;"",UPPER('TRACKER - 20220622'!AK111),"")</f>
        <v>5</v>
      </c>
      <c r="AI107" t="str">
        <f>IF('TRACKER - 20220622'!AL111&lt;&gt;"",UPPER('TRACKER - 20220622'!AL111),"")</f>
        <v>19</v>
      </c>
      <c r="AJ107" t="str">
        <f>IF('TRACKER - 20220622'!AM111&lt;&gt;"",UPPER('TRACKER - 20220622'!AM111),"")</f>
        <v>7</v>
      </c>
      <c r="AK107" t="str">
        <f>IF('TRACKER - 20220622'!AN111&lt;&gt;"",UPPER('TRACKER - 20220622'!AN111),"")</f>
        <v>4</v>
      </c>
      <c r="AL107" t="str">
        <f>IF('TRACKER - 20220622'!AO111&lt;&gt;"",UPPER('TRACKER - 20220622'!AO111),"")</f>
        <v>5</v>
      </c>
      <c r="AM107" t="str">
        <f>IF('TRACKER - 20220622'!AP111&lt;&gt;"",UPPER('TRACKER - 20220622'!AP111),"")</f>
        <v>40</v>
      </c>
      <c r="AN107" t="str">
        <f>IF('TRACKER - 20220622'!AQ111&lt;&gt;"",UPPER('TRACKER - 20220622'!AQ111),"")</f>
        <v>0</v>
      </c>
      <c r="AO107" t="str">
        <f>IF('TRACKER - 20220622'!AR111&lt;&gt;"",UPPER('TRACKER - 20220622'!AR111),"")</f>
        <v>PRD</v>
      </c>
      <c r="AP107" t="str">
        <f>IF('TRACKER - 20220622'!AS111&lt;&gt;"",UPPER('TRACKER - 20220622'!AS111),"")</f>
        <v>REQ</v>
      </c>
      <c r="AQ107" t="str">
        <f>IF('TRACKER - 20220622'!AT111&lt;&gt;"",UPPER('TRACKER - 20220622'!AT111),"")</f>
        <v>N</v>
      </c>
      <c r="AR107" t="str">
        <f>IF('TRACKER - 20220622'!AU111&lt;&gt;"",UPPER('TRACKER - 20220622'!AU111),"")</f>
        <v>-150</v>
      </c>
      <c r="AS107" t="str">
        <f>IF('TRACKER - 20220622'!AV111&lt;&gt;"",UPPER('TRACKER - 20220622'!AV111),"")</f>
        <v/>
      </c>
      <c r="AT107" t="str">
        <f>IF('TRACKER - 20220622'!AW111&lt;&gt;"",UPPER('TRACKER - 20220622'!AW111),"")</f>
        <v/>
      </c>
      <c r="AU107" t="str">
        <f>IF('TRACKER - 20220622'!AX111&lt;&gt;"",UPPER('TRACKER - 20220622'!AX111),"")</f>
        <v>REASON111</v>
      </c>
      <c r="AV107" t="str">
        <f>IF('TRACKER - 20220622'!BD124&lt;&gt;"",'TRACKER - 20220622'!BD124,"")</f>
        <v/>
      </c>
      <c r="AW107" t="str">
        <f>IF('TRACKER - 20220622'!BE124&lt;&gt;"",'TRACKER - 20220622'!BE124,"")</f>
        <v/>
      </c>
      <c r="AX107" t="str">
        <f>IF('TRACKER - 20220622'!BF124&lt;&gt;"",'TRACKER - 20220622'!BF124,"")</f>
        <v/>
      </c>
      <c r="AY107" t="str">
        <f>IF('TRACKER - 20220622'!BG124&lt;&gt;"",'TRACKER - 20220622'!BG124,"")</f>
        <v/>
      </c>
      <c r="AZ107" t="str">
        <f>IF('TRACKER - 20220622'!BH124&lt;&gt;"",'TRACKER - 20220622'!BH124,"")</f>
        <v/>
      </c>
      <c r="BA107" t="str">
        <f>IF('TRACKER - 20220622'!BI124&lt;&gt;"",'TRACKER - 20220622'!BI124,"")</f>
        <v/>
      </c>
      <c r="BB107" t="str">
        <f>IF('TRACKER - 20220622'!BJ124&lt;&gt;"",'TRACKER - 20220622'!BJ124,"")</f>
        <v/>
      </c>
      <c r="BC107" t="str">
        <f>IF('TRACKER - 20220622'!BK124&lt;&gt;"",'TRACKER - 20220622'!BK124,"")</f>
        <v/>
      </c>
      <c r="BD107" t="str">
        <f>IF('TRACKER - 20220622'!BL124&lt;&gt;"",'TRACKER - 20220622'!BL124,"")</f>
        <v/>
      </c>
      <c r="BE107" t="str">
        <f>IF('TRACKER - 20220622'!BM124&lt;&gt;"",'TRACKER - 20220622'!BM124,"")</f>
        <v/>
      </c>
      <c r="BF107" t="str">
        <f>IF('TRACKER - 20220622'!BN124&lt;&gt;"",'TRACKER - 20220622'!BN124,"")</f>
        <v/>
      </c>
      <c r="BG107" t="str">
        <f>IF('TRACKER - 20220622'!BO124&lt;&gt;"",'TRACKER - 20220622'!BO124,"")</f>
        <v/>
      </c>
    </row>
    <row r="108" spans="1:59">
      <c r="A108" t="str">
        <f>IF('TRACKER - 20220622'!A125&lt;&gt;"",UPPER('TRACKER - 20220622'!A125),"")</f>
        <v>PRODUCT BACKLOG</v>
      </c>
      <c r="B108" t="str">
        <f>IF('TRACKER - 20220622'!B125&lt;&gt;"",UPPER('TRACKER - 20220622'!B125),"")</f>
        <v>N</v>
      </c>
      <c r="C108" t="str">
        <f>IF('TRACKER - 20220622'!D112&lt;&gt;"",UPPER('TRACKER - 20220622'!D112),"")</f>
        <v>3</v>
      </c>
      <c r="D108" t="str">
        <f>IF('TRACKER - 20220622'!F125&lt;&gt;"",UPPER('TRACKER - 20220622'!F125),"")</f>
        <v>PRD-BLG-2021-00006</v>
      </c>
      <c r="E108" t="str">
        <f>IF('TRACKER - 20220622'!H125&lt;&gt;"",'TRACKER - 20220622'!H125,"")</f>
        <v>Hedge Accounting - C&amp;C</v>
      </c>
      <c r="F108" t="str">
        <f t="shared" si="2"/>
        <v>PRD-BLG-2021-00006 Hedge Accounting - C&amp;C</v>
      </c>
      <c r="G108" t="str">
        <f t="shared" si="3"/>
        <v>00003 - Hedge Accounting - C&amp;C</v>
      </c>
      <c r="H108">
        <f>IF('TRACKER - 20220622'!J125&lt;&gt;"",'TRACKER - 20220622'!J125,"")</f>
        <v>0</v>
      </c>
      <c r="I108" t="str">
        <f>IF('TRACKER - 20220622'!K112&lt;&gt;"",UPPER('TRACKER - 20220622'!K112),"")</f>
        <v>44216</v>
      </c>
      <c r="J108" t="str">
        <f>IF('TRACKER - 20220622'!L112&lt;&gt;"",UPPER('TRACKER - 20220622'!L112),"")</f>
        <v>44216</v>
      </c>
      <c r="K108" t="str">
        <f>IF('TRACKER - 20220622'!M112&lt;&gt;"",UPPER('TRACKER - 20220622'!M112),"")</f>
        <v/>
      </c>
      <c r="L108" t="str">
        <f>IF('TRACKER - 20220622'!N112&lt;&gt;"",UPPER('TRACKER - 20220622'!N112),"")</f>
        <v/>
      </c>
      <c r="M108" t="str">
        <f>IF('TRACKER - 20220622'!O112&lt;&gt;"",UPPER('TRACKER - 20220622'!O112),"")</f>
        <v/>
      </c>
      <c r="N108" t="str">
        <f>IF('TRACKER - 20220622'!P112&lt;&gt;"",UPPER('TRACKER - 20220622'!P112),"")</f>
        <v/>
      </c>
      <c r="O108" t="str">
        <f>IF('TRACKER - 20220622'!Q112&lt;&gt;"",UPPER('TRACKER - 20220622'!Q112),"")</f>
        <v>PLATFORM</v>
      </c>
      <c r="P108" t="str">
        <f>IF('TRACKER - 20220622'!R112&lt;&gt;"",UPPER('TRACKER - 20220622'!R112),"")</f>
        <v>MARKET</v>
      </c>
      <c r="Q108" t="str">
        <f>IF('TRACKER - 20220622'!S112&lt;&gt;"",UPPER('TRACKER - 20220622'!S112),"")</f>
        <v>NEW</v>
      </c>
      <c r="R108" t="str">
        <f>IF('TRACKER - 20220622'!T112&lt;&gt;"",UPPER('TRACKER - 20220622'!T112),"")</f>
        <v>HIGH</v>
      </c>
      <c r="S108" t="str">
        <f>IF('TRACKER - 20220622'!U112&lt;&gt;"",UPPER('TRACKER - 20220622'!U112),"")</f>
        <v>LOW</v>
      </c>
      <c r="T108" t="str">
        <f>IF('TRACKER - 20220622'!V112&lt;&gt;"",UPPER('TRACKER - 20220622'!V112),"")</f>
        <v>44357</v>
      </c>
      <c r="U108" t="str">
        <f>IF('TRACKER - 20220622'!W112&lt;&gt;"",UPPER('TRACKER - 20220622'!W112),"")</f>
        <v xml:space="preserve">ON HOLD FOR NOW. KNOW THERE IS REQUIREMENT. </v>
      </c>
      <c r="V108" t="str">
        <f>IF('TRACKER - 20220622'!X112&lt;&gt;"",UPPER('TRACKER - 20220622'!X112),"")</f>
        <v xml:space="preserve">20/01/21 - JL REQUESTED REVIEW OF USE OF POWER BI AS COSTS FOR CUSTOMERS WITH LARGE DATASETS COULD BE PROHIBATIVE. MT TO REVIEW ALTERNATIVE OF PANINTEL + OPENSOURCE SUCH AS APACHE SUPERSET. </v>
      </c>
      <c r="W108" t="str">
        <f>IF('TRACKER - 20220622'!Y112&lt;&gt;"",UPPER('TRACKER - 20220622'!Y112),"")</f>
        <v>0</v>
      </c>
      <c r="X108" t="str">
        <f>IF('TRACKER - 20220622'!Z112&lt;&gt;"",UPPER('TRACKER - 20220622'!Z112),"")</f>
        <v>0</v>
      </c>
      <c r="Y108" t="str">
        <f>IF('TRACKER - 20220622'!AA112&lt;&gt;"",UPPER('TRACKER - 20220622'!AA112),"")</f>
        <v>0</v>
      </c>
      <c r="Z108" t="str">
        <f>IF('TRACKER - 20220622'!AB112&lt;&gt;"",UPPER('TRACKER - 20220622'!AB112),"")</f>
        <v>0</v>
      </c>
      <c r="AA108" t="str">
        <f>IF('TRACKER - 20220622'!AC112&lt;&gt;"",UPPER('TRACKER - 20220622'!AC112),"")</f>
        <v>0</v>
      </c>
      <c r="AB108" t="str">
        <f>IF('TRACKER - 20220622'!AE112&lt;&gt;"",UPPER('TRACKER - 20220622'!AE112),"")</f>
        <v>0</v>
      </c>
      <c r="AC108" t="str">
        <f>IF('TRACKER - 20220622'!AF112&lt;&gt;"",UPPER('TRACKER - 20220622'!AF112),"")</f>
        <v>0</v>
      </c>
      <c r="AD108" t="str">
        <f>IF('TRACKER - 20220622'!AG112&lt;&gt;"",UPPER('TRACKER - 20220622'!AG112),"")</f>
        <v>0</v>
      </c>
      <c r="AE108" t="str">
        <f>IF('TRACKER - 20220622'!AH112&lt;&gt;"",UPPER('TRACKER - 20220622'!AH112),"")</f>
        <v>-150</v>
      </c>
      <c r="AF108" t="str">
        <f>IF('TRACKER - 20220622'!AI112&lt;&gt;"",UPPER('TRACKER - 20220622'!AI112),"")</f>
        <v/>
      </c>
      <c r="AG108" t="str">
        <f>IF('TRACKER - 20220622'!AJ112&lt;&gt;"",UPPER('TRACKER - 20220622'!AJ112),"")</f>
        <v>0</v>
      </c>
      <c r="AH108" t="str">
        <f>IF('TRACKER - 20220622'!AK112&lt;&gt;"",UPPER('TRACKER - 20220622'!AK112),"")</f>
        <v/>
      </c>
      <c r="AI108" t="str">
        <f>IF('TRACKER - 20220622'!AL112&lt;&gt;"",UPPER('TRACKER - 20220622'!AL112),"")</f>
        <v>0</v>
      </c>
      <c r="AJ108" t="str">
        <f>IF('TRACKER - 20220622'!AM112&lt;&gt;"",UPPER('TRACKER - 20220622'!AM112),"")</f>
        <v>0</v>
      </c>
      <c r="AK108" t="str">
        <f>IF('TRACKER - 20220622'!AN112&lt;&gt;"",UPPER('TRACKER - 20220622'!AN112),"")</f>
        <v/>
      </c>
      <c r="AL108" t="str">
        <f>IF('TRACKER - 20220622'!AO112&lt;&gt;"",UPPER('TRACKER - 20220622'!AO112),"")</f>
        <v>0</v>
      </c>
      <c r="AM108" t="str">
        <f>IF('TRACKER - 20220622'!AP112&lt;&gt;"",UPPER('TRACKER - 20220622'!AP112),"")</f>
        <v>0</v>
      </c>
      <c r="AN108" t="str">
        <f>IF('TRACKER - 20220622'!AQ112&lt;&gt;"",UPPER('TRACKER - 20220622'!AQ112),"")</f>
        <v>0</v>
      </c>
      <c r="AO108" t="str">
        <f>IF('TRACKER - 20220622'!AR112&lt;&gt;"",UPPER('TRACKER - 20220622'!AR112),"")</f>
        <v>PRD</v>
      </c>
      <c r="AP108" t="str">
        <f>IF('TRACKER - 20220622'!AS112&lt;&gt;"",UPPER('TRACKER - 20220622'!AS112),"")</f>
        <v>REQ</v>
      </c>
      <c r="AQ108" t="str">
        <f>IF('TRACKER - 20220622'!AT112&lt;&gt;"",UPPER('TRACKER - 20220622'!AT112),"")</f>
        <v>N</v>
      </c>
      <c r="AR108" t="str">
        <f>IF('TRACKER - 20220622'!AU112&lt;&gt;"",UPPER('TRACKER - 20220622'!AU112),"")</f>
        <v>-150</v>
      </c>
      <c r="AS108" t="str">
        <f>IF('TRACKER - 20220622'!AV112&lt;&gt;"",UPPER('TRACKER - 20220622'!AV112),"")</f>
        <v/>
      </c>
      <c r="AT108" t="str">
        <f>IF('TRACKER - 20220622'!AW112&lt;&gt;"",UPPER('TRACKER - 20220622'!AW112),"")</f>
        <v/>
      </c>
      <c r="AU108" t="str">
        <f>IF('TRACKER - 20220622'!AX112&lt;&gt;"",UPPER('TRACKER - 20220622'!AX112),"")</f>
        <v>REASON112</v>
      </c>
      <c r="AV108" t="str">
        <f>IF('TRACKER - 20220622'!BD125&lt;&gt;"",'TRACKER - 20220622'!BD125,"")</f>
        <v/>
      </c>
      <c r="AW108" t="str">
        <f>IF('TRACKER - 20220622'!BE125&lt;&gt;"",'TRACKER - 20220622'!BE125,"")</f>
        <v/>
      </c>
      <c r="AX108" t="str">
        <f>IF('TRACKER - 20220622'!BF125&lt;&gt;"",'TRACKER - 20220622'!BF125,"")</f>
        <v/>
      </c>
      <c r="AY108" t="str">
        <f>IF('TRACKER - 20220622'!BG125&lt;&gt;"",'TRACKER - 20220622'!BG125,"")</f>
        <v/>
      </c>
      <c r="AZ108" t="str">
        <f>IF('TRACKER - 20220622'!BH125&lt;&gt;"",'TRACKER - 20220622'!BH125,"")</f>
        <v/>
      </c>
      <c r="BA108" t="str">
        <f>IF('TRACKER - 20220622'!BI125&lt;&gt;"",'TRACKER - 20220622'!BI125,"")</f>
        <v/>
      </c>
      <c r="BB108" t="str">
        <f>IF('TRACKER - 20220622'!BJ125&lt;&gt;"",'TRACKER - 20220622'!BJ125,"")</f>
        <v/>
      </c>
      <c r="BC108" t="str">
        <f>IF('TRACKER - 20220622'!BK125&lt;&gt;"",'TRACKER - 20220622'!BK125,"")</f>
        <v/>
      </c>
      <c r="BD108" t="str">
        <f>IF('TRACKER - 20220622'!BL125&lt;&gt;"",'TRACKER - 20220622'!BL125,"")</f>
        <v/>
      </c>
      <c r="BE108" t="str">
        <f>IF('TRACKER - 20220622'!BM125&lt;&gt;"",'TRACKER - 20220622'!BM125,"")</f>
        <v/>
      </c>
      <c r="BF108" t="str">
        <f>IF('TRACKER - 20220622'!BN125&lt;&gt;"",'TRACKER - 20220622'!BN125,"")</f>
        <v/>
      </c>
      <c r="BG108" t="str">
        <f>IF('TRACKER - 20220622'!BO125&lt;&gt;"",'TRACKER - 20220622'!BO125,"")</f>
        <v/>
      </c>
    </row>
    <row r="109" spans="1:59">
      <c r="A109" t="str">
        <f>IF('TRACKER - 20220622'!A126&lt;&gt;"",UPPER('TRACKER - 20220622'!A126),"")</f>
        <v>PRODUCT BACKLOG</v>
      </c>
      <c r="B109" t="str">
        <f>IF('TRACKER - 20220622'!B126&lt;&gt;"",UPPER('TRACKER - 20220622'!B126),"")</f>
        <v>N</v>
      </c>
      <c r="C109" t="str">
        <f>IF('TRACKER - 20220622'!D113&lt;&gt;"",UPPER('TRACKER - 20220622'!D113),"")</f>
        <v>5</v>
      </c>
      <c r="D109" t="str">
        <f>IF('TRACKER - 20220622'!F126&lt;&gt;"",UPPER('TRACKER - 20220622'!F126),"")</f>
        <v>PRD-BLG-2020-00002</v>
      </c>
      <c r="E109" t="str">
        <f>IF('TRACKER - 20220622'!H126&lt;&gt;"",'TRACKER - 20220622'!H126,"")</f>
        <v>AM - SFTR Reporting</v>
      </c>
      <c r="F109" t="str">
        <f t="shared" si="2"/>
        <v>PRD-BLG-2020-00002 AM - SFTR Reporting</v>
      </c>
      <c r="G109" t="str">
        <f t="shared" si="3"/>
        <v>00005 - AM - SFTR Reporting</v>
      </c>
      <c r="H109">
        <f>IF('TRACKER - 20220622'!J126&lt;&gt;"",'TRACKER - 20220622'!J126,"")</f>
        <v>0</v>
      </c>
      <c r="I109" t="str">
        <f>IF('TRACKER - 20220622'!K113&lt;&gt;"",UPPER('TRACKER - 20220622'!K113),"")</f>
        <v>43952</v>
      </c>
      <c r="J109" t="str">
        <f>IF('TRACKER - 20220622'!L113&lt;&gt;"",UPPER('TRACKER - 20220622'!L113),"")</f>
        <v>43952</v>
      </c>
      <c r="K109" t="str">
        <f>IF('TRACKER - 20220622'!M113&lt;&gt;"",UPPER('TRACKER - 20220622'!M113),"")</f>
        <v/>
      </c>
      <c r="L109" t="str">
        <f>IF('TRACKER - 20220622'!N113&lt;&gt;"",UPPER('TRACKER - 20220622'!N113),"")</f>
        <v/>
      </c>
      <c r="M109" t="str">
        <f>IF('TRACKER - 20220622'!O113&lt;&gt;"",UPPER('TRACKER - 20220622'!O113),"")</f>
        <v/>
      </c>
      <c r="N109" t="str">
        <f>IF('TRACKER - 20220622'!P113&lt;&gt;"",UPPER('TRACKER - 20220622'!P113),"")</f>
        <v/>
      </c>
      <c r="O109" t="str">
        <f>IF('TRACKER - 20220622'!Q113&lt;&gt;"",UPPER('TRACKER - 20220622'!Q113),"")</f>
        <v>PLATFORM</v>
      </c>
      <c r="P109" t="str">
        <f>IF('TRACKER - 20220622'!R113&lt;&gt;"",UPPER('TRACKER - 20220622'!R113),"")</f>
        <v>MARKET</v>
      </c>
      <c r="Q109" t="str">
        <f>IF('TRACKER - 20220622'!S113&lt;&gt;"",UPPER('TRACKER - 20220622'!S113),"")</f>
        <v/>
      </c>
      <c r="R109" t="str">
        <f>IF('TRACKER - 20220622'!T113&lt;&gt;"",UPPER('TRACKER - 20220622'!T113),"")</f>
        <v/>
      </c>
      <c r="S109" t="str">
        <f>IF('TRACKER - 20220622'!U113&lt;&gt;"",UPPER('TRACKER - 20220622'!U113),"")</f>
        <v/>
      </c>
      <c r="T109" t="str">
        <f>IF('TRACKER - 20220622'!V113&lt;&gt;"",UPPER('TRACKER - 20220622'!V113),"")</f>
        <v/>
      </c>
      <c r="U109" t="str">
        <f>IF('TRACKER - 20220622'!W113&lt;&gt;"",UPPER('TRACKER - 20220622'!W113),"")</f>
        <v/>
      </c>
      <c r="V109" t="str">
        <f>IF('TRACKER - 20220622'!X113&lt;&gt;"",UPPER('TRACKER - 20220622'!X113),"")</f>
        <v>15/09/20 - SELECTED TO PRODUCT ROADMAP INVESTIGATION
19/11/20 - REQUESTED ESTIMATION FROM OPS.
12/01/21 - NEW REQUEST SENT TO OPS</v>
      </c>
      <c r="W109" t="str">
        <f>IF('TRACKER - 20220622'!Y113&lt;&gt;"",UPPER('TRACKER - 20220622'!Y113),"")</f>
        <v>0</v>
      </c>
      <c r="X109" t="str">
        <f>IF('TRACKER - 20220622'!Z113&lt;&gt;"",UPPER('TRACKER - 20220622'!Z113),"")</f>
        <v>0</v>
      </c>
      <c r="Y109" t="str">
        <f>IF('TRACKER - 20220622'!AA113&lt;&gt;"",UPPER('TRACKER - 20220622'!AA113),"")</f>
        <v>0</v>
      </c>
      <c r="Z109" t="str">
        <f>IF('TRACKER - 20220622'!AB113&lt;&gt;"",UPPER('TRACKER - 20220622'!AB113),"")</f>
        <v>0</v>
      </c>
      <c r="AA109" t="str">
        <f>IF('TRACKER - 20220622'!AC113&lt;&gt;"",UPPER('TRACKER - 20220622'!AC113),"")</f>
        <v>0</v>
      </c>
      <c r="AB109" t="str">
        <f>IF('TRACKER - 20220622'!AE113&lt;&gt;"",UPPER('TRACKER - 20220622'!AE113),"")</f>
        <v>0</v>
      </c>
      <c r="AC109" t="str">
        <f>IF('TRACKER - 20220622'!AF113&lt;&gt;"",UPPER('TRACKER - 20220622'!AF113),"")</f>
        <v>0</v>
      </c>
      <c r="AD109" t="str">
        <f>IF('TRACKER - 20220622'!AG113&lt;&gt;"",UPPER('TRACKER - 20220622'!AG113),"")</f>
        <v>0</v>
      </c>
      <c r="AE109" t="str">
        <f>IF('TRACKER - 20220622'!AH113&lt;&gt;"",UPPER('TRACKER - 20220622'!AH113),"")</f>
        <v>-150</v>
      </c>
      <c r="AF109" t="str">
        <f>IF('TRACKER - 20220622'!AI113&lt;&gt;"",UPPER('TRACKER - 20220622'!AI113),"")</f>
        <v/>
      </c>
      <c r="AG109" t="str">
        <f>IF('TRACKER - 20220622'!AJ113&lt;&gt;"",UPPER('TRACKER - 20220622'!AJ113),"")</f>
        <v>0</v>
      </c>
      <c r="AH109" t="str">
        <f>IF('TRACKER - 20220622'!AK113&lt;&gt;"",UPPER('TRACKER - 20220622'!AK113),"")</f>
        <v/>
      </c>
      <c r="AI109" t="str">
        <f>IF('TRACKER - 20220622'!AL113&lt;&gt;"",UPPER('TRACKER - 20220622'!AL113),"")</f>
        <v>0</v>
      </c>
      <c r="AJ109" t="str">
        <f>IF('TRACKER - 20220622'!AM113&lt;&gt;"",UPPER('TRACKER - 20220622'!AM113),"")</f>
        <v>0</v>
      </c>
      <c r="AK109" t="str">
        <f>IF('TRACKER - 20220622'!AN113&lt;&gt;"",UPPER('TRACKER - 20220622'!AN113),"")</f>
        <v/>
      </c>
      <c r="AL109" t="str">
        <f>IF('TRACKER - 20220622'!AO113&lt;&gt;"",UPPER('TRACKER - 20220622'!AO113),"")</f>
        <v>0</v>
      </c>
      <c r="AM109" t="str">
        <f>IF('TRACKER - 20220622'!AP113&lt;&gt;"",UPPER('TRACKER - 20220622'!AP113),"")</f>
        <v>0</v>
      </c>
      <c r="AN109" t="str">
        <f>IF('TRACKER - 20220622'!AQ113&lt;&gt;"",UPPER('TRACKER - 20220622'!AQ113),"")</f>
        <v>0</v>
      </c>
      <c r="AO109" t="str">
        <f>IF('TRACKER - 20220622'!AR113&lt;&gt;"",UPPER('TRACKER - 20220622'!AR113),"")</f>
        <v>PRD</v>
      </c>
      <c r="AP109" t="str">
        <f>IF('TRACKER - 20220622'!AS113&lt;&gt;"",UPPER('TRACKER - 20220622'!AS113),"")</f>
        <v>REQ</v>
      </c>
      <c r="AQ109" t="str">
        <f>IF('TRACKER - 20220622'!AT113&lt;&gt;"",UPPER('TRACKER - 20220622'!AT113),"")</f>
        <v>N</v>
      </c>
      <c r="AR109" t="str">
        <f>IF('TRACKER - 20220622'!AU113&lt;&gt;"",UPPER('TRACKER - 20220622'!AU113),"")</f>
        <v>-150</v>
      </c>
      <c r="AS109" t="str">
        <f>IF('TRACKER - 20220622'!AV113&lt;&gt;"",UPPER('TRACKER - 20220622'!AV113),"")</f>
        <v/>
      </c>
      <c r="AT109" t="str">
        <f>IF('TRACKER - 20220622'!AW113&lt;&gt;"",UPPER('TRACKER - 20220622'!AW113),"")</f>
        <v/>
      </c>
      <c r="AU109" t="str">
        <f>IF('TRACKER - 20220622'!AX113&lt;&gt;"",UPPER('TRACKER - 20220622'!AX113),"")</f>
        <v>REASON113</v>
      </c>
      <c r="AV109" t="str">
        <f>IF('TRACKER - 20220622'!BD126&lt;&gt;"",'TRACKER - 20220622'!BD126,"")</f>
        <v/>
      </c>
      <c r="AW109" t="str">
        <f>IF('TRACKER - 20220622'!BE126&lt;&gt;"",'TRACKER - 20220622'!BE126,"")</f>
        <v/>
      </c>
      <c r="AX109" t="str">
        <f>IF('TRACKER - 20220622'!BF126&lt;&gt;"",'TRACKER - 20220622'!BF126,"")</f>
        <v/>
      </c>
      <c r="AY109" t="str">
        <f>IF('TRACKER - 20220622'!BG126&lt;&gt;"",'TRACKER - 20220622'!BG126,"")</f>
        <v/>
      </c>
      <c r="AZ109" t="str">
        <f>IF('TRACKER - 20220622'!BH126&lt;&gt;"",'TRACKER - 20220622'!BH126,"")</f>
        <v/>
      </c>
      <c r="BA109" t="str">
        <f>IF('TRACKER - 20220622'!BI126&lt;&gt;"",'TRACKER - 20220622'!BI126,"")</f>
        <v/>
      </c>
      <c r="BB109" t="str">
        <f>IF('TRACKER - 20220622'!BJ126&lt;&gt;"",'TRACKER - 20220622'!BJ126,"")</f>
        <v/>
      </c>
      <c r="BC109" t="str">
        <f>IF('TRACKER - 20220622'!BK126&lt;&gt;"",'TRACKER - 20220622'!BK126,"")</f>
        <v/>
      </c>
      <c r="BD109" t="str">
        <f>IF('TRACKER - 20220622'!BL126&lt;&gt;"",'TRACKER - 20220622'!BL126,"")</f>
        <v/>
      </c>
      <c r="BE109" t="str">
        <f>IF('TRACKER - 20220622'!BM126&lt;&gt;"",'TRACKER - 20220622'!BM126,"")</f>
        <v/>
      </c>
      <c r="BF109" t="str">
        <f>IF('TRACKER - 20220622'!BN126&lt;&gt;"",'TRACKER - 20220622'!BN126,"")</f>
        <v/>
      </c>
      <c r="BG109" t="str">
        <f>IF('TRACKER - 20220622'!BO126&lt;&gt;"",'TRACKER - 20220622'!BO126,"")</f>
        <v/>
      </c>
    </row>
    <row r="110" spans="1:59">
      <c r="A110" t="str">
        <f>IF('TRACKER - 20220622'!A127&lt;&gt;"",UPPER('TRACKER - 20220622'!A127),"")</f>
        <v>PRODUCT BACKLOG</v>
      </c>
      <c r="B110" t="str">
        <f>IF('TRACKER - 20220622'!B127&lt;&gt;"",UPPER('TRACKER - 20220622'!B127),"")</f>
        <v>N</v>
      </c>
      <c r="C110" t="str">
        <f>IF('TRACKER - 20220622'!D114&lt;&gt;"",UPPER('TRACKER - 20220622'!D114),"")</f>
        <v>24</v>
      </c>
      <c r="D110" t="str">
        <f>IF('TRACKER - 20220622'!F127&lt;&gt;"",UPPER('TRACKER - 20220622'!F127),"")</f>
        <v>PRD-BLG-2020-00003</v>
      </c>
      <c r="E110" t="str">
        <f>IF('TRACKER - 20220622'!H127&lt;&gt;"",'TRACKER - 20220622'!H127,"")</f>
        <v>AM - SIMM Sensitivity Calculation</v>
      </c>
      <c r="F110" t="str">
        <f t="shared" si="2"/>
        <v>PRD-BLG-2020-00003 AM - SIMM Sensitivity Calculation</v>
      </c>
      <c r="G110" t="str">
        <f t="shared" si="3"/>
        <v>00024 - AM - SIMM Sensitivity Calculation</v>
      </c>
      <c r="H110">
        <f>IF('TRACKER - 20220622'!J127&lt;&gt;"",'TRACKER - 20220622'!J127,"")</f>
        <v>0</v>
      </c>
      <c r="I110" t="str">
        <f>IF('TRACKER - 20220622'!K114&lt;&gt;"",UPPER('TRACKER - 20220622'!K114),"")</f>
        <v>44133</v>
      </c>
      <c r="J110" t="str">
        <f>IF('TRACKER - 20220622'!L114&lt;&gt;"",UPPER('TRACKER - 20220622'!L114),"")</f>
        <v>44133</v>
      </c>
      <c r="K110" t="str">
        <f>IF('TRACKER - 20220622'!M114&lt;&gt;"",UPPER('TRACKER - 20220622'!M114),"")</f>
        <v>28/4/21</v>
      </c>
      <c r="L110" t="str">
        <f>IF('TRACKER - 20220622'!N114&lt;&gt;"",UPPER('TRACKER - 20220622'!N114),"")</f>
        <v>29/4/21</v>
      </c>
      <c r="M110" t="str">
        <f>IF('TRACKER - 20220622'!O114&lt;&gt;"",UPPER('TRACKER - 20220622'!O114),"")</f>
        <v>-</v>
      </c>
      <c r="N110" t="str">
        <f>IF('TRACKER - 20220622'!P114&lt;&gt;"",UPPER('TRACKER - 20220622'!P114),"")</f>
        <v>-</v>
      </c>
      <c r="O110" t="str">
        <f>IF('TRACKER - 20220622'!Q114&lt;&gt;"",UPPER('TRACKER - 20220622'!Q114),"")</f>
        <v>AGREEMENTS</v>
      </c>
      <c r="P110" t="str">
        <f>IF('TRACKER - 20220622'!R114&lt;&gt;"",UPPER('TRACKER - 20220622'!R114),"")</f>
        <v>CLIENT</v>
      </c>
      <c r="Q110" t="str">
        <f>IF('TRACKER - 20220622'!S114&lt;&gt;"",UPPER('TRACKER - 20220622'!S114),"")</f>
        <v/>
      </c>
      <c r="R110" t="str">
        <f>IF('TRACKER - 20220622'!T114&lt;&gt;"",UPPER('TRACKER - 20220622'!T114),"")</f>
        <v/>
      </c>
      <c r="S110" t="str">
        <f>IF('TRACKER - 20220622'!U114&lt;&gt;"",UPPER('TRACKER - 20220622'!U114),"")</f>
        <v/>
      </c>
      <c r="T110" t="str">
        <f>IF('TRACKER - 20220622'!V114&lt;&gt;"",UPPER('TRACKER - 20220622'!V114),"")</f>
        <v/>
      </c>
      <c r="U110" t="str">
        <f>IF('TRACKER - 20220622'!W114&lt;&gt;"",UPPER('TRACKER - 20220622'!W114),"")</f>
        <v/>
      </c>
      <c r="V110" t="str">
        <f>IF('TRACKER - 20220622'!X114&lt;&gt;"",UPPER('TRACKER - 20220622'!X114),"")</f>
        <v>29/10/20 - MT - REQUEST OE WRITE UP FOR ESTIMATION.
29/04/21 - MT - FINAL APPROVAL - 7 NONBLOCKING ITEMS THAT NEED TO BE CONSIDERED DURING UI BUILD.</v>
      </c>
      <c r="W110" t="str">
        <f>IF('TRACKER - 20220622'!Y114&lt;&gt;"",UPPER('TRACKER - 20220622'!Y114),"")</f>
        <v>0</v>
      </c>
      <c r="X110" t="str">
        <f>IF('TRACKER - 20220622'!Z114&lt;&gt;"",UPPER('TRACKER - 20220622'!Z114),"")</f>
        <v>0</v>
      </c>
      <c r="Y110" t="str">
        <f>IF('TRACKER - 20220622'!AA114&lt;&gt;"",UPPER('TRACKER - 20220622'!AA114),"")</f>
        <v>0</v>
      </c>
      <c r="Z110" t="str">
        <f>IF('TRACKER - 20220622'!AB114&lt;&gt;"",UPPER('TRACKER - 20220622'!AB114),"")</f>
        <v>0</v>
      </c>
      <c r="AA110" t="str">
        <f>IF('TRACKER - 20220622'!AC114&lt;&gt;"",UPPER('TRACKER - 20220622'!AC114),"")</f>
        <v>0</v>
      </c>
      <c r="AB110" t="str">
        <f>IF('TRACKER - 20220622'!AE114&lt;&gt;"",UPPER('TRACKER - 20220622'!AE114),"")</f>
        <v>0</v>
      </c>
      <c r="AC110" t="str">
        <f>IF('TRACKER - 20220622'!AF114&lt;&gt;"",UPPER('TRACKER - 20220622'!AF114),"")</f>
        <v>0</v>
      </c>
      <c r="AD110" t="str">
        <f>IF('TRACKER - 20220622'!AG114&lt;&gt;"",UPPER('TRACKER - 20220622'!AG114),"")</f>
        <v>0</v>
      </c>
      <c r="AE110" t="str">
        <f>IF('TRACKER - 20220622'!AH114&lt;&gt;"",UPPER('TRACKER - 20220622'!AH114),"")</f>
        <v>-150</v>
      </c>
      <c r="AF110" t="str">
        <f>IF('TRACKER - 20220622'!AI114&lt;&gt;"",UPPER('TRACKER - 20220622'!AI114),"")</f>
        <v/>
      </c>
      <c r="AG110" t="str">
        <f>IF('TRACKER - 20220622'!AJ114&lt;&gt;"",UPPER('TRACKER - 20220622'!AJ114),"")</f>
        <v>0</v>
      </c>
      <c r="AH110" t="str">
        <f>IF('TRACKER - 20220622'!AK114&lt;&gt;"",UPPER('TRACKER - 20220622'!AK114),"")</f>
        <v/>
      </c>
      <c r="AI110" t="str">
        <f>IF('TRACKER - 20220622'!AL114&lt;&gt;"",UPPER('TRACKER - 20220622'!AL114),"")</f>
        <v>0</v>
      </c>
      <c r="AJ110" t="str">
        <f>IF('TRACKER - 20220622'!AM114&lt;&gt;"",UPPER('TRACKER - 20220622'!AM114),"")</f>
        <v>0</v>
      </c>
      <c r="AK110" t="str">
        <f>IF('TRACKER - 20220622'!AN114&lt;&gt;"",UPPER('TRACKER - 20220622'!AN114),"")</f>
        <v/>
      </c>
      <c r="AL110" t="str">
        <f>IF('TRACKER - 20220622'!AO114&lt;&gt;"",UPPER('TRACKER - 20220622'!AO114),"")</f>
        <v>0</v>
      </c>
      <c r="AM110" t="str">
        <f>IF('TRACKER - 20220622'!AP114&lt;&gt;"",UPPER('TRACKER - 20220622'!AP114),"")</f>
        <v>0</v>
      </c>
      <c r="AN110" t="str">
        <f>IF('TRACKER - 20220622'!AQ114&lt;&gt;"",UPPER('TRACKER - 20220622'!AQ114),"")</f>
        <v>0</v>
      </c>
      <c r="AO110" t="str">
        <f>IF('TRACKER - 20220622'!AR114&lt;&gt;"",UPPER('TRACKER - 20220622'!AR114),"")</f>
        <v>PRD</v>
      </c>
      <c r="AP110" t="str">
        <f>IF('TRACKER - 20220622'!AS114&lt;&gt;"",UPPER('TRACKER - 20220622'!AS114),"")</f>
        <v>REQ</v>
      </c>
      <c r="AQ110" t="str">
        <f>IF('TRACKER - 20220622'!AT114&lt;&gt;"",UPPER('TRACKER - 20220622'!AT114),"")</f>
        <v>N</v>
      </c>
      <c r="AR110" t="str">
        <f>IF('TRACKER - 20220622'!AU114&lt;&gt;"",UPPER('TRACKER - 20220622'!AU114),"")</f>
        <v>-150</v>
      </c>
      <c r="AS110" t="str">
        <f>IF('TRACKER - 20220622'!AV114&lt;&gt;"",UPPER('TRACKER - 20220622'!AV114),"")</f>
        <v/>
      </c>
      <c r="AT110" t="str">
        <f>IF('TRACKER - 20220622'!AW114&lt;&gt;"",UPPER('TRACKER - 20220622'!AW114),"")</f>
        <v/>
      </c>
      <c r="AU110" t="str">
        <f>IF('TRACKER - 20220622'!AX114&lt;&gt;"",UPPER('TRACKER - 20220622'!AX114),"")</f>
        <v>REASON114</v>
      </c>
      <c r="AV110" t="str">
        <f>IF('TRACKER - 20220622'!BD127&lt;&gt;"",'TRACKER - 20220622'!BD127,"")</f>
        <v/>
      </c>
      <c r="AW110" t="str">
        <f>IF('TRACKER - 20220622'!BE127&lt;&gt;"",'TRACKER - 20220622'!BE127,"")</f>
        <v/>
      </c>
      <c r="AX110" t="str">
        <f>IF('TRACKER - 20220622'!BF127&lt;&gt;"",'TRACKER - 20220622'!BF127,"")</f>
        <v/>
      </c>
      <c r="AY110" t="str">
        <f>IF('TRACKER - 20220622'!BG127&lt;&gt;"",'TRACKER - 20220622'!BG127,"")</f>
        <v/>
      </c>
      <c r="AZ110" t="str">
        <f>IF('TRACKER - 20220622'!BH127&lt;&gt;"",'TRACKER - 20220622'!BH127,"")</f>
        <v/>
      </c>
      <c r="BA110" t="str">
        <f>IF('TRACKER - 20220622'!BI127&lt;&gt;"",'TRACKER - 20220622'!BI127,"")</f>
        <v/>
      </c>
      <c r="BB110" t="str">
        <f>IF('TRACKER - 20220622'!BJ127&lt;&gt;"",'TRACKER - 20220622'!BJ127,"")</f>
        <v/>
      </c>
      <c r="BC110" t="str">
        <f>IF('TRACKER - 20220622'!BK127&lt;&gt;"",'TRACKER - 20220622'!BK127,"")</f>
        <v/>
      </c>
      <c r="BD110" t="str">
        <f>IF('TRACKER - 20220622'!BL127&lt;&gt;"",'TRACKER - 20220622'!BL127,"")</f>
        <v/>
      </c>
      <c r="BE110" t="str">
        <f>IF('TRACKER - 20220622'!BM127&lt;&gt;"",'TRACKER - 20220622'!BM127,"")</f>
        <v/>
      </c>
      <c r="BF110" t="str">
        <f>IF('TRACKER - 20220622'!BN127&lt;&gt;"",'TRACKER - 20220622'!BN127,"")</f>
        <v/>
      </c>
      <c r="BG110" t="str">
        <f>IF('TRACKER - 20220622'!BO127&lt;&gt;"",'TRACKER - 20220622'!BO127,"")</f>
        <v/>
      </c>
    </row>
    <row r="111" spans="1:59">
      <c r="A111" t="str">
        <f>IF('TRACKER - 20220622'!A128&lt;&gt;"",UPPER('TRACKER - 20220622'!A128),"")</f>
        <v>PRODUCT BACKLOG</v>
      </c>
      <c r="B111" t="str">
        <f>IF('TRACKER - 20220622'!B128&lt;&gt;"",UPPER('TRACKER - 20220622'!B128),"")</f>
        <v>N</v>
      </c>
      <c r="C111" t="str">
        <f>IF('TRACKER - 20220622'!D115&lt;&gt;"",UPPER('TRACKER - 20220622'!D115),"")</f>
        <v>32165</v>
      </c>
      <c r="D111" t="str">
        <f>IF('TRACKER - 20220622'!F128&lt;&gt;"",UPPER('TRACKER - 20220622'!F128),"")</f>
        <v>PRD-BLG-2020-00004</v>
      </c>
      <c r="E111" t="str">
        <f>IF('TRACKER - 20220622'!H128&lt;&gt;"",'TRACKER - 20220622'!H128,"")</f>
        <v>AM - Deal Reconciliation from external systems</v>
      </c>
      <c r="F111" t="str">
        <f t="shared" si="2"/>
        <v>PRD-BLG-2020-00004 AM - Deal Reconciliation from external systems</v>
      </c>
      <c r="G111" t="str">
        <f t="shared" si="3"/>
        <v>32165 - AM - Deal Reconciliation from external systems</v>
      </c>
      <c r="H111">
        <f>IF('TRACKER - 20220622'!J128&lt;&gt;"",'TRACKER - 20220622'!J128,"")</f>
        <v>0</v>
      </c>
      <c r="I111" t="str">
        <f>IF('TRACKER - 20220622'!K115&lt;&gt;"",UPPER('TRACKER - 20220622'!K115),"")</f>
        <v>43951</v>
      </c>
      <c r="J111" t="str">
        <f>IF('TRACKER - 20220622'!L115&lt;&gt;"",UPPER('TRACKER - 20220622'!L115),"")</f>
        <v>43951</v>
      </c>
      <c r="K111" t="str">
        <f>IF('TRACKER - 20220622'!M115&lt;&gt;"",UPPER('TRACKER - 20220622'!M115),"")</f>
        <v/>
      </c>
      <c r="L111" t="str">
        <f>IF('TRACKER - 20220622'!N115&lt;&gt;"",UPPER('TRACKER - 20220622'!N115),"")</f>
        <v/>
      </c>
      <c r="M111" t="str">
        <f>IF('TRACKER - 20220622'!O115&lt;&gt;"",UPPER('TRACKER - 20220622'!O115),"")</f>
        <v/>
      </c>
      <c r="N111" t="str">
        <f>IF('TRACKER - 20220622'!P115&lt;&gt;"",UPPER('TRACKER - 20220622'!P115),"")</f>
        <v/>
      </c>
      <c r="O111" t="str">
        <f>IF('TRACKER - 20220622'!Q115&lt;&gt;"",UPPER('TRACKER - 20220622'!Q115),"")</f>
        <v>PLATFORM</v>
      </c>
      <c r="P111" t="str">
        <f>IF('TRACKER - 20220622'!R115&lt;&gt;"",UPPER('TRACKER - 20220622'!R115),"")</f>
        <v>PROSPECT</v>
      </c>
      <c r="Q111" t="str">
        <f>IF('TRACKER - 20220622'!S115&lt;&gt;"",UPPER('TRACKER - 20220622'!S115),"")</f>
        <v/>
      </c>
      <c r="R111" t="str">
        <f>IF('TRACKER - 20220622'!T115&lt;&gt;"",UPPER('TRACKER - 20220622'!T115),"")</f>
        <v/>
      </c>
      <c r="S111" t="str">
        <f>IF('TRACKER - 20220622'!U115&lt;&gt;"",UPPER('TRACKER - 20220622'!U115),"")</f>
        <v/>
      </c>
      <c r="T111" t="str">
        <f>IF('TRACKER - 20220622'!V115&lt;&gt;"",UPPER('TRACKER - 20220622'!V115),"")</f>
        <v/>
      </c>
      <c r="U111" t="str">
        <f>IF('TRACKER - 20220622'!W115&lt;&gt;"",UPPER('TRACKER - 20220622'!W115),"")</f>
        <v/>
      </c>
      <c r="V111" t="str">
        <f>IF('TRACKER - 20220622'!X115&lt;&gt;"",UPPER('TRACKER - 20220622'!X115),"")</f>
        <v>NO ACTION - WILL BE INCLUDED INTO CLIENT QUOTE</v>
      </c>
      <c r="W111" t="str">
        <f>IF('TRACKER - 20220622'!Y115&lt;&gt;"",UPPER('TRACKER - 20220622'!Y115),"")</f>
        <v>-19125</v>
      </c>
      <c r="X111" t="str">
        <f>IF('TRACKER - 20220622'!Z115&lt;&gt;"",UPPER('TRACKER - 20220622'!Z115),"")</f>
        <v>-2868.75</v>
      </c>
      <c r="Y111" t="str">
        <f>IF('TRACKER - 20220622'!AA115&lt;&gt;"",UPPER('TRACKER - 20220622'!AA115),"")</f>
        <v>-9562.5</v>
      </c>
      <c r="Z111" t="str">
        <f>IF('TRACKER - 20220622'!AB115&lt;&gt;"",UPPER('TRACKER - 20220622'!AB115),"")</f>
        <v>-2868.75</v>
      </c>
      <c r="AA111" t="str">
        <f>IF('TRACKER - 20220622'!AC115&lt;&gt;"",UPPER('TRACKER - 20220622'!AC115),"")</f>
        <v>0</v>
      </c>
      <c r="AB111" t="str">
        <f>IF('TRACKER - 20220622'!AE115&lt;&gt;"",UPPER('TRACKER - 20220622'!AE115),"")</f>
        <v>-3825</v>
      </c>
      <c r="AC111" t="str">
        <f>IF('TRACKER - 20220622'!AF115&lt;&gt;"",UPPER('TRACKER - 20220622'!AF115),"")</f>
        <v>-19125</v>
      </c>
      <c r="AD111" t="str">
        <f>IF('TRACKER - 20220622'!AG115&lt;&gt;"",UPPER('TRACKER - 20220622'!AG115),"")</f>
        <v>0</v>
      </c>
      <c r="AE111" t="str">
        <f>IF('TRACKER - 20220622'!AH115&lt;&gt;"",UPPER('TRACKER - 20220622'!AH115),"")</f>
        <v>-150</v>
      </c>
      <c r="AF111" t="str">
        <f>IF('TRACKER - 20220622'!AI115&lt;&gt;"",UPPER('TRACKER - 20220622'!AI115),"")</f>
        <v/>
      </c>
      <c r="AG111" t="str">
        <f>IF('TRACKER - 20220622'!AJ115&lt;&gt;"",UPPER('TRACKER - 20220622'!AJ115),"")</f>
        <v>0</v>
      </c>
      <c r="AH111" t="str">
        <f>IF('TRACKER - 20220622'!AK115&lt;&gt;"",UPPER('TRACKER - 20220622'!AK115),"")</f>
        <v>2.55</v>
      </c>
      <c r="AI111" t="str">
        <f>IF('TRACKER - 20220622'!AL115&lt;&gt;"",UPPER('TRACKER - 20220622'!AL115),"")</f>
        <v>8.5</v>
      </c>
      <c r="AJ111" t="str">
        <f>IF('TRACKER - 20220622'!AM115&lt;&gt;"",UPPER('TRACKER - 20220622'!AM115),"")</f>
        <v>2.55</v>
      </c>
      <c r="AK111" t="str">
        <f>IF('TRACKER - 20220622'!AN115&lt;&gt;"",UPPER('TRACKER - 20220622'!AN115),"")</f>
        <v/>
      </c>
      <c r="AL111" t="str">
        <f>IF('TRACKER - 20220622'!AO115&lt;&gt;"",UPPER('TRACKER - 20220622'!AO115),"")</f>
        <v>3.4</v>
      </c>
      <c r="AM111" t="str">
        <f>IF('TRACKER - 20220622'!AP115&lt;&gt;"",UPPER('TRACKER - 20220622'!AP115),"")</f>
        <v>17</v>
      </c>
      <c r="AN111" t="str">
        <f>IF('TRACKER - 20220622'!AQ115&lt;&gt;"",UPPER('TRACKER - 20220622'!AQ115),"")</f>
        <v>0</v>
      </c>
      <c r="AO111" t="str">
        <f>IF('TRACKER - 20220622'!AR115&lt;&gt;"",UPPER('TRACKER - 20220622'!AR115),"")</f>
        <v>PRD</v>
      </c>
      <c r="AP111" t="str">
        <f>IF('TRACKER - 20220622'!AS115&lt;&gt;"",UPPER('TRACKER - 20220622'!AS115),"")</f>
        <v>BLG</v>
      </c>
      <c r="AQ111" t="str">
        <f>IF('TRACKER - 20220622'!AT115&lt;&gt;"",UPPER('TRACKER - 20220622'!AT115),"")</f>
        <v>N</v>
      </c>
      <c r="AR111" t="str">
        <f>IF('TRACKER - 20220622'!AU115&lt;&gt;"",UPPER('TRACKER - 20220622'!AU115),"")</f>
        <v>-150</v>
      </c>
      <c r="AS111" t="str">
        <f>IF('TRACKER - 20220622'!AV115&lt;&gt;"",UPPER('TRACKER - 20220622'!AV115),"")</f>
        <v/>
      </c>
      <c r="AT111" t="str">
        <f>IF('TRACKER - 20220622'!AW115&lt;&gt;"",UPPER('TRACKER - 20220622'!AW115),"")</f>
        <v/>
      </c>
      <c r="AU111" t="str">
        <f>IF('TRACKER - 20220622'!AX115&lt;&gt;"",UPPER('TRACKER - 20220622'!AX115),"")</f>
        <v>REASON115</v>
      </c>
      <c r="AV111" t="str">
        <f>IF('TRACKER - 20220622'!BD128&lt;&gt;"",'TRACKER - 20220622'!BD128,"")</f>
        <v/>
      </c>
      <c r="AW111" t="str">
        <f>IF('TRACKER - 20220622'!BE128&lt;&gt;"",'TRACKER - 20220622'!BE128,"")</f>
        <v/>
      </c>
      <c r="AX111" t="str">
        <f>IF('TRACKER - 20220622'!BF128&lt;&gt;"",'TRACKER - 20220622'!BF128,"")</f>
        <v/>
      </c>
      <c r="AY111" t="str">
        <f>IF('TRACKER - 20220622'!BG128&lt;&gt;"",'TRACKER - 20220622'!BG128,"")</f>
        <v/>
      </c>
      <c r="AZ111" t="str">
        <f>IF('TRACKER - 20220622'!BH128&lt;&gt;"",'TRACKER - 20220622'!BH128,"")</f>
        <v/>
      </c>
      <c r="BA111" t="str">
        <f>IF('TRACKER - 20220622'!BI128&lt;&gt;"",'TRACKER - 20220622'!BI128,"")</f>
        <v/>
      </c>
      <c r="BB111" t="str">
        <f>IF('TRACKER - 20220622'!BJ128&lt;&gt;"",'TRACKER - 20220622'!BJ128,"")</f>
        <v/>
      </c>
      <c r="BC111" t="str">
        <f>IF('TRACKER - 20220622'!BK128&lt;&gt;"",'TRACKER - 20220622'!BK128,"")</f>
        <v/>
      </c>
      <c r="BD111" t="str">
        <f>IF('TRACKER - 20220622'!BL128&lt;&gt;"",'TRACKER - 20220622'!BL128,"")</f>
        <v/>
      </c>
      <c r="BE111" t="str">
        <f>IF('TRACKER - 20220622'!BM128&lt;&gt;"",'TRACKER - 20220622'!BM128,"")</f>
        <v/>
      </c>
      <c r="BF111" t="str">
        <f>IF('TRACKER - 20220622'!BN128&lt;&gt;"",'TRACKER - 20220622'!BN128,"")</f>
        <v/>
      </c>
      <c r="BG111" t="str">
        <f>IF('TRACKER - 20220622'!BO128&lt;&gt;"",'TRACKER - 20220622'!BO128,"")</f>
        <v/>
      </c>
    </row>
    <row r="112" spans="1:59">
      <c r="A112" t="str">
        <f>IF('TRACKER - 20220622'!A131&lt;&gt;"",UPPER('TRACKER - 20220622'!A131),"")</f>
        <v>PRODUCT BACKLOG</v>
      </c>
      <c r="B112" t="str">
        <f>IF('TRACKER - 20220622'!B131&lt;&gt;"",UPPER('TRACKER - 20220622'!B131),"")</f>
        <v>N</v>
      </c>
      <c r="C112" t="str">
        <f>IF('TRACKER - 20220622'!D116&lt;&gt;"",UPPER('TRACKER - 20220622'!D116),"")</f>
        <v>33671</v>
      </c>
      <c r="D112" t="str">
        <f>IF('TRACKER - 20220622'!F131&lt;&gt;"",UPPER('TRACKER - 20220622'!F131),"")</f>
        <v>PRD-BLG-2020-00007</v>
      </c>
      <c r="E112" t="str">
        <f>IF('TRACKER - 20220622'!H131&lt;&gt;"",'TRACKER - 20220622'!H131,"")</f>
        <v>AM - CCP Report aggregation</v>
      </c>
      <c r="F112" t="str">
        <f t="shared" si="2"/>
        <v>PRD-BLG-2020-00007 AM - CCP Report aggregation</v>
      </c>
      <c r="G112" t="str">
        <f t="shared" si="3"/>
        <v>33671 - AM - CCP Report aggregation</v>
      </c>
      <c r="H112">
        <f>IF('TRACKER - 20220622'!J131&lt;&gt;"",'TRACKER - 20220622'!J131,"")</f>
        <v>0</v>
      </c>
      <c r="I112" t="str">
        <f>IF('TRACKER - 20220622'!K116&lt;&gt;"",UPPER('TRACKER - 20220622'!K116),"")</f>
        <v>44152</v>
      </c>
      <c r="J112" t="str">
        <f>IF('TRACKER - 20220622'!L116&lt;&gt;"",UPPER('TRACKER - 20220622'!L116),"")</f>
        <v>44098</v>
      </c>
      <c r="K112" t="str">
        <f>IF('TRACKER - 20220622'!M116&lt;&gt;"",UPPER('TRACKER - 20220622'!M116),"")</f>
        <v/>
      </c>
      <c r="L112" t="str">
        <f>IF('TRACKER - 20220622'!N116&lt;&gt;"",UPPER('TRACKER - 20220622'!N116),"")</f>
        <v/>
      </c>
      <c r="M112" t="str">
        <f>IF('TRACKER - 20220622'!O116&lt;&gt;"",UPPER('TRACKER - 20220622'!O116),"")</f>
        <v/>
      </c>
      <c r="N112" t="str">
        <f>IF('TRACKER - 20220622'!P116&lt;&gt;"",UPPER('TRACKER - 20220622'!P116),"")</f>
        <v/>
      </c>
      <c r="O112" t="str">
        <f>IF('TRACKER - 20220622'!Q116&lt;&gt;"",UPPER('TRACKER - 20220622'!Q116),"")</f>
        <v>UNCATEGORISED</v>
      </c>
      <c r="P112" t="str">
        <f>IF('TRACKER - 20220622'!R116&lt;&gt;"",UPPER('TRACKER - 20220622'!R116),"")</f>
        <v>PROSPECT</v>
      </c>
      <c r="Q112" t="str">
        <f>IF('TRACKER - 20220622'!S116&lt;&gt;"",UPPER('TRACKER - 20220622'!S116),"")</f>
        <v/>
      </c>
      <c r="R112" t="str">
        <f>IF('TRACKER - 20220622'!T116&lt;&gt;"",UPPER('TRACKER - 20220622'!T116),"")</f>
        <v/>
      </c>
      <c r="S112" t="str">
        <f>IF('TRACKER - 20220622'!U116&lt;&gt;"",UPPER('TRACKER - 20220622'!U116),"")</f>
        <v/>
      </c>
      <c r="T112" t="str">
        <f>IF('TRACKER - 20220622'!V116&lt;&gt;"",UPPER('TRACKER - 20220622'!V116),"")</f>
        <v/>
      </c>
      <c r="U112" t="str">
        <f>IF('TRACKER - 20220622'!W116&lt;&gt;"",UPPER('TRACKER - 20220622'!W116),"")</f>
        <v/>
      </c>
      <c r="V112" t="str">
        <f>IF('TRACKER - 20220622'!X116&lt;&gt;"",UPPER('TRACKER - 20220622'!X116),"")</f>
        <v>17/11/20 - CLOSED BC HAVE  NOT PROCEEDED. BESPOKE REQ - NOT SELECTED FOR BACKLOG.</v>
      </c>
      <c r="W112" t="str">
        <f>IF('TRACKER - 20220622'!Y116&lt;&gt;"",UPPER('TRACKER - 20220622'!Y116),"")</f>
        <v>0</v>
      </c>
      <c r="X112" t="str">
        <f>IF('TRACKER - 20220622'!Z116&lt;&gt;"",UPPER('TRACKER - 20220622'!Z116),"")</f>
        <v>0</v>
      </c>
      <c r="Y112" t="str">
        <f>IF('TRACKER - 20220622'!AA116&lt;&gt;"",UPPER('TRACKER - 20220622'!AA116),"")</f>
        <v>0</v>
      </c>
      <c r="Z112" t="str">
        <f>IF('TRACKER - 20220622'!AB116&lt;&gt;"",UPPER('TRACKER - 20220622'!AB116),"")</f>
        <v>0</v>
      </c>
      <c r="AA112" t="str">
        <f>IF('TRACKER - 20220622'!AC116&lt;&gt;"",UPPER('TRACKER - 20220622'!AC116),"")</f>
        <v>0</v>
      </c>
      <c r="AB112" t="str">
        <f>IF('TRACKER - 20220622'!AE116&lt;&gt;"",UPPER('TRACKER - 20220622'!AE116),"")</f>
        <v>0</v>
      </c>
      <c r="AC112" t="str">
        <f>IF('TRACKER - 20220622'!AF116&lt;&gt;"",UPPER('TRACKER - 20220622'!AF116),"")</f>
        <v>0</v>
      </c>
      <c r="AD112" t="str">
        <f>IF('TRACKER - 20220622'!AG116&lt;&gt;"",UPPER('TRACKER - 20220622'!AG116),"")</f>
        <v>0</v>
      </c>
      <c r="AE112" t="str">
        <f>IF('TRACKER - 20220622'!AH116&lt;&gt;"",UPPER('TRACKER - 20220622'!AH116),"")</f>
        <v>-150</v>
      </c>
      <c r="AF112" t="str">
        <f>IF('TRACKER - 20220622'!AI116&lt;&gt;"",UPPER('TRACKER - 20220622'!AI116),"")</f>
        <v/>
      </c>
      <c r="AG112" t="str">
        <f>IF('TRACKER - 20220622'!AJ116&lt;&gt;"",UPPER('TRACKER - 20220622'!AJ116),"")</f>
        <v>0</v>
      </c>
      <c r="AH112" t="str">
        <f>IF('TRACKER - 20220622'!AK116&lt;&gt;"",UPPER('TRACKER - 20220622'!AK116),"")</f>
        <v/>
      </c>
      <c r="AI112" t="str">
        <f>IF('TRACKER - 20220622'!AL116&lt;&gt;"",UPPER('TRACKER - 20220622'!AL116),"")</f>
        <v>0</v>
      </c>
      <c r="AJ112" t="str">
        <f>IF('TRACKER - 20220622'!AM116&lt;&gt;"",UPPER('TRACKER - 20220622'!AM116),"")</f>
        <v>0</v>
      </c>
      <c r="AK112" t="str">
        <f>IF('TRACKER - 20220622'!AN116&lt;&gt;"",UPPER('TRACKER - 20220622'!AN116),"")</f>
        <v/>
      </c>
      <c r="AL112" t="str">
        <f>IF('TRACKER - 20220622'!AO116&lt;&gt;"",UPPER('TRACKER - 20220622'!AO116),"")</f>
        <v>0</v>
      </c>
      <c r="AM112" t="str">
        <f>IF('TRACKER - 20220622'!AP116&lt;&gt;"",UPPER('TRACKER - 20220622'!AP116),"")</f>
        <v>0</v>
      </c>
      <c r="AN112" t="str">
        <f>IF('TRACKER - 20220622'!AQ116&lt;&gt;"",UPPER('TRACKER - 20220622'!AQ116),"")</f>
        <v>0</v>
      </c>
      <c r="AO112" t="str">
        <f>IF('TRACKER - 20220622'!AR116&lt;&gt;"",UPPER('TRACKER - 20220622'!AR116),"")</f>
        <v>PRD</v>
      </c>
      <c r="AP112" t="str">
        <f>IF('TRACKER - 20220622'!AS116&lt;&gt;"",UPPER('TRACKER - 20220622'!AS116),"")</f>
        <v>BLG</v>
      </c>
      <c r="AQ112" t="str">
        <f>IF('TRACKER - 20220622'!AT116&lt;&gt;"",UPPER('TRACKER - 20220622'!AT116),"")</f>
        <v>N</v>
      </c>
      <c r="AR112" t="str">
        <f>IF('TRACKER - 20220622'!AU116&lt;&gt;"",UPPER('TRACKER - 20220622'!AU116),"")</f>
        <v>-150</v>
      </c>
      <c r="AS112" t="str">
        <f>IF('TRACKER - 20220622'!AV116&lt;&gt;"",UPPER('TRACKER - 20220622'!AV116),"")</f>
        <v/>
      </c>
      <c r="AT112" t="str">
        <f>IF('TRACKER - 20220622'!AW116&lt;&gt;"",UPPER('TRACKER - 20220622'!AW116),"")</f>
        <v/>
      </c>
      <c r="AU112" t="str">
        <f>IF('TRACKER - 20220622'!AX116&lt;&gt;"",UPPER('TRACKER - 20220622'!AX116),"")</f>
        <v>REASON116</v>
      </c>
      <c r="AV112" t="str">
        <f>IF('TRACKER - 20220622'!BD131&lt;&gt;"",'TRACKER - 20220622'!BD131,"")</f>
        <v/>
      </c>
      <c r="AW112" t="str">
        <f>IF('TRACKER - 20220622'!BE131&lt;&gt;"",'TRACKER - 20220622'!BE131,"")</f>
        <v/>
      </c>
      <c r="AX112" t="str">
        <f>IF('TRACKER - 20220622'!BF131&lt;&gt;"",'TRACKER - 20220622'!BF131,"")</f>
        <v/>
      </c>
      <c r="AY112" t="str">
        <f>IF('TRACKER - 20220622'!BG131&lt;&gt;"",'TRACKER - 20220622'!BG131,"")</f>
        <v/>
      </c>
      <c r="AZ112" t="str">
        <f>IF('TRACKER - 20220622'!BH131&lt;&gt;"",'TRACKER - 20220622'!BH131,"")</f>
        <v/>
      </c>
      <c r="BA112" t="str">
        <f>IF('TRACKER - 20220622'!BI131&lt;&gt;"",'TRACKER - 20220622'!BI131,"")</f>
        <v/>
      </c>
      <c r="BB112" t="str">
        <f>IF('TRACKER - 20220622'!BJ131&lt;&gt;"",'TRACKER - 20220622'!BJ131,"")</f>
        <v/>
      </c>
      <c r="BC112" t="str">
        <f>IF('TRACKER - 20220622'!BK131&lt;&gt;"",'TRACKER - 20220622'!BK131,"")</f>
        <v/>
      </c>
      <c r="BD112" t="str">
        <f>IF('TRACKER - 20220622'!BL131&lt;&gt;"",'TRACKER - 20220622'!BL131,"")</f>
        <v/>
      </c>
      <c r="BE112" t="str">
        <f>IF('TRACKER - 20220622'!BM131&lt;&gt;"",'TRACKER - 20220622'!BM131,"")</f>
        <v/>
      </c>
      <c r="BF112" t="str">
        <f>IF('TRACKER - 20220622'!BN131&lt;&gt;"",'TRACKER - 20220622'!BN131,"")</f>
        <v/>
      </c>
      <c r="BG112" t="str">
        <f>IF('TRACKER - 20220622'!BO131&lt;&gt;"",'TRACKER - 20220622'!BO131,"")</f>
        <v/>
      </c>
    </row>
    <row r="113" spans="1:59">
      <c r="A113" t="str">
        <f>IF('TRACKER - 20220622'!A132&lt;&gt;"",UPPER('TRACKER - 20220622'!A132),"")</f>
        <v>PRODUCT ROADMAP</v>
      </c>
      <c r="B113" t="str">
        <f>IF('TRACKER - 20220622'!B132&lt;&gt;"",UPPER('TRACKER - 20220622'!B132),"")</f>
        <v>N</v>
      </c>
      <c r="C113" t="str">
        <f>IF('TRACKER - 20220622'!D117&lt;&gt;"",UPPER('TRACKER - 20220622'!D117),"")</f>
        <v>33672</v>
      </c>
      <c r="D113" t="str">
        <f>IF('TRACKER - 20220622'!F132&lt;&gt;"",UPPER('TRACKER - 20220622'!F132),"")</f>
        <v>PRD-REQ-2020-00008</v>
      </c>
      <c r="E113" t="str">
        <f>IF('TRACKER - 20220622'!H132&lt;&gt;"",'TRACKER - 20220622'!H132,"")</f>
        <v>AM - GMRA Business Line</v>
      </c>
      <c r="F113" t="str">
        <f t="shared" si="2"/>
        <v>PRD-REQ-2020-00008 AM - GMRA Business Line</v>
      </c>
      <c r="G113" t="str">
        <f t="shared" si="3"/>
        <v>33672 - AM - GMRA Business Line</v>
      </c>
      <c r="H113">
        <f>IF('TRACKER - 20220622'!J132&lt;&gt;"",'TRACKER - 20220622'!J132,"")</f>
        <v>0</v>
      </c>
      <c r="I113" t="str">
        <f>IF('TRACKER - 20220622'!K117&lt;&gt;"",UPPER('TRACKER - 20220622'!K117),"")</f>
        <v>44152</v>
      </c>
      <c r="J113" t="str">
        <f>IF('TRACKER - 20220622'!L117&lt;&gt;"",UPPER('TRACKER - 20220622'!L117),"")</f>
        <v>44098</v>
      </c>
      <c r="K113" t="str">
        <f>IF('TRACKER - 20220622'!M117&lt;&gt;"",UPPER('TRACKER - 20220622'!M117),"")</f>
        <v/>
      </c>
      <c r="L113" t="str">
        <f>IF('TRACKER - 20220622'!N117&lt;&gt;"",UPPER('TRACKER - 20220622'!N117),"")</f>
        <v/>
      </c>
      <c r="M113" t="str">
        <f>IF('TRACKER - 20220622'!O117&lt;&gt;"",UPPER('TRACKER - 20220622'!O117),"")</f>
        <v/>
      </c>
      <c r="N113" t="str">
        <f>IF('TRACKER - 20220622'!P117&lt;&gt;"",UPPER('TRACKER - 20220622'!P117),"")</f>
        <v/>
      </c>
      <c r="O113" t="str">
        <f>IF('TRACKER - 20220622'!Q117&lt;&gt;"",UPPER('TRACKER - 20220622'!Q117),"")</f>
        <v>UNCATEGORISED</v>
      </c>
      <c r="P113" t="str">
        <f>IF('TRACKER - 20220622'!R117&lt;&gt;"",UPPER('TRACKER - 20220622'!R117),"")</f>
        <v>PROSPECT</v>
      </c>
      <c r="Q113" t="str">
        <f>IF('TRACKER - 20220622'!S117&lt;&gt;"",UPPER('TRACKER - 20220622'!S117),"")</f>
        <v/>
      </c>
      <c r="R113" t="str">
        <f>IF('TRACKER - 20220622'!T117&lt;&gt;"",UPPER('TRACKER - 20220622'!T117),"")</f>
        <v/>
      </c>
      <c r="S113" t="str">
        <f>IF('TRACKER - 20220622'!U117&lt;&gt;"",UPPER('TRACKER - 20220622'!U117),"")</f>
        <v/>
      </c>
      <c r="T113" t="str">
        <f>IF('TRACKER - 20220622'!V117&lt;&gt;"",UPPER('TRACKER - 20220622'!V117),"")</f>
        <v/>
      </c>
      <c r="U113" t="str">
        <f>IF('TRACKER - 20220622'!W117&lt;&gt;"",UPPER('TRACKER - 20220622'!W117),"")</f>
        <v/>
      </c>
      <c r="V113" t="str">
        <f>IF('TRACKER - 20220622'!X117&lt;&gt;"",UPPER('TRACKER - 20220622'!X117),"")</f>
        <v>17/11/20 - CLOSED BC HAVE  NOT PROCEEDED. BESPOKE REQ - NOT SELECTED FOR BACKLOG.</v>
      </c>
      <c r="W113" t="str">
        <f>IF('TRACKER - 20220622'!Y117&lt;&gt;"",UPPER('TRACKER - 20220622'!Y117),"")</f>
        <v>0</v>
      </c>
      <c r="X113" t="str">
        <f>IF('TRACKER - 20220622'!Z117&lt;&gt;"",UPPER('TRACKER - 20220622'!Z117),"")</f>
        <v>0</v>
      </c>
      <c r="Y113" t="str">
        <f>IF('TRACKER - 20220622'!AA117&lt;&gt;"",UPPER('TRACKER - 20220622'!AA117),"")</f>
        <v>0</v>
      </c>
      <c r="Z113" t="str">
        <f>IF('TRACKER - 20220622'!AB117&lt;&gt;"",UPPER('TRACKER - 20220622'!AB117),"")</f>
        <v>0</v>
      </c>
      <c r="AA113" t="str">
        <f>IF('TRACKER - 20220622'!AC117&lt;&gt;"",UPPER('TRACKER - 20220622'!AC117),"")</f>
        <v>0</v>
      </c>
      <c r="AB113" t="str">
        <f>IF('TRACKER - 20220622'!AE117&lt;&gt;"",UPPER('TRACKER - 20220622'!AE117),"")</f>
        <v>0</v>
      </c>
      <c r="AC113" t="str">
        <f>IF('TRACKER - 20220622'!AF117&lt;&gt;"",UPPER('TRACKER - 20220622'!AF117),"")</f>
        <v>0</v>
      </c>
      <c r="AD113" t="str">
        <f>IF('TRACKER - 20220622'!AG117&lt;&gt;"",UPPER('TRACKER - 20220622'!AG117),"")</f>
        <v>0</v>
      </c>
      <c r="AE113" t="str">
        <f>IF('TRACKER - 20220622'!AH117&lt;&gt;"",UPPER('TRACKER - 20220622'!AH117),"")</f>
        <v>-150</v>
      </c>
      <c r="AF113" t="str">
        <f>IF('TRACKER - 20220622'!AI117&lt;&gt;"",UPPER('TRACKER - 20220622'!AI117),"")</f>
        <v/>
      </c>
      <c r="AG113" t="str">
        <f>IF('TRACKER - 20220622'!AJ117&lt;&gt;"",UPPER('TRACKER - 20220622'!AJ117),"")</f>
        <v>0</v>
      </c>
      <c r="AH113" t="str">
        <f>IF('TRACKER - 20220622'!AK117&lt;&gt;"",UPPER('TRACKER - 20220622'!AK117),"")</f>
        <v/>
      </c>
      <c r="AI113" t="str">
        <f>IF('TRACKER - 20220622'!AL117&lt;&gt;"",UPPER('TRACKER - 20220622'!AL117),"")</f>
        <v>0</v>
      </c>
      <c r="AJ113" t="str">
        <f>IF('TRACKER - 20220622'!AM117&lt;&gt;"",UPPER('TRACKER - 20220622'!AM117),"")</f>
        <v>0</v>
      </c>
      <c r="AK113" t="str">
        <f>IF('TRACKER - 20220622'!AN117&lt;&gt;"",UPPER('TRACKER - 20220622'!AN117),"")</f>
        <v/>
      </c>
      <c r="AL113" t="str">
        <f>IF('TRACKER - 20220622'!AO117&lt;&gt;"",UPPER('TRACKER - 20220622'!AO117),"")</f>
        <v>0</v>
      </c>
      <c r="AM113" t="str">
        <f>IF('TRACKER - 20220622'!AP117&lt;&gt;"",UPPER('TRACKER - 20220622'!AP117),"")</f>
        <v>0</v>
      </c>
      <c r="AN113" t="str">
        <f>IF('TRACKER - 20220622'!AQ117&lt;&gt;"",UPPER('TRACKER - 20220622'!AQ117),"")</f>
        <v>0</v>
      </c>
      <c r="AO113" t="str">
        <f>IF('TRACKER - 20220622'!AR117&lt;&gt;"",UPPER('TRACKER - 20220622'!AR117),"")</f>
        <v>PRD</v>
      </c>
      <c r="AP113" t="str">
        <f>IF('TRACKER - 20220622'!AS117&lt;&gt;"",UPPER('TRACKER - 20220622'!AS117),"")</f>
        <v>BLG</v>
      </c>
      <c r="AQ113" t="str">
        <f>IF('TRACKER - 20220622'!AT117&lt;&gt;"",UPPER('TRACKER - 20220622'!AT117),"")</f>
        <v>N</v>
      </c>
      <c r="AR113" t="str">
        <f>IF('TRACKER - 20220622'!AU117&lt;&gt;"",UPPER('TRACKER - 20220622'!AU117),"")</f>
        <v>-150</v>
      </c>
      <c r="AS113" t="str">
        <f>IF('TRACKER - 20220622'!AV117&lt;&gt;"",UPPER('TRACKER - 20220622'!AV117),"")</f>
        <v/>
      </c>
      <c r="AT113" t="str">
        <f>IF('TRACKER - 20220622'!AW117&lt;&gt;"",UPPER('TRACKER - 20220622'!AW117),"")</f>
        <v/>
      </c>
      <c r="AU113" t="str">
        <f>IF('TRACKER - 20220622'!AX117&lt;&gt;"",UPPER('TRACKER - 20220622'!AX117),"")</f>
        <v>REASON117</v>
      </c>
      <c r="AV113" t="str">
        <f>IF('TRACKER - 20220622'!BD132&lt;&gt;"",'TRACKER - 20220622'!BD132,"")</f>
        <v/>
      </c>
      <c r="AW113" t="str">
        <f>IF('TRACKER - 20220622'!BE132&lt;&gt;"",'TRACKER - 20220622'!BE132,"")</f>
        <v/>
      </c>
      <c r="AX113" t="str">
        <f>IF('TRACKER - 20220622'!BF132&lt;&gt;"",'TRACKER - 20220622'!BF132,"")</f>
        <v/>
      </c>
      <c r="AY113" t="str">
        <f>IF('TRACKER - 20220622'!BG132&lt;&gt;"",'TRACKER - 20220622'!BG132,"")</f>
        <v/>
      </c>
      <c r="AZ113" t="str">
        <f>IF('TRACKER - 20220622'!BH132&lt;&gt;"",'TRACKER - 20220622'!BH132,"")</f>
        <v/>
      </c>
      <c r="BA113" t="str">
        <f>IF('TRACKER - 20220622'!BI132&lt;&gt;"",'TRACKER - 20220622'!BI132,"")</f>
        <v/>
      </c>
      <c r="BB113" t="str">
        <f>IF('TRACKER - 20220622'!BJ132&lt;&gt;"",'TRACKER - 20220622'!BJ132,"")</f>
        <v/>
      </c>
      <c r="BC113" t="str">
        <f>IF('TRACKER - 20220622'!BK132&lt;&gt;"",'TRACKER - 20220622'!BK132,"")</f>
        <v/>
      </c>
      <c r="BD113" t="str">
        <f>IF('TRACKER - 20220622'!BL132&lt;&gt;"",'TRACKER - 20220622'!BL132,"")</f>
        <v/>
      </c>
      <c r="BE113" t="str">
        <f>IF('TRACKER - 20220622'!BM132&lt;&gt;"",'TRACKER - 20220622'!BM132,"")</f>
        <v/>
      </c>
      <c r="BF113" t="str">
        <f>IF('TRACKER - 20220622'!BN132&lt;&gt;"",'TRACKER - 20220622'!BN132,"")</f>
        <v/>
      </c>
      <c r="BG113" t="str">
        <f>IF('TRACKER - 20220622'!BO132&lt;&gt;"",'TRACKER - 20220622'!BO132,"")</f>
        <v/>
      </c>
    </row>
    <row r="114" spans="1:59">
      <c r="A114" t="str">
        <f>IF('TRACKER - 20220622'!A133&lt;&gt;"",UPPER('TRACKER - 20220622'!A133),"")</f>
        <v>PRODUCT BACKLOG</v>
      </c>
      <c r="B114" t="str">
        <f>IF('TRACKER - 20220622'!B133&lt;&gt;"",UPPER('TRACKER - 20220622'!B133),"")</f>
        <v>N</v>
      </c>
      <c r="C114" t="str">
        <f>IF('TRACKER - 20220622'!D118&lt;&gt;"",UPPER('TRACKER - 20220622'!D118),"")</f>
        <v>33673</v>
      </c>
      <c r="D114" t="str">
        <f>IF('TRACKER - 20220622'!F133&lt;&gt;"",UPPER('TRACKER - 20220622'!F133),"")</f>
        <v>PRD-BLG-2020-00009</v>
      </c>
      <c r="E114" t="str">
        <f>IF('TRACKER - 20220622'!H133&lt;&gt;"",'TRACKER - 20220622'!H133,"")</f>
        <v>AM - IM at Counterparty Group Level</v>
      </c>
      <c r="F114" t="str">
        <f t="shared" si="2"/>
        <v>PRD-BLG-2020-00009 AM - IM at Counterparty Group Level</v>
      </c>
      <c r="G114" t="str">
        <f t="shared" si="3"/>
        <v>33673 - AM - IM at Counterparty Group Level</v>
      </c>
      <c r="H114">
        <f>IF('TRACKER - 20220622'!J133&lt;&gt;"",'TRACKER - 20220622'!J133,"")</f>
        <v>0</v>
      </c>
      <c r="I114" t="str">
        <f>IF('TRACKER - 20220622'!K118&lt;&gt;"",UPPER('TRACKER - 20220622'!K118),"")</f>
        <v>44152</v>
      </c>
      <c r="J114" t="str">
        <f>IF('TRACKER - 20220622'!L118&lt;&gt;"",UPPER('TRACKER - 20220622'!L118),"")</f>
        <v>44098</v>
      </c>
      <c r="K114" t="str">
        <f>IF('TRACKER - 20220622'!M118&lt;&gt;"",UPPER('TRACKER - 20220622'!M118),"")</f>
        <v/>
      </c>
      <c r="L114" t="str">
        <f>IF('TRACKER - 20220622'!N118&lt;&gt;"",UPPER('TRACKER - 20220622'!N118),"")</f>
        <v/>
      </c>
      <c r="M114" t="str">
        <f>IF('TRACKER - 20220622'!O118&lt;&gt;"",UPPER('TRACKER - 20220622'!O118),"")</f>
        <v/>
      </c>
      <c r="N114" t="str">
        <f>IF('TRACKER - 20220622'!P118&lt;&gt;"",UPPER('TRACKER - 20220622'!P118),"")</f>
        <v/>
      </c>
      <c r="O114" t="str">
        <f>IF('TRACKER - 20220622'!Q118&lt;&gt;"",UPPER('TRACKER - 20220622'!Q118),"")</f>
        <v>UNCATEGORISED</v>
      </c>
      <c r="P114" t="str">
        <f>IF('TRACKER - 20220622'!R118&lt;&gt;"",UPPER('TRACKER - 20220622'!R118),"")</f>
        <v>PROSPECT</v>
      </c>
      <c r="Q114" t="str">
        <f>IF('TRACKER - 20220622'!S118&lt;&gt;"",UPPER('TRACKER - 20220622'!S118),"")</f>
        <v/>
      </c>
      <c r="R114" t="str">
        <f>IF('TRACKER - 20220622'!T118&lt;&gt;"",UPPER('TRACKER - 20220622'!T118),"")</f>
        <v/>
      </c>
      <c r="S114" t="str">
        <f>IF('TRACKER - 20220622'!U118&lt;&gt;"",UPPER('TRACKER - 20220622'!U118),"")</f>
        <v/>
      </c>
      <c r="T114" t="str">
        <f>IF('TRACKER - 20220622'!V118&lt;&gt;"",UPPER('TRACKER - 20220622'!V118),"")</f>
        <v/>
      </c>
      <c r="U114" t="str">
        <f>IF('TRACKER - 20220622'!W118&lt;&gt;"",UPPER('TRACKER - 20220622'!W118),"")</f>
        <v/>
      </c>
      <c r="V114" t="str">
        <f>IF('TRACKER - 20220622'!X118&lt;&gt;"",UPPER('TRACKER - 20220622'!X118),"")</f>
        <v>17/11/20 - CLOSED BC HAVE  NOT PROCEEDED. BESPOKE REQ - NOT SELECTED FOR BACKLOG.</v>
      </c>
      <c r="W114" t="str">
        <f>IF('TRACKER - 20220622'!Y118&lt;&gt;"",UPPER('TRACKER - 20220622'!Y118),"")</f>
        <v>0</v>
      </c>
      <c r="X114" t="str">
        <f>IF('TRACKER - 20220622'!Z118&lt;&gt;"",UPPER('TRACKER - 20220622'!Z118),"")</f>
        <v>0</v>
      </c>
      <c r="Y114" t="str">
        <f>IF('TRACKER - 20220622'!AA118&lt;&gt;"",UPPER('TRACKER - 20220622'!AA118),"")</f>
        <v>0</v>
      </c>
      <c r="Z114" t="str">
        <f>IF('TRACKER - 20220622'!AB118&lt;&gt;"",UPPER('TRACKER - 20220622'!AB118),"")</f>
        <v>0</v>
      </c>
      <c r="AA114" t="str">
        <f>IF('TRACKER - 20220622'!AC118&lt;&gt;"",UPPER('TRACKER - 20220622'!AC118),"")</f>
        <v>0</v>
      </c>
      <c r="AB114" t="str">
        <f>IF('TRACKER - 20220622'!AE118&lt;&gt;"",UPPER('TRACKER - 20220622'!AE118),"")</f>
        <v>0</v>
      </c>
      <c r="AC114" t="str">
        <f>IF('TRACKER - 20220622'!AF118&lt;&gt;"",UPPER('TRACKER - 20220622'!AF118),"")</f>
        <v>0</v>
      </c>
      <c r="AD114" t="str">
        <f>IF('TRACKER - 20220622'!AG118&lt;&gt;"",UPPER('TRACKER - 20220622'!AG118),"")</f>
        <v>0</v>
      </c>
      <c r="AE114" t="str">
        <f>IF('TRACKER - 20220622'!AH118&lt;&gt;"",UPPER('TRACKER - 20220622'!AH118),"")</f>
        <v>-150</v>
      </c>
      <c r="AF114" t="str">
        <f>IF('TRACKER - 20220622'!AI118&lt;&gt;"",UPPER('TRACKER - 20220622'!AI118),"")</f>
        <v/>
      </c>
      <c r="AG114" t="str">
        <f>IF('TRACKER - 20220622'!AJ118&lt;&gt;"",UPPER('TRACKER - 20220622'!AJ118),"")</f>
        <v>0</v>
      </c>
      <c r="AH114" t="str">
        <f>IF('TRACKER - 20220622'!AK118&lt;&gt;"",UPPER('TRACKER - 20220622'!AK118),"")</f>
        <v/>
      </c>
      <c r="AI114" t="str">
        <f>IF('TRACKER - 20220622'!AL118&lt;&gt;"",UPPER('TRACKER - 20220622'!AL118),"")</f>
        <v>0</v>
      </c>
      <c r="AJ114" t="str">
        <f>IF('TRACKER - 20220622'!AM118&lt;&gt;"",UPPER('TRACKER - 20220622'!AM118),"")</f>
        <v>0</v>
      </c>
      <c r="AK114" t="str">
        <f>IF('TRACKER - 20220622'!AN118&lt;&gt;"",UPPER('TRACKER - 20220622'!AN118),"")</f>
        <v/>
      </c>
      <c r="AL114" t="str">
        <f>IF('TRACKER - 20220622'!AO118&lt;&gt;"",UPPER('TRACKER - 20220622'!AO118),"")</f>
        <v>0</v>
      </c>
      <c r="AM114" t="str">
        <f>IF('TRACKER - 20220622'!AP118&lt;&gt;"",UPPER('TRACKER - 20220622'!AP118),"")</f>
        <v>0</v>
      </c>
      <c r="AN114" t="str">
        <f>IF('TRACKER - 20220622'!AQ118&lt;&gt;"",UPPER('TRACKER - 20220622'!AQ118),"")</f>
        <v>0</v>
      </c>
      <c r="AO114" t="str">
        <f>IF('TRACKER - 20220622'!AR118&lt;&gt;"",UPPER('TRACKER - 20220622'!AR118),"")</f>
        <v>PRD</v>
      </c>
      <c r="AP114" t="str">
        <f>IF('TRACKER - 20220622'!AS118&lt;&gt;"",UPPER('TRACKER - 20220622'!AS118),"")</f>
        <v>BLG</v>
      </c>
      <c r="AQ114" t="str">
        <f>IF('TRACKER - 20220622'!AT118&lt;&gt;"",UPPER('TRACKER - 20220622'!AT118),"")</f>
        <v>N</v>
      </c>
      <c r="AR114" t="str">
        <f>IF('TRACKER - 20220622'!AU118&lt;&gt;"",UPPER('TRACKER - 20220622'!AU118),"")</f>
        <v>-150</v>
      </c>
      <c r="AS114" t="str">
        <f>IF('TRACKER - 20220622'!AV118&lt;&gt;"",UPPER('TRACKER - 20220622'!AV118),"")</f>
        <v/>
      </c>
      <c r="AT114" t="str">
        <f>IF('TRACKER - 20220622'!AW118&lt;&gt;"",UPPER('TRACKER - 20220622'!AW118),"")</f>
        <v/>
      </c>
      <c r="AU114" t="str">
        <f>IF('TRACKER - 20220622'!AX118&lt;&gt;"",UPPER('TRACKER - 20220622'!AX118),"")</f>
        <v>REASON118</v>
      </c>
      <c r="AV114" t="str">
        <f>IF('TRACKER - 20220622'!BD133&lt;&gt;"",'TRACKER - 20220622'!BD133,"")</f>
        <v/>
      </c>
      <c r="AW114" t="str">
        <f>IF('TRACKER - 20220622'!BE133&lt;&gt;"",'TRACKER - 20220622'!BE133,"")</f>
        <v/>
      </c>
      <c r="AX114" t="str">
        <f>IF('TRACKER - 20220622'!BF133&lt;&gt;"",'TRACKER - 20220622'!BF133,"")</f>
        <v/>
      </c>
      <c r="AY114" t="str">
        <f>IF('TRACKER - 20220622'!BG133&lt;&gt;"",'TRACKER - 20220622'!BG133,"")</f>
        <v/>
      </c>
      <c r="AZ114" t="str">
        <f>IF('TRACKER - 20220622'!BH133&lt;&gt;"",'TRACKER - 20220622'!BH133,"")</f>
        <v/>
      </c>
      <c r="BA114" t="str">
        <f>IF('TRACKER - 20220622'!BI133&lt;&gt;"",'TRACKER - 20220622'!BI133,"")</f>
        <v/>
      </c>
      <c r="BB114" t="str">
        <f>IF('TRACKER - 20220622'!BJ133&lt;&gt;"",'TRACKER - 20220622'!BJ133,"")</f>
        <v/>
      </c>
      <c r="BC114" t="str">
        <f>IF('TRACKER - 20220622'!BK133&lt;&gt;"",'TRACKER - 20220622'!BK133,"")</f>
        <v/>
      </c>
      <c r="BD114" t="str">
        <f>IF('TRACKER - 20220622'!BL133&lt;&gt;"",'TRACKER - 20220622'!BL133,"")</f>
        <v/>
      </c>
      <c r="BE114" t="str">
        <f>IF('TRACKER - 20220622'!BM133&lt;&gt;"",'TRACKER - 20220622'!BM133,"")</f>
        <v/>
      </c>
      <c r="BF114" t="str">
        <f>IF('TRACKER - 20220622'!BN133&lt;&gt;"",'TRACKER - 20220622'!BN133,"")</f>
        <v/>
      </c>
      <c r="BG114" t="str">
        <f>IF('TRACKER - 20220622'!BO133&lt;&gt;"",'TRACKER - 20220622'!BO133,"")</f>
        <v/>
      </c>
    </row>
    <row r="115" spans="1:59">
      <c r="A115" t="str">
        <f>IF('TRACKER - 20220622'!A134&lt;&gt;"",UPPER('TRACKER - 20220622'!A134),"")</f>
        <v>PRODUCT BACKLOG</v>
      </c>
      <c r="B115" t="str">
        <f>IF('TRACKER - 20220622'!B134&lt;&gt;"",UPPER('TRACKER - 20220622'!B134),"")</f>
        <v>N</v>
      </c>
      <c r="C115" t="str">
        <f>IF('TRACKER - 20220622'!D119&lt;&gt;"",UPPER('TRACKER - 20220622'!D119),"")</f>
        <v>1</v>
      </c>
      <c r="D115" t="str">
        <f>IF('TRACKER - 20220622'!F134&lt;&gt;"",UPPER('TRACKER - 20220622'!F134),"")</f>
        <v>PRD-BLG-2020-00010</v>
      </c>
      <c r="E115" t="str">
        <f>IF('TRACKER - 20220622'!H134&lt;&gt;"",'TRACKER - 20220622'!H134,"")</f>
        <v>AM - Automated Call Notifications</v>
      </c>
      <c r="F115" t="str">
        <f t="shared" si="2"/>
        <v>PRD-BLG-2020-00010 AM - Automated Call Notifications</v>
      </c>
      <c r="G115" t="str">
        <f t="shared" si="3"/>
        <v>00001 - AM - Automated Call Notifications</v>
      </c>
      <c r="H115">
        <f>IF('TRACKER - 20220622'!J134&lt;&gt;"",'TRACKER - 20220622'!J134,"")</f>
        <v>0</v>
      </c>
      <c r="I115" t="str">
        <f>IF('TRACKER - 20220622'!K119&lt;&gt;"",UPPER('TRACKER - 20220622'!K119),"")</f>
        <v>44114</v>
      </c>
      <c r="J115" t="str">
        <f>IF('TRACKER - 20220622'!L119&lt;&gt;"",UPPER('TRACKER - 20220622'!L119),"")</f>
        <v>44114</v>
      </c>
      <c r="K115" t="str">
        <f>IF('TRACKER - 20220622'!M119&lt;&gt;"",UPPER('TRACKER - 20220622'!M119),"")</f>
        <v/>
      </c>
      <c r="L115" t="str">
        <f>IF('TRACKER - 20220622'!N119&lt;&gt;"",UPPER('TRACKER - 20220622'!N119),"")</f>
        <v/>
      </c>
      <c r="M115" t="str">
        <f>IF('TRACKER - 20220622'!O119&lt;&gt;"",UPPER('TRACKER - 20220622'!O119),"")</f>
        <v/>
      </c>
      <c r="N115" t="str">
        <f>IF('TRACKER - 20220622'!P119&lt;&gt;"",UPPER('TRACKER - 20220622'!P119),"")</f>
        <v/>
      </c>
      <c r="O115" t="str">
        <f>IF('TRACKER - 20220622'!Q119&lt;&gt;"",UPPER('TRACKER - 20220622'!Q119),"")</f>
        <v>PLATFORM</v>
      </c>
      <c r="P115" t="str">
        <f>IF('TRACKER - 20220622'!R119&lt;&gt;"",UPPER('TRACKER - 20220622'!R119),"")</f>
        <v>PROSPECT</v>
      </c>
      <c r="Q115" t="str">
        <f>IF('TRACKER - 20220622'!S119&lt;&gt;"",UPPER('TRACKER - 20220622'!S119),"")</f>
        <v/>
      </c>
      <c r="R115" t="str">
        <f>IF('TRACKER - 20220622'!T119&lt;&gt;"",UPPER('TRACKER - 20220622'!T119),"")</f>
        <v/>
      </c>
      <c r="S115" t="str">
        <f>IF('TRACKER - 20220622'!U119&lt;&gt;"",UPPER('TRACKER - 20220622'!U119),"")</f>
        <v/>
      </c>
      <c r="T115" t="str">
        <f>IF('TRACKER - 20220622'!V119&lt;&gt;"",UPPER('TRACKER - 20220622'!V119),"")</f>
        <v/>
      </c>
      <c r="U115" t="str">
        <f>IF('TRACKER - 20220622'!W119&lt;&gt;"",UPPER('TRACKER - 20220622'!W119),"")</f>
        <v/>
      </c>
      <c r="V115" t="str">
        <f>IF('TRACKER - 20220622'!X119&lt;&gt;"",UPPER('TRACKER - 20220622'!X119),"")</f>
        <v>RAISED AS PART OF BCMOF RFP</v>
      </c>
      <c r="W115" t="str">
        <f>IF('TRACKER - 20220622'!Y119&lt;&gt;"",UPPER('TRACKER - 20220622'!Y119),"")</f>
        <v>0</v>
      </c>
      <c r="X115" t="str">
        <f>IF('TRACKER - 20220622'!Z119&lt;&gt;"",UPPER('TRACKER - 20220622'!Z119),"")</f>
        <v>0</v>
      </c>
      <c r="Y115" t="str">
        <f>IF('TRACKER - 20220622'!AA119&lt;&gt;"",UPPER('TRACKER - 20220622'!AA119),"")</f>
        <v>0</v>
      </c>
      <c r="Z115" t="str">
        <f>IF('TRACKER - 20220622'!AB119&lt;&gt;"",UPPER('TRACKER - 20220622'!AB119),"")</f>
        <v>0</v>
      </c>
      <c r="AA115" t="str">
        <f>IF('TRACKER - 20220622'!AC119&lt;&gt;"",UPPER('TRACKER - 20220622'!AC119),"")</f>
        <v>0</v>
      </c>
      <c r="AB115" t="str">
        <f>IF('TRACKER - 20220622'!AE119&lt;&gt;"",UPPER('TRACKER - 20220622'!AE119),"")</f>
        <v>0</v>
      </c>
      <c r="AC115" t="str">
        <f>IF('TRACKER - 20220622'!AF119&lt;&gt;"",UPPER('TRACKER - 20220622'!AF119),"")</f>
        <v>0</v>
      </c>
      <c r="AD115" t="str">
        <f>IF('TRACKER - 20220622'!AG119&lt;&gt;"",UPPER('TRACKER - 20220622'!AG119),"")</f>
        <v>0</v>
      </c>
      <c r="AE115" t="str">
        <f>IF('TRACKER - 20220622'!AH119&lt;&gt;"",UPPER('TRACKER - 20220622'!AH119),"")</f>
        <v>-150</v>
      </c>
      <c r="AF115" t="str">
        <f>IF('TRACKER - 20220622'!AI119&lt;&gt;"",UPPER('TRACKER - 20220622'!AI119),"")</f>
        <v/>
      </c>
      <c r="AG115" t="str">
        <f>IF('TRACKER - 20220622'!AJ119&lt;&gt;"",UPPER('TRACKER - 20220622'!AJ119),"")</f>
        <v>0</v>
      </c>
      <c r="AH115" t="str">
        <f>IF('TRACKER - 20220622'!AK119&lt;&gt;"",UPPER('TRACKER - 20220622'!AK119),"")</f>
        <v/>
      </c>
      <c r="AI115" t="str">
        <f>IF('TRACKER - 20220622'!AL119&lt;&gt;"",UPPER('TRACKER - 20220622'!AL119),"")</f>
        <v>0</v>
      </c>
      <c r="AJ115" t="str">
        <f>IF('TRACKER - 20220622'!AM119&lt;&gt;"",UPPER('TRACKER - 20220622'!AM119),"")</f>
        <v>0</v>
      </c>
      <c r="AK115" t="str">
        <f>IF('TRACKER - 20220622'!AN119&lt;&gt;"",UPPER('TRACKER - 20220622'!AN119),"")</f>
        <v/>
      </c>
      <c r="AL115" t="str">
        <f>IF('TRACKER - 20220622'!AO119&lt;&gt;"",UPPER('TRACKER - 20220622'!AO119),"")</f>
        <v>0</v>
      </c>
      <c r="AM115" t="str">
        <f>IF('TRACKER - 20220622'!AP119&lt;&gt;"",UPPER('TRACKER - 20220622'!AP119),"")</f>
        <v>0</v>
      </c>
      <c r="AN115" t="str">
        <f>IF('TRACKER - 20220622'!AQ119&lt;&gt;"",UPPER('TRACKER - 20220622'!AQ119),"")</f>
        <v>0</v>
      </c>
      <c r="AO115" t="str">
        <f>IF('TRACKER - 20220622'!AR119&lt;&gt;"",UPPER('TRACKER - 20220622'!AR119),"")</f>
        <v>PRD</v>
      </c>
      <c r="AP115" t="str">
        <f>IF('TRACKER - 20220622'!AS119&lt;&gt;"",UPPER('TRACKER - 20220622'!AS119),"")</f>
        <v>BLG</v>
      </c>
      <c r="AQ115" t="str">
        <f>IF('TRACKER - 20220622'!AT119&lt;&gt;"",UPPER('TRACKER - 20220622'!AT119),"")</f>
        <v>N</v>
      </c>
      <c r="AR115" t="str">
        <f>IF('TRACKER - 20220622'!AU119&lt;&gt;"",UPPER('TRACKER - 20220622'!AU119),"")</f>
        <v>-150</v>
      </c>
      <c r="AS115" t="str">
        <f>IF('TRACKER - 20220622'!AV119&lt;&gt;"",UPPER('TRACKER - 20220622'!AV119),"")</f>
        <v/>
      </c>
      <c r="AT115" t="str">
        <f>IF('TRACKER - 20220622'!AW119&lt;&gt;"",UPPER('TRACKER - 20220622'!AW119),"")</f>
        <v/>
      </c>
      <c r="AU115" t="str">
        <f>IF('TRACKER - 20220622'!AX119&lt;&gt;"",UPPER('TRACKER - 20220622'!AX119),"")</f>
        <v>REASON119</v>
      </c>
      <c r="AV115" t="str">
        <f>IF('TRACKER - 20220622'!BD134&lt;&gt;"",'TRACKER - 20220622'!BD134,"")</f>
        <v/>
      </c>
      <c r="AW115" t="str">
        <f>IF('TRACKER - 20220622'!BE134&lt;&gt;"",'TRACKER - 20220622'!BE134,"")</f>
        <v/>
      </c>
      <c r="AX115" t="str">
        <f>IF('TRACKER - 20220622'!BF134&lt;&gt;"",'TRACKER - 20220622'!BF134,"")</f>
        <v/>
      </c>
      <c r="AY115" t="str">
        <f>IF('TRACKER - 20220622'!BG134&lt;&gt;"",'TRACKER - 20220622'!BG134,"")</f>
        <v/>
      </c>
      <c r="AZ115" t="str">
        <f>IF('TRACKER - 20220622'!BH134&lt;&gt;"",'TRACKER - 20220622'!BH134,"")</f>
        <v/>
      </c>
      <c r="BA115" t="str">
        <f>IF('TRACKER - 20220622'!BI134&lt;&gt;"",'TRACKER - 20220622'!BI134,"")</f>
        <v/>
      </c>
      <c r="BB115" t="str">
        <f>IF('TRACKER - 20220622'!BJ134&lt;&gt;"",'TRACKER - 20220622'!BJ134,"")</f>
        <v/>
      </c>
      <c r="BC115" t="str">
        <f>IF('TRACKER - 20220622'!BK134&lt;&gt;"",'TRACKER - 20220622'!BK134,"")</f>
        <v/>
      </c>
      <c r="BD115" t="str">
        <f>IF('TRACKER - 20220622'!BL134&lt;&gt;"",'TRACKER - 20220622'!BL134,"")</f>
        <v/>
      </c>
      <c r="BE115" t="str">
        <f>IF('TRACKER - 20220622'!BM134&lt;&gt;"",'TRACKER - 20220622'!BM134,"")</f>
        <v/>
      </c>
      <c r="BF115" t="str">
        <f>IF('TRACKER - 20220622'!BN134&lt;&gt;"",'TRACKER - 20220622'!BN134,"")</f>
        <v/>
      </c>
      <c r="BG115" t="str">
        <f>IF('TRACKER - 20220622'!BO134&lt;&gt;"",'TRACKER - 20220622'!BO134,"")</f>
        <v/>
      </c>
    </row>
    <row r="116" spans="1:59">
      <c r="A116" t="str">
        <f>IF('TRACKER - 20220622'!A135&lt;&gt;"",UPPER('TRACKER - 20220622'!A135),"")</f>
        <v>PRODUCT BACKLOG</v>
      </c>
      <c r="B116" t="str">
        <f>IF('TRACKER - 20220622'!B135&lt;&gt;"",UPPER('TRACKER - 20220622'!B135),"")</f>
        <v>N</v>
      </c>
      <c r="C116" t="str">
        <f>IF('TRACKER - 20220622'!D120&lt;&gt;"",UPPER('TRACKER - 20220622'!D120),"")</f>
        <v>1</v>
      </c>
      <c r="D116" t="str">
        <f>IF('TRACKER - 20220622'!F135&lt;&gt;"",UPPER('TRACKER - 20220622'!F135),"")</f>
        <v>PRD-BLG-2021-00007</v>
      </c>
      <c r="E116" t="str">
        <f>IF('TRACKER - 20220622'!H135&lt;&gt;"",'TRACKER - 20220622'!H135,"")</f>
        <v>BT Radianz POC</v>
      </c>
      <c r="F116" t="str">
        <f t="shared" si="2"/>
        <v>PRD-BLG-2021-00007 BT Radianz POC</v>
      </c>
      <c r="G116" t="str">
        <f t="shared" si="3"/>
        <v>00001 - BT Radianz POC</v>
      </c>
      <c r="H116">
        <f>IF('TRACKER - 20220622'!J135&lt;&gt;"",'TRACKER - 20220622'!J135,"")</f>
        <v>-5625</v>
      </c>
      <c r="I116" t="str">
        <f>IF('TRACKER - 20220622'!K120&lt;&gt;"",UPPER('TRACKER - 20220622'!K120),"")</f>
        <v>44201</v>
      </c>
      <c r="J116" t="str">
        <f>IF('TRACKER - 20220622'!L120&lt;&gt;"",UPPER('TRACKER - 20220622'!L120),"")</f>
        <v>44201</v>
      </c>
      <c r="K116" t="str">
        <f>IF('TRACKER - 20220622'!M120&lt;&gt;"",UPPER('TRACKER - 20220622'!M120),"")</f>
        <v/>
      </c>
      <c r="L116" t="str">
        <f>IF('TRACKER - 20220622'!N120&lt;&gt;"",UPPER('TRACKER - 20220622'!N120),"")</f>
        <v/>
      </c>
      <c r="M116" t="str">
        <f>IF('TRACKER - 20220622'!O120&lt;&gt;"",UPPER('TRACKER - 20220622'!O120),"")</f>
        <v/>
      </c>
      <c r="N116" t="str">
        <f>IF('TRACKER - 20220622'!P120&lt;&gt;"",UPPER('TRACKER - 20220622'!P120),"")</f>
        <v/>
      </c>
      <c r="O116" t="str">
        <f>IF('TRACKER - 20220622'!Q120&lt;&gt;"",UPPER('TRACKER - 20220622'!Q120),"")</f>
        <v>REGULATORY</v>
      </c>
      <c r="P116" t="str">
        <f>IF('TRACKER - 20220622'!R120&lt;&gt;"",UPPER('TRACKER - 20220622'!R120),"")</f>
        <v>PROSPECT</v>
      </c>
      <c r="Q116" t="str">
        <f>IF('TRACKER - 20220622'!S120&lt;&gt;"",UPPER('TRACKER - 20220622'!S120),"")</f>
        <v/>
      </c>
      <c r="R116" t="str">
        <f>IF('TRACKER - 20220622'!T120&lt;&gt;"",UPPER('TRACKER - 20220622'!T120),"")</f>
        <v/>
      </c>
      <c r="S116" t="str">
        <f>IF('TRACKER - 20220622'!U120&lt;&gt;"",UPPER('TRACKER - 20220622'!U120),"")</f>
        <v/>
      </c>
      <c r="T116" t="str">
        <f>IF('TRACKER - 20220622'!V120&lt;&gt;"",UPPER('TRACKER - 20220622'!V120),"")</f>
        <v/>
      </c>
      <c r="U116" t="str">
        <f>IF('TRACKER - 20220622'!W120&lt;&gt;"",UPPER('TRACKER - 20220622'!W120),"")</f>
        <v/>
      </c>
      <c r="V116" t="str">
        <f>IF('TRACKER - 20220622'!X120&lt;&gt;"",UPPER('TRACKER - 20220622'!X120),"")</f>
        <v>05/01/21 - RAISED FROM CALL WITH MONEYBOX - AFFECTS INVESTMENT FIRMS "BUY-SIDE".</v>
      </c>
      <c r="W116" t="str">
        <f>IF('TRACKER - 20220622'!Y120&lt;&gt;"",UPPER('TRACKER - 20220622'!Y120),"")</f>
        <v>0</v>
      </c>
      <c r="X116" t="str">
        <f>IF('TRACKER - 20220622'!Z120&lt;&gt;"",UPPER('TRACKER - 20220622'!Z120),"")</f>
        <v>0</v>
      </c>
      <c r="Y116" t="str">
        <f>IF('TRACKER - 20220622'!AA120&lt;&gt;"",UPPER('TRACKER - 20220622'!AA120),"")</f>
        <v>0</v>
      </c>
      <c r="Z116" t="str">
        <f>IF('TRACKER - 20220622'!AB120&lt;&gt;"",UPPER('TRACKER - 20220622'!AB120),"")</f>
        <v>0</v>
      </c>
      <c r="AA116" t="str">
        <f>IF('TRACKER - 20220622'!AC120&lt;&gt;"",UPPER('TRACKER - 20220622'!AC120),"")</f>
        <v>0</v>
      </c>
      <c r="AB116" t="str">
        <f>IF('TRACKER - 20220622'!AE120&lt;&gt;"",UPPER('TRACKER - 20220622'!AE120),"")</f>
        <v>0</v>
      </c>
      <c r="AC116" t="str">
        <f>IF('TRACKER - 20220622'!AF120&lt;&gt;"",UPPER('TRACKER - 20220622'!AF120),"")</f>
        <v>0</v>
      </c>
      <c r="AD116" t="str">
        <f>IF('TRACKER - 20220622'!AG120&lt;&gt;"",UPPER('TRACKER - 20220622'!AG120),"")</f>
        <v>0</v>
      </c>
      <c r="AE116" t="str">
        <f>IF('TRACKER - 20220622'!AH120&lt;&gt;"",UPPER('TRACKER - 20220622'!AH120),"")</f>
        <v>-150</v>
      </c>
      <c r="AF116" t="str">
        <f>IF('TRACKER - 20220622'!AI120&lt;&gt;"",UPPER('TRACKER - 20220622'!AI120),"")</f>
        <v/>
      </c>
      <c r="AG116" t="str">
        <f>IF('TRACKER - 20220622'!AJ120&lt;&gt;"",UPPER('TRACKER - 20220622'!AJ120),"")</f>
        <v>0</v>
      </c>
      <c r="AH116" t="str">
        <f>IF('TRACKER - 20220622'!AK120&lt;&gt;"",UPPER('TRACKER - 20220622'!AK120),"")</f>
        <v/>
      </c>
      <c r="AI116" t="str">
        <f>IF('TRACKER - 20220622'!AL120&lt;&gt;"",UPPER('TRACKER - 20220622'!AL120),"")</f>
        <v>0</v>
      </c>
      <c r="AJ116" t="str">
        <f>IF('TRACKER - 20220622'!AM120&lt;&gt;"",UPPER('TRACKER - 20220622'!AM120),"")</f>
        <v>0</v>
      </c>
      <c r="AK116" t="str">
        <f>IF('TRACKER - 20220622'!AN120&lt;&gt;"",UPPER('TRACKER - 20220622'!AN120),"")</f>
        <v/>
      </c>
      <c r="AL116" t="str">
        <f>IF('TRACKER - 20220622'!AO120&lt;&gt;"",UPPER('TRACKER - 20220622'!AO120),"")</f>
        <v>0</v>
      </c>
      <c r="AM116" t="str">
        <f>IF('TRACKER - 20220622'!AP120&lt;&gt;"",UPPER('TRACKER - 20220622'!AP120),"")</f>
        <v>0</v>
      </c>
      <c r="AN116" t="str">
        <f>IF('TRACKER - 20220622'!AQ120&lt;&gt;"",UPPER('TRACKER - 20220622'!AQ120),"")</f>
        <v>0</v>
      </c>
      <c r="AO116" t="str">
        <f>IF('TRACKER - 20220622'!AR120&lt;&gt;"",UPPER('TRACKER - 20220622'!AR120),"")</f>
        <v>PRD</v>
      </c>
      <c r="AP116" t="str">
        <f>IF('TRACKER - 20220622'!AS120&lt;&gt;"",UPPER('TRACKER - 20220622'!AS120),"")</f>
        <v>BLG</v>
      </c>
      <c r="AQ116" t="str">
        <f>IF('TRACKER - 20220622'!AT120&lt;&gt;"",UPPER('TRACKER - 20220622'!AT120),"")</f>
        <v>N</v>
      </c>
      <c r="AR116" t="str">
        <f>IF('TRACKER - 20220622'!AU120&lt;&gt;"",UPPER('TRACKER - 20220622'!AU120),"")</f>
        <v>-150</v>
      </c>
      <c r="AS116" t="str">
        <f>IF('TRACKER - 20220622'!AV120&lt;&gt;"",UPPER('TRACKER - 20220622'!AV120),"")</f>
        <v/>
      </c>
      <c r="AT116" t="str">
        <f>IF('TRACKER - 20220622'!AW120&lt;&gt;"",UPPER('TRACKER - 20220622'!AW120),"")</f>
        <v/>
      </c>
      <c r="AU116" t="str">
        <f>IF('TRACKER - 20220622'!AX120&lt;&gt;"",UPPER('TRACKER - 20220622'!AX120),"")</f>
        <v>REASON120</v>
      </c>
      <c r="AV116" t="str">
        <f>IF('TRACKER - 20220622'!BD135&lt;&gt;"",'TRACKER - 20220622'!BD135,"")</f>
        <v/>
      </c>
      <c r="AW116" t="str">
        <f>IF('TRACKER - 20220622'!BE135&lt;&gt;"",'TRACKER - 20220622'!BE135,"")</f>
        <v/>
      </c>
      <c r="AX116" t="str">
        <f>IF('TRACKER - 20220622'!BF135&lt;&gt;"",'TRACKER - 20220622'!BF135,"")</f>
        <v/>
      </c>
      <c r="AY116" t="str">
        <f>IF('TRACKER - 20220622'!BG135&lt;&gt;"",'TRACKER - 20220622'!BG135,"")</f>
        <v/>
      </c>
      <c r="AZ116" t="str">
        <f>IF('TRACKER - 20220622'!BH135&lt;&gt;"",'TRACKER - 20220622'!BH135,"")</f>
        <v/>
      </c>
      <c r="BA116" t="str">
        <f>IF('TRACKER - 20220622'!BI135&lt;&gt;"",'TRACKER - 20220622'!BI135,"")</f>
        <v/>
      </c>
      <c r="BB116" t="str">
        <f>IF('TRACKER - 20220622'!BJ135&lt;&gt;"",'TRACKER - 20220622'!BJ135,"")</f>
        <v/>
      </c>
      <c r="BC116" t="str">
        <f>IF('TRACKER - 20220622'!BK135&lt;&gt;"",'TRACKER - 20220622'!BK135,"")</f>
        <v/>
      </c>
      <c r="BD116" t="str">
        <f>IF('TRACKER - 20220622'!BL135&lt;&gt;"",'TRACKER - 20220622'!BL135,"")</f>
        <v/>
      </c>
      <c r="BE116" t="str">
        <f>IF('TRACKER - 20220622'!BM135&lt;&gt;"",'TRACKER - 20220622'!BM135,"")</f>
        <v/>
      </c>
      <c r="BF116" t="str">
        <f>IF('TRACKER - 20220622'!BN135&lt;&gt;"",'TRACKER - 20220622'!BN135,"")</f>
        <v/>
      </c>
      <c r="BG116" t="str">
        <f>IF('TRACKER - 20220622'!BO135&lt;&gt;"",'TRACKER - 20220622'!BO135,"")</f>
        <v/>
      </c>
    </row>
    <row r="117" spans="1:59">
      <c r="A117" t="str">
        <f>IF('TRACKER - 20220622'!A136&lt;&gt;"",UPPER('TRACKER - 20220622'!A136),"")</f>
        <v>RAND MERCHANT BANK</v>
      </c>
      <c r="B117" t="str">
        <f>IF('TRACKER - 20220622'!B136&lt;&gt;"",UPPER('TRACKER - 20220622'!B136),"")</f>
        <v>Y</v>
      </c>
      <c r="C117" t="str">
        <f>IF('TRACKER - 20220622'!D121&lt;&gt;"",UPPER('TRACKER - 20220622'!D121),"")</f>
        <v>2</v>
      </c>
      <c r="D117" t="str">
        <f>IF('TRACKER - 20220622'!F136&lt;&gt;"",UPPER('TRACKER - 20220622'!F136),"")</f>
        <v>RMB-RSC-2020-00215</v>
      </c>
      <c r="E117" t="str">
        <f>IF('TRACKER - 20220622'!H136&lt;&gt;"",'TRACKER - 20220622'!H136,"")</f>
        <v>RSC215 - FXAll Adapter</v>
      </c>
      <c r="F117" t="str">
        <f t="shared" si="2"/>
        <v>RMB-RSC-2020-00215 RSC215 - FXAll Adapter</v>
      </c>
      <c r="G117" t="str">
        <f t="shared" si="3"/>
        <v>00002 - RSC215 - FXAll Adapter</v>
      </c>
      <c r="H117">
        <f>IF('TRACKER - 20220622'!J136&lt;&gt;"",'TRACKER - 20220622'!J136,"")</f>
        <v>0</v>
      </c>
      <c r="I117" t="str">
        <f>IF('TRACKER - 20220622'!K121&lt;&gt;"",UPPER('TRACKER - 20220622'!K121),"")</f>
        <v>44201</v>
      </c>
      <c r="J117" t="str">
        <f>IF('TRACKER - 20220622'!L121&lt;&gt;"",UPPER('TRACKER - 20220622'!L121),"")</f>
        <v>44201</v>
      </c>
      <c r="K117" t="str">
        <f>IF('TRACKER - 20220622'!M121&lt;&gt;"",UPPER('TRACKER - 20220622'!M121),"")</f>
        <v/>
      </c>
      <c r="L117" t="str">
        <f>IF('TRACKER - 20220622'!N121&lt;&gt;"",UPPER('TRACKER - 20220622'!N121),"")</f>
        <v/>
      </c>
      <c r="M117" t="str">
        <f>IF('TRACKER - 20220622'!O121&lt;&gt;"",UPPER('TRACKER - 20220622'!O121),"")</f>
        <v/>
      </c>
      <c r="N117" t="str">
        <f>IF('TRACKER - 20220622'!P121&lt;&gt;"",UPPER('TRACKER - 20220622'!P121),"")</f>
        <v/>
      </c>
      <c r="O117" t="str">
        <f>IF('TRACKER - 20220622'!Q121&lt;&gt;"",UPPER('TRACKER - 20220622'!Q121),"")</f>
        <v>PLATFORM</v>
      </c>
      <c r="P117" t="str">
        <f>IF('TRACKER - 20220622'!R121&lt;&gt;"",UPPER('TRACKER - 20220622'!R121),"")</f>
        <v>PROSPECT</v>
      </c>
      <c r="Q117" t="str">
        <f>IF('TRACKER - 20220622'!S121&lt;&gt;"",UPPER('TRACKER - 20220622'!S121),"")</f>
        <v/>
      </c>
      <c r="R117" t="str">
        <f>IF('TRACKER - 20220622'!T121&lt;&gt;"",UPPER('TRACKER - 20220622'!T121),"")</f>
        <v/>
      </c>
      <c r="S117" t="str">
        <f>IF('TRACKER - 20220622'!U121&lt;&gt;"",UPPER('TRACKER - 20220622'!U121),"")</f>
        <v/>
      </c>
      <c r="T117" t="str">
        <f>IF('TRACKER - 20220622'!V121&lt;&gt;"",UPPER('TRACKER - 20220622'!V121),"")</f>
        <v/>
      </c>
      <c r="U117" t="str">
        <f>IF('TRACKER - 20220622'!W121&lt;&gt;"",UPPER('TRACKER - 20220622'!W121),"")</f>
        <v/>
      </c>
      <c r="V117" t="str">
        <f>IF('TRACKER - 20220622'!X121&lt;&gt;"",UPPER('TRACKER - 20220622'!X121),"")</f>
        <v>05/01/21 - RAISED FROM CALL WITH MONEYBOX - BYPASS NEED FOR SWIFT IN SOME MARKETS. CORPORATE SYSTEMS</v>
      </c>
      <c r="W117" t="str">
        <f>IF('TRACKER - 20220622'!Y121&lt;&gt;"",UPPER('TRACKER - 20220622'!Y121),"")</f>
        <v>0</v>
      </c>
      <c r="X117" t="str">
        <f>IF('TRACKER - 20220622'!Z121&lt;&gt;"",UPPER('TRACKER - 20220622'!Z121),"")</f>
        <v>0</v>
      </c>
      <c r="Y117" t="str">
        <f>IF('TRACKER - 20220622'!AA121&lt;&gt;"",UPPER('TRACKER - 20220622'!AA121),"")</f>
        <v>0</v>
      </c>
      <c r="Z117" t="str">
        <f>IF('TRACKER - 20220622'!AB121&lt;&gt;"",UPPER('TRACKER - 20220622'!AB121),"")</f>
        <v>0</v>
      </c>
      <c r="AA117" t="str">
        <f>IF('TRACKER - 20220622'!AC121&lt;&gt;"",UPPER('TRACKER - 20220622'!AC121),"")</f>
        <v>0</v>
      </c>
      <c r="AB117" t="str">
        <f>IF('TRACKER - 20220622'!AE121&lt;&gt;"",UPPER('TRACKER - 20220622'!AE121),"")</f>
        <v>0</v>
      </c>
      <c r="AC117" t="str">
        <f>IF('TRACKER - 20220622'!AF121&lt;&gt;"",UPPER('TRACKER - 20220622'!AF121),"")</f>
        <v>0</v>
      </c>
      <c r="AD117" t="str">
        <f>IF('TRACKER - 20220622'!AG121&lt;&gt;"",UPPER('TRACKER - 20220622'!AG121),"")</f>
        <v>0</v>
      </c>
      <c r="AE117" t="str">
        <f>IF('TRACKER - 20220622'!AH121&lt;&gt;"",UPPER('TRACKER - 20220622'!AH121),"")</f>
        <v>-150</v>
      </c>
      <c r="AF117" t="str">
        <f>IF('TRACKER - 20220622'!AI121&lt;&gt;"",UPPER('TRACKER - 20220622'!AI121),"")</f>
        <v/>
      </c>
      <c r="AG117" t="str">
        <f>IF('TRACKER - 20220622'!AJ121&lt;&gt;"",UPPER('TRACKER - 20220622'!AJ121),"")</f>
        <v>0</v>
      </c>
      <c r="AH117" t="str">
        <f>IF('TRACKER - 20220622'!AK121&lt;&gt;"",UPPER('TRACKER - 20220622'!AK121),"")</f>
        <v/>
      </c>
      <c r="AI117" t="str">
        <f>IF('TRACKER - 20220622'!AL121&lt;&gt;"",UPPER('TRACKER - 20220622'!AL121),"")</f>
        <v>0</v>
      </c>
      <c r="AJ117" t="str">
        <f>IF('TRACKER - 20220622'!AM121&lt;&gt;"",UPPER('TRACKER - 20220622'!AM121),"")</f>
        <v>0</v>
      </c>
      <c r="AK117" t="str">
        <f>IF('TRACKER - 20220622'!AN121&lt;&gt;"",UPPER('TRACKER - 20220622'!AN121),"")</f>
        <v/>
      </c>
      <c r="AL117" t="str">
        <f>IF('TRACKER - 20220622'!AO121&lt;&gt;"",UPPER('TRACKER - 20220622'!AO121),"")</f>
        <v>0</v>
      </c>
      <c r="AM117" t="str">
        <f>IF('TRACKER - 20220622'!AP121&lt;&gt;"",UPPER('TRACKER - 20220622'!AP121),"")</f>
        <v>0</v>
      </c>
      <c r="AN117" t="str">
        <f>IF('TRACKER - 20220622'!AQ121&lt;&gt;"",UPPER('TRACKER - 20220622'!AQ121),"")</f>
        <v>0</v>
      </c>
      <c r="AO117" t="str">
        <f>IF('TRACKER - 20220622'!AR121&lt;&gt;"",UPPER('TRACKER - 20220622'!AR121),"")</f>
        <v>PRD</v>
      </c>
      <c r="AP117" t="str">
        <f>IF('TRACKER - 20220622'!AS121&lt;&gt;"",UPPER('TRACKER - 20220622'!AS121),"")</f>
        <v>BLG</v>
      </c>
      <c r="AQ117" t="str">
        <f>IF('TRACKER - 20220622'!AT121&lt;&gt;"",UPPER('TRACKER - 20220622'!AT121),"")</f>
        <v>N</v>
      </c>
      <c r="AR117" t="str">
        <f>IF('TRACKER - 20220622'!AU121&lt;&gt;"",UPPER('TRACKER - 20220622'!AU121),"")</f>
        <v>-150</v>
      </c>
      <c r="AS117" t="str">
        <f>IF('TRACKER - 20220622'!AV121&lt;&gt;"",UPPER('TRACKER - 20220622'!AV121),"")</f>
        <v/>
      </c>
      <c r="AT117" t="str">
        <f>IF('TRACKER - 20220622'!AW121&lt;&gt;"",UPPER('TRACKER - 20220622'!AW121),"")</f>
        <v/>
      </c>
      <c r="AU117" t="str">
        <f>IF('TRACKER - 20220622'!AX121&lt;&gt;"",UPPER('TRACKER - 20220622'!AX121),"")</f>
        <v>REASON121</v>
      </c>
      <c r="AV117" t="str">
        <f>IF('TRACKER - 20220622'!BD136&lt;&gt;"",'TRACKER - 20220622'!BD136,"")</f>
        <v/>
      </c>
      <c r="AW117" t="str">
        <f>IF('TRACKER - 20220622'!BE136&lt;&gt;"",'TRACKER - 20220622'!BE136,"")</f>
        <v/>
      </c>
      <c r="AX117" t="str">
        <f>IF('TRACKER - 20220622'!BF136&lt;&gt;"",'TRACKER - 20220622'!BF136,"")</f>
        <v/>
      </c>
      <c r="AY117" t="str">
        <f>IF('TRACKER - 20220622'!BG136&lt;&gt;"",'TRACKER - 20220622'!BG136,"")</f>
        <v/>
      </c>
      <c r="AZ117" t="str">
        <f>IF('TRACKER - 20220622'!BH136&lt;&gt;"",'TRACKER - 20220622'!BH136,"")</f>
        <v/>
      </c>
      <c r="BA117" t="str">
        <f>IF('TRACKER - 20220622'!BI136&lt;&gt;"",'TRACKER - 20220622'!BI136,"")</f>
        <v/>
      </c>
      <c r="BB117" t="str">
        <f>IF('TRACKER - 20220622'!BJ136&lt;&gt;"",'TRACKER - 20220622'!BJ136,"")</f>
        <v/>
      </c>
      <c r="BC117" t="str">
        <f>IF('TRACKER - 20220622'!BK136&lt;&gt;"",'TRACKER - 20220622'!BK136,"")</f>
        <v/>
      </c>
      <c r="BD117" t="str">
        <f>IF('TRACKER - 20220622'!BL136&lt;&gt;"",'TRACKER - 20220622'!BL136,"")</f>
        <v/>
      </c>
      <c r="BE117" t="str">
        <f>IF('TRACKER - 20220622'!BM136&lt;&gt;"",'TRACKER - 20220622'!BM136,"")</f>
        <v/>
      </c>
      <c r="BF117" t="str">
        <f>IF('TRACKER - 20220622'!BN136&lt;&gt;"",'TRACKER - 20220622'!BN136,"")</f>
        <v/>
      </c>
      <c r="BG117" t="str">
        <f>IF('TRACKER - 20220622'!BO136&lt;&gt;"",'TRACKER - 20220622'!BO136,"")</f>
        <v/>
      </c>
    </row>
    <row r="118" spans="1:59">
      <c r="A118" t="str">
        <f>IF('TRACKER - 20220622'!A137&lt;&gt;"",UPPER('TRACKER - 20220622'!A137),"")</f>
        <v>PRODUCT BACKLOG</v>
      </c>
      <c r="B118" t="str">
        <f>IF('TRACKER - 20220622'!B137&lt;&gt;"",UPPER('TRACKER - 20220622'!B137),"")</f>
        <v>N</v>
      </c>
      <c r="C118" t="str">
        <f>IF('TRACKER - 20220622'!D122&lt;&gt;"",UPPER('TRACKER - 20220622'!D122),"")</f>
        <v>3</v>
      </c>
      <c r="D118" t="str">
        <f>IF('TRACKER - 20220622'!F137&lt;&gt;"",UPPER('TRACKER - 20220622'!F137),"")</f>
        <v>PRD-BLG-2020-00216</v>
      </c>
      <c r="E118" t="str">
        <f>IF('TRACKER - 20220622'!H137&lt;&gt;"",'TRACKER - 20220622'!H137,"")</f>
        <v>Open Source Analytics Including VAR into Dashboards.</v>
      </c>
      <c r="F118" t="str">
        <f t="shared" si="2"/>
        <v>PRD-BLG-2020-00216 Open Source Analytics Including VAR into Dashboards.</v>
      </c>
      <c r="G118" t="str">
        <f t="shared" si="3"/>
        <v>00003 - Open Source Analytics Including VAR into Dashboards.</v>
      </c>
      <c r="H118">
        <f>IF('TRACKER - 20220622'!J137&lt;&gt;"",'TRACKER - 20220622'!J137,"")</f>
        <v>0</v>
      </c>
      <c r="I118" t="str">
        <f>IF('TRACKER - 20220622'!K122&lt;&gt;"",UPPER('TRACKER - 20220622'!K122),"")</f>
        <v>44223</v>
      </c>
      <c r="J118" t="str">
        <f>IF('TRACKER - 20220622'!L122&lt;&gt;"",UPPER('TRACKER - 20220622'!L122),"")</f>
        <v>44223</v>
      </c>
      <c r="K118" t="str">
        <f>IF('TRACKER - 20220622'!M122&lt;&gt;"",UPPER('TRACKER - 20220622'!M122),"")</f>
        <v/>
      </c>
      <c r="L118" t="str">
        <f>IF('TRACKER - 20220622'!N122&lt;&gt;"",UPPER('TRACKER - 20220622'!N122),"")</f>
        <v/>
      </c>
      <c r="M118" t="str">
        <f>IF('TRACKER - 20220622'!O122&lt;&gt;"",UPPER('TRACKER - 20220622'!O122),"")</f>
        <v/>
      </c>
      <c r="N118" t="str">
        <f>IF('TRACKER - 20220622'!P122&lt;&gt;"",UPPER('TRACKER - 20220622'!P122),"")</f>
        <v/>
      </c>
      <c r="O118" t="str">
        <f>IF('TRACKER - 20220622'!Q122&lt;&gt;"",UPPER('TRACKER - 20220622'!Q122),"")</f>
        <v>TREASURY</v>
      </c>
      <c r="P118" t="str">
        <f>IF('TRACKER - 20220622'!R122&lt;&gt;"",UPPER('TRACKER - 20220622'!R122),"")</f>
        <v>PROSPECT</v>
      </c>
      <c r="Q118" t="str">
        <f>IF('TRACKER - 20220622'!S122&lt;&gt;"",UPPER('TRACKER - 20220622'!S122),"")</f>
        <v/>
      </c>
      <c r="R118" t="str">
        <f>IF('TRACKER - 20220622'!T122&lt;&gt;"",UPPER('TRACKER - 20220622'!T122),"")</f>
        <v/>
      </c>
      <c r="S118" t="str">
        <f>IF('TRACKER - 20220622'!U122&lt;&gt;"",UPPER('TRACKER - 20220622'!U122),"")</f>
        <v/>
      </c>
      <c r="T118" t="str">
        <f>IF('TRACKER - 20220622'!V122&lt;&gt;"",UPPER('TRACKER - 20220622'!V122),"")</f>
        <v/>
      </c>
      <c r="U118" t="str">
        <f>IF('TRACKER - 20220622'!W122&lt;&gt;"",UPPER('TRACKER - 20220622'!W122),"")</f>
        <v/>
      </c>
      <c r="V118" t="str">
        <f>IF('TRACKER - 20220622'!X122&lt;&gt;"",UPPER('TRACKER - 20220622'!X122),"")</f>
        <v>RAISED AS PART OF C&amp;C LIKE FOR LIKE</v>
      </c>
      <c r="W118" t="str">
        <f>IF('TRACKER - 20220622'!Y122&lt;&gt;"",UPPER('TRACKER - 20220622'!Y122),"")</f>
        <v>0</v>
      </c>
      <c r="X118" t="str">
        <f>IF('TRACKER - 20220622'!Z122&lt;&gt;"",UPPER('TRACKER - 20220622'!Z122),"")</f>
        <v>0</v>
      </c>
      <c r="Y118" t="str">
        <f>IF('TRACKER - 20220622'!AA122&lt;&gt;"",UPPER('TRACKER - 20220622'!AA122),"")</f>
        <v>0</v>
      </c>
      <c r="Z118" t="str">
        <f>IF('TRACKER - 20220622'!AB122&lt;&gt;"",UPPER('TRACKER - 20220622'!AB122),"")</f>
        <v>0</v>
      </c>
      <c r="AA118" t="str">
        <f>IF('TRACKER - 20220622'!AC122&lt;&gt;"",UPPER('TRACKER - 20220622'!AC122),"")</f>
        <v>0</v>
      </c>
      <c r="AB118" t="str">
        <f>IF('TRACKER - 20220622'!AE122&lt;&gt;"",UPPER('TRACKER - 20220622'!AE122),"")</f>
        <v>0</v>
      </c>
      <c r="AC118" t="str">
        <f>IF('TRACKER - 20220622'!AF122&lt;&gt;"",UPPER('TRACKER - 20220622'!AF122),"")</f>
        <v>0</v>
      </c>
      <c r="AD118" t="str">
        <f>IF('TRACKER - 20220622'!AG122&lt;&gt;"",UPPER('TRACKER - 20220622'!AG122),"")</f>
        <v>0</v>
      </c>
      <c r="AE118" t="str">
        <f>IF('TRACKER - 20220622'!AH122&lt;&gt;"",UPPER('TRACKER - 20220622'!AH122),"")</f>
        <v>-150</v>
      </c>
      <c r="AF118" t="str">
        <f>IF('TRACKER - 20220622'!AI122&lt;&gt;"",UPPER('TRACKER - 20220622'!AI122),"")</f>
        <v/>
      </c>
      <c r="AG118" t="str">
        <f>IF('TRACKER - 20220622'!AJ122&lt;&gt;"",UPPER('TRACKER - 20220622'!AJ122),"")</f>
        <v>0</v>
      </c>
      <c r="AH118" t="str">
        <f>IF('TRACKER - 20220622'!AK122&lt;&gt;"",UPPER('TRACKER - 20220622'!AK122),"")</f>
        <v/>
      </c>
      <c r="AI118" t="str">
        <f>IF('TRACKER - 20220622'!AL122&lt;&gt;"",UPPER('TRACKER - 20220622'!AL122),"")</f>
        <v>0</v>
      </c>
      <c r="AJ118" t="str">
        <f>IF('TRACKER - 20220622'!AM122&lt;&gt;"",UPPER('TRACKER - 20220622'!AM122),"")</f>
        <v>0</v>
      </c>
      <c r="AK118" t="str">
        <f>IF('TRACKER - 20220622'!AN122&lt;&gt;"",UPPER('TRACKER - 20220622'!AN122),"")</f>
        <v/>
      </c>
      <c r="AL118" t="str">
        <f>IF('TRACKER - 20220622'!AO122&lt;&gt;"",UPPER('TRACKER - 20220622'!AO122),"")</f>
        <v>0</v>
      </c>
      <c r="AM118" t="str">
        <f>IF('TRACKER - 20220622'!AP122&lt;&gt;"",UPPER('TRACKER - 20220622'!AP122),"")</f>
        <v>0</v>
      </c>
      <c r="AN118" t="str">
        <f>IF('TRACKER - 20220622'!AQ122&lt;&gt;"",UPPER('TRACKER - 20220622'!AQ122),"")</f>
        <v>0</v>
      </c>
      <c r="AO118" t="str">
        <f>IF('TRACKER - 20220622'!AR122&lt;&gt;"",UPPER('TRACKER - 20220622'!AR122),"")</f>
        <v>PRD</v>
      </c>
      <c r="AP118" t="str">
        <f>IF('TRACKER - 20220622'!AS122&lt;&gt;"",UPPER('TRACKER - 20220622'!AS122),"")</f>
        <v>BLG</v>
      </c>
      <c r="AQ118" t="str">
        <f>IF('TRACKER - 20220622'!AT122&lt;&gt;"",UPPER('TRACKER - 20220622'!AT122),"")</f>
        <v>N</v>
      </c>
      <c r="AR118" t="str">
        <f>IF('TRACKER - 20220622'!AU122&lt;&gt;"",UPPER('TRACKER - 20220622'!AU122),"")</f>
        <v>-150</v>
      </c>
      <c r="AS118" t="str">
        <f>IF('TRACKER - 20220622'!AV122&lt;&gt;"",UPPER('TRACKER - 20220622'!AV122),"")</f>
        <v/>
      </c>
      <c r="AT118" t="str">
        <f>IF('TRACKER - 20220622'!AW122&lt;&gt;"",UPPER('TRACKER - 20220622'!AW122),"")</f>
        <v/>
      </c>
      <c r="AU118" t="str">
        <f>IF('TRACKER - 20220622'!AX122&lt;&gt;"",UPPER('TRACKER - 20220622'!AX122),"")</f>
        <v>REASON122</v>
      </c>
      <c r="AV118" t="str">
        <f>IF('TRACKER - 20220622'!BD137&lt;&gt;"",'TRACKER - 20220622'!BD137,"")</f>
        <v/>
      </c>
      <c r="AW118" t="str">
        <f>IF('TRACKER - 20220622'!BE137&lt;&gt;"",'TRACKER - 20220622'!BE137,"")</f>
        <v/>
      </c>
      <c r="AX118" t="str">
        <f>IF('TRACKER - 20220622'!BF137&lt;&gt;"",'TRACKER - 20220622'!BF137,"")</f>
        <v/>
      </c>
      <c r="AY118" t="str">
        <f>IF('TRACKER - 20220622'!BG137&lt;&gt;"",'TRACKER - 20220622'!BG137,"")</f>
        <v/>
      </c>
      <c r="AZ118" t="str">
        <f>IF('TRACKER - 20220622'!BH137&lt;&gt;"",'TRACKER - 20220622'!BH137,"")</f>
        <v/>
      </c>
      <c r="BA118" t="str">
        <f>IF('TRACKER - 20220622'!BI137&lt;&gt;"",'TRACKER - 20220622'!BI137,"")</f>
        <v/>
      </c>
      <c r="BB118" t="str">
        <f>IF('TRACKER - 20220622'!BJ137&lt;&gt;"",'TRACKER - 20220622'!BJ137,"")</f>
        <v/>
      </c>
      <c r="BC118" t="str">
        <f>IF('TRACKER - 20220622'!BK137&lt;&gt;"",'TRACKER - 20220622'!BK137,"")</f>
        <v/>
      </c>
      <c r="BD118" t="str">
        <f>IF('TRACKER - 20220622'!BL137&lt;&gt;"",'TRACKER - 20220622'!BL137,"")</f>
        <v/>
      </c>
      <c r="BE118" t="str">
        <f>IF('TRACKER - 20220622'!BM137&lt;&gt;"",'TRACKER - 20220622'!BM137,"")</f>
        <v/>
      </c>
      <c r="BF118" t="str">
        <f>IF('TRACKER - 20220622'!BN137&lt;&gt;"",'TRACKER - 20220622'!BN137,"")</f>
        <v/>
      </c>
      <c r="BG118" t="str">
        <f>IF('TRACKER - 20220622'!BO137&lt;&gt;"",'TRACKER - 20220622'!BO137,"")</f>
        <v/>
      </c>
    </row>
    <row r="119" spans="1:59">
      <c r="A119" t="str">
        <f>IF('TRACKER - 20220622'!A138&lt;&gt;"",UPPER('TRACKER - 20220622'!A138),"")</f>
        <v>RAND MERCHANT BANK</v>
      </c>
      <c r="B119" t="str">
        <f>IF('TRACKER - 20220622'!B138&lt;&gt;"",UPPER('TRACKER - 20220622'!B138),"")</f>
        <v>N</v>
      </c>
      <c r="C119" t="str">
        <f>IF('TRACKER - 20220622'!D123&lt;&gt;"",UPPER('TRACKER - 20220622'!D123),"")</f>
        <v>4</v>
      </c>
      <c r="D119" t="str">
        <f>IF('TRACKER - 20220622'!F138&lt;&gt;"",UPPER('TRACKER - 20220622'!F138),"")</f>
        <v>RMB-RSC-2020-00217</v>
      </c>
      <c r="E119" t="str">
        <f>IF('TRACKER - 20220622'!H138&lt;&gt;"",'TRACKER - 20220622'!H138,"")</f>
        <v>RSC217 - Block Trade RFSQ Pricing</v>
      </c>
      <c r="F119" t="str">
        <f t="shared" si="2"/>
        <v>RMB-RSC-2020-00217 RSC217 - Block Trade RFSQ Pricing</v>
      </c>
      <c r="G119" t="str">
        <f t="shared" si="3"/>
        <v>00004 - RSC217 - Block Trade RFSQ Pricing</v>
      </c>
      <c r="H119">
        <f>IF('TRACKER - 20220622'!J138&lt;&gt;"",'TRACKER - 20220622'!J138,"")</f>
        <v>10848.600000000002</v>
      </c>
      <c r="I119" t="str">
        <f>IF('TRACKER - 20220622'!K123&lt;&gt;"",UPPER('TRACKER - 20220622'!K123),"")</f>
        <v>44223</v>
      </c>
      <c r="J119" t="str">
        <f>IF('TRACKER - 20220622'!L123&lt;&gt;"",UPPER('TRACKER - 20220622'!L123),"")</f>
        <v>44223</v>
      </c>
      <c r="K119" t="str">
        <f>IF('TRACKER - 20220622'!M123&lt;&gt;"",UPPER('TRACKER - 20220622'!M123),"")</f>
        <v/>
      </c>
      <c r="L119" t="str">
        <f>IF('TRACKER - 20220622'!N123&lt;&gt;"",UPPER('TRACKER - 20220622'!N123),"")</f>
        <v/>
      </c>
      <c r="M119" t="str">
        <f>IF('TRACKER - 20220622'!O123&lt;&gt;"",UPPER('TRACKER - 20220622'!O123),"")</f>
        <v/>
      </c>
      <c r="N119" t="str">
        <f>IF('TRACKER - 20220622'!P123&lt;&gt;"",UPPER('TRACKER - 20220622'!P123),"")</f>
        <v/>
      </c>
      <c r="O119" t="str">
        <f>IF('TRACKER - 20220622'!Q123&lt;&gt;"",UPPER('TRACKER - 20220622'!Q123),"")</f>
        <v>TREASURY</v>
      </c>
      <c r="P119" t="str">
        <f>IF('TRACKER - 20220622'!R123&lt;&gt;"",UPPER('TRACKER - 20220622'!R123),"")</f>
        <v>PROSPECT</v>
      </c>
      <c r="Q119" t="str">
        <f>IF('TRACKER - 20220622'!S123&lt;&gt;"",UPPER('TRACKER - 20220622'!S123),"")</f>
        <v/>
      </c>
      <c r="R119" t="str">
        <f>IF('TRACKER - 20220622'!T123&lt;&gt;"",UPPER('TRACKER - 20220622'!T123),"")</f>
        <v/>
      </c>
      <c r="S119" t="str">
        <f>IF('TRACKER - 20220622'!U123&lt;&gt;"",UPPER('TRACKER - 20220622'!U123),"")</f>
        <v/>
      </c>
      <c r="T119" t="str">
        <f>IF('TRACKER - 20220622'!V123&lt;&gt;"",UPPER('TRACKER - 20220622'!V123),"")</f>
        <v/>
      </c>
      <c r="U119" t="str">
        <f>IF('TRACKER - 20220622'!W123&lt;&gt;"",UPPER('TRACKER - 20220622'!W123),"")</f>
        <v/>
      </c>
      <c r="V119" t="str">
        <f>IF('TRACKER - 20220622'!X123&lt;&gt;"",UPPER('TRACKER - 20220622'!X123),"")</f>
        <v>RAISED AS PART OF C&amp;C LIKE FOR LIKE</v>
      </c>
      <c r="W119" t="str">
        <f>IF('TRACKER - 20220622'!Y123&lt;&gt;"",UPPER('TRACKER - 20220622'!Y123),"")</f>
        <v>0</v>
      </c>
      <c r="X119" t="str">
        <f>IF('TRACKER - 20220622'!Z123&lt;&gt;"",UPPER('TRACKER - 20220622'!Z123),"")</f>
        <v>0</v>
      </c>
      <c r="Y119" t="str">
        <f>IF('TRACKER - 20220622'!AA123&lt;&gt;"",UPPER('TRACKER - 20220622'!AA123),"")</f>
        <v>0</v>
      </c>
      <c r="Z119" t="str">
        <f>IF('TRACKER - 20220622'!AB123&lt;&gt;"",UPPER('TRACKER - 20220622'!AB123),"")</f>
        <v>0</v>
      </c>
      <c r="AA119" t="str">
        <f>IF('TRACKER - 20220622'!AC123&lt;&gt;"",UPPER('TRACKER - 20220622'!AC123),"")</f>
        <v>0</v>
      </c>
      <c r="AB119" t="str">
        <f>IF('TRACKER - 20220622'!AE123&lt;&gt;"",UPPER('TRACKER - 20220622'!AE123),"")</f>
        <v>0</v>
      </c>
      <c r="AC119" t="str">
        <f>IF('TRACKER - 20220622'!AF123&lt;&gt;"",UPPER('TRACKER - 20220622'!AF123),"")</f>
        <v>0</v>
      </c>
      <c r="AD119" t="str">
        <f>IF('TRACKER - 20220622'!AG123&lt;&gt;"",UPPER('TRACKER - 20220622'!AG123),"")</f>
        <v>0</v>
      </c>
      <c r="AE119" t="str">
        <f>IF('TRACKER - 20220622'!AH123&lt;&gt;"",UPPER('TRACKER - 20220622'!AH123),"")</f>
        <v>-150</v>
      </c>
      <c r="AF119" t="str">
        <f>IF('TRACKER - 20220622'!AI123&lt;&gt;"",UPPER('TRACKER - 20220622'!AI123),"")</f>
        <v/>
      </c>
      <c r="AG119" t="str">
        <f>IF('TRACKER - 20220622'!AJ123&lt;&gt;"",UPPER('TRACKER - 20220622'!AJ123),"")</f>
        <v>0</v>
      </c>
      <c r="AH119" t="str">
        <f>IF('TRACKER - 20220622'!AK123&lt;&gt;"",UPPER('TRACKER - 20220622'!AK123),"")</f>
        <v/>
      </c>
      <c r="AI119" t="str">
        <f>IF('TRACKER - 20220622'!AL123&lt;&gt;"",UPPER('TRACKER - 20220622'!AL123),"")</f>
        <v>0</v>
      </c>
      <c r="AJ119" t="str">
        <f>IF('TRACKER - 20220622'!AM123&lt;&gt;"",UPPER('TRACKER - 20220622'!AM123),"")</f>
        <v>0</v>
      </c>
      <c r="AK119" t="str">
        <f>IF('TRACKER - 20220622'!AN123&lt;&gt;"",UPPER('TRACKER - 20220622'!AN123),"")</f>
        <v/>
      </c>
      <c r="AL119" t="str">
        <f>IF('TRACKER - 20220622'!AO123&lt;&gt;"",UPPER('TRACKER - 20220622'!AO123),"")</f>
        <v>0</v>
      </c>
      <c r="AM119" t="str">
        <f>IF('TRACKER - 20220622'!AP123&lt;&gt;"",UPPER('TRACKER - 20220622'!AP123),"")</f>
        <v>0</v>
      </c>
      <c r="AN119" t="str">
        <f>IF('TRACKER - 20220622'!AQ123&lt;&gt;"",UPPER('TRACKER - 20220622'!AQ123),"")</f>
        <v>0</v>
      </c>
      <c r="AO119" t="str">
        <f>IF('TRACKER - 20220622'!AR123&lt;&gt;"",UPPER('TRACKER - 20220622'!AR123),"")</f>
        <v>PRD</v>
      </c>
      <c r="AP119" t="str">
        <f>IF('TRACKER - 20220622'!AS123&lt;&gt;"",UPPER('TRACKER - 20220622'!AS123),"")</f>
        <v>BLG</v>
      </c>
      <c r="AQ119" t="str">
        <f>IF('TRACKER - 20220622'!AT123&lt;&gt;"",UPPER('TRACKER - 20220622'!AT123),"")</f>
        <v>N</v>
      </c>
      <c r="AR119" t="str">
        <f>IF('TRACKER - 20220622'!AU123&lt;&gt;"",UPPER('TRACKER - 20220622'!AU123),"")</f>
        <v>-150</v>
      </c>
      <c r="AS119" t="str">
        <f>IF('TRACKER - 20220622'!AV123&lt;&gt;"",UPPER('TRACKER - 20220622'!AV123),"")</f>
        <v/>
      </c>
      <c r="AT119" t="str">
        <f>IF('TRACKER - 20220622'!AW123&lt;&gt;"",UPPER('TRACKER - 20220622'!AW123),"")</f>
        <v/>
      </c>
      <c r="AU119" t="str">
        <f>IF('TRACKER - 20220622'!AX123&lt;&gt;"",UPPER('TRACKER - 20220622'!AX123),"")</f>
        <v>REASON123</v>
      </c>
      <c r="AV119" t="str">
        <f>IF('TRACKER - 20220622'!BD138&lt;&gt;"",'TRACKER - 20220622'!BD138,"")</f>
        <v/>
      </c>
      <c r="AW119" t="str">
        <f>IF('TRACKER - 20220622'!BE138&lt;&gt;"",'TRACKER - 20220622'!BE138,"")</f>
        <v/>
      </c>
      <c r="AX119" t="str">
        <f>IF('TRACKER - 20220622'!BF138&lt;&gt;"",'TRACKER - 20220622'!BF138,"")</f>
        <v/>
      </c>
      <c r="AY119" t="str">
        <f>IF('TRACKER - 20220622'!BG138&lt;&gt;"",'TRACKER - 20220622'!BG138,"")</f>
        <v/>
      </c>
      <c r="AZ119" t="str">
        <f>IF('TRACKER - 20220622'!BH138&lt;&gt;"",'TRACKER - 20220622'!BH138,"")</f>
        <v/>
      </c>
      <c r="BA119" t="str">
        <f>IF('TRACKER - 20220622'!BI138&lt;&gt;"",'TRACKER - 20220622'!BI138,"")</f>
        <v/>
      </c>
      <c r="BB119" t="str">
        <f>IF('TRACKER - 20220622'!BJ138&lt;&gt;"",'TRACKER - 20220622'!BJ138,"")</f>
        <v/>
      </c>
      <c r="BC119" t="str">
        <f>IF('TRACKER - 20220622'!BK138&lt;&gt;"",'TRACKER - 20220622'!BK138,"")</f>
        <v/>
      </c>
      <c r="BD119" t="str">
        <f>IF('TRACKER - 20220622'!BL138&lt;&gt;"",'TRACKER - 20220622'!BL138,"")</f>
        <v/>
      </c>
      <c r="BE119" t="str">
        <f>IF('TRACKER - 20220622'!BM138&lt;&gt;"",'TRACKER - 20220622'!BM138,"")</f>
        <v/>
      </c>
      <c r="BF119" t="str">
        <f>IF('TRACKER - 20220622'!BN138&lt;&gt;"",'TRACKER - 20220622'!BN138,"")</f>
        <v/>
      </c>
      <c r="BG119" t="str">
        <f>IF('TRACKER - 20220622'!BO138&lt;&gt;"",'TRACKER - 20220622'!BO138,"")</f>
        <v/>
      </c>
    </row>
    <row r="120" spans="1:59">
      <c r="A120" t="str">
        <f>IF('TRACKER - 20220622'!A139&lt;&gt;"",UPPER('TRACKER - 20220622'!A139),"")</f>
        <v>RAND MERCHANT BANK</v>
      </c>
      <c r="B120" t="str">
        <f>IF('TRACKER - 20220622'!B139&lt;&gt;"",UPPER('TRACKER - 20220622'!B139),"")</f>
        <v>N</v>
      </c>
      <c r="C120" t="str">
        <f>IF('TRACKER - 20220622'!D124&lt;&gt;"",UPPER('TRACKER - 20220622'!D124),"")</f>
        <v>5</v>
      </c>
      <c r="D120" t="str">
        <f>IF('TRACKER - 20220622'!F139&lt;&gt;"",UPPER('TRACKER - 20220622'!F139),"")</f>
        <v>RMB-RSC-2019-00212</v>
      </c>
      <c r="E120" t="str">
        <f>IF('TRACKER - 20220622'!H139&lt;&gt;"",'TRACKER - 20220622'!H139,"")</f>
        <v>RSC212 - Bloomberg allocations</v>
      </c>
      <c r="F120" t="str">
        <f t="shared" si="2"/>
        <v>RMB-RSC-2019-00212 RSC212 - Bloomberg allocations</v>
      </c>
      <c r="G120" t="str">
        <f t="shared" si="3"/>
        <v>00005 - RSC212 - Bloomberg allocations</v>
      </c>
      <c r="H120">
        <f>IF('TRACKER - 20220622'!J139&lt;&gt;"",'TRACKER - 20220622'!J139,"")</f>
        <v>21358.181250000001</v>
      </c>
      <c r="I120" t="str">
        <f>IF('TRACKER - 20220622'!K124&lt;&gt;"",UPPER('TRACKER - 20220622'!K124),"")</f>
        <v>44223</v>
      </c>
      <c r="J120" t="str">
        <f>IF('TRACKER - 20220622'!L124&lt;&gt;"",UPPER('TRACKER - 20220622'!L124),"")</f>
        <v>44223</v>
      </c>
      <c r="K120" t="str">
        <f>IF('TRACKER - 20220622'!M124&lt;&gt;"",UPPER('TRACKER - 20220622'!M124),"")</f>
        <v/>
      </c>
      <c r="L120" t="str">
        <f>IF('TRACKER - 20220622'!N124&lt;&gt;"",UPPER('TRACKER - 20220622'!N124),"")</f>
        <v/>
      </c>
      <c r="M120" t="str">
        <f>IF('TRACKER - 20220622'!O124&lt;&gt;"",UPPER('TRACKER - 20220622'!O124),"")</f>
        <v/>
      </c>
      <c r="N120" t="str">
        <f>IF('TRACKER - 20220622'!P124&lt;&gt;"",UPPER('TRACKER - 20220622'!P124),"")</f>
        <v/>
      </c>
      <c r="O120" t="str">
        <f>IF('TRACKER - 20220622'!Q124&lt;&gt;"",UPPER('TRACKER - 20220622'!Q124),"")</f>
        <v>TREASURY</v>
      </c>
      <c r="P120" t="str">
        <f>IF('TRACKER - 20220622'!R124&lt;&gt;"",UPPER('TRACKER - 20220622'!R124),"")</f>
        <v>PROSPECT</v>
      </c>
      <c r="Q120" t="str">
        <f>IF('TRACKER - 20220622'!S124&lt;&gt;"",UPPER('TRACKER - 20220622'!S124),"")</f>
        <v/>
      </c>
      <c r="R120" t="str">
        <f>IF('TRACKER - 20220622'!T124&lt;&gt;"",UPPER('TRACKER - 20220622'!T124),"")</f>
        <v/>
      </c>
      <c r="S120" t="str">
        <f>IF('TRACKER - 20220622'!U124&lt;&gt;"",UPPER('TRACKER - 20220622'!U124),"")</f>
        <v/>
      </c>
      <c r="T120" t="str">
        <f>IF('TRACKER - 20220622'!V124&lt;&gt;"",UPPER('TRACKER - 20220622'!V124),"")</f>
        <v/>
      </c>
      <c r="U120" t="str">
        <f>IF('TRACKER - 20220622'!W124&lt;&gt;"",UPPER('TRACKER - 20220622'!W124),"")</f>
        <v/>
      </c>
      <c r="V120" t="str">
        <f>IF('TRACKER - 20220622'!X124&lt;&gt;"",UPPER('TRACKER - 20220622'!X124),"")</f>
        <v>RAISED AS PART OF C&amp;C LIKE FOR LIKE</v>
      </c>
      <c r="W120" t="str">
        <f>IF('TRACKER - 20220622'!Y124&lt;&gt;"",UPPER('TRACKER - 20220622'!Y124),"")</f>
        <v>0</v>
      </c>
      <c r="X120" t="str">
        <f>IF('TRACKER - 20220622'!Z124&lt;&gt;"",UPPER('TRACKER - 20220622'!Z124),"")</f>
        <v>0</v>
      </c>
      <c r="Y120" t="str">
        <f>IF('TRACKER - 20220622'!AA124&lt;&gt;"",UPPER('TRACKER - 20220622'!AA124),"")</f>
        <v>0</v>
      </c>
      <c r="Z120" t="str">
        <f>IF('TRACKER - 20220622'!AB124&lt;&gt;"",UPPER('TRACKER - 20220622'!AB124),"")</f>
        <v>0</v>
      </c>
      <c r="AA120" t="str">
        <f>IF('TRACKER - 20220622'!AC124&lt;&gt;"",UPPER('TRACKER - 20220622'!AC124),"")</f>
        <v>0</v>
      </c>
      <c r="AB120" t="str">
        <f>IF('TRACKER - 20220622'!AE124&lt;&gt;"",UPPER('TRACKER - 20220622'!AE124),"")</f>
        <v>0</v>
      </c>
      <c r="AC120" t="str">
        <f>IF('TRACKER - 20220622'!AF124&lt;&gt;"",UPPER('TRACKER - 20220622'!AF124),"")</f>
        <v>0</v>
      </c>
      <c r="AD120" t="str">
        <f>IF('TRACKER - 20220622'!AG124&lt;&gt;"",UPPER('TRACKER - 20220622'!AG124),"")</f>
        <v>0</v>
      </c>
      <c r="AE120" t="str">
        <f>IF('TRACKER - 20220622'!AH124&lt;&gt;"",UPPER('TRACKER - 20220622'!AH124),"")</f>
        <v>-150</v>
      </c>
      <c r="AF120" t="str">
        <f>IF('TRACKER - 20220622'!AI124&lt;&gt;"",UPPER('TRACKER - 20220622'!AI124),"")</f>
        <v/>
      </c>
      <c r="AG120" t="str">
        <f>IF('TRACKER - 20220622'!AJ124&lt;&gt;"",UPPER('TRACKER - 20220622'!AJ124),"")</f>
        <v>0</v>
      </c>
      <c r="AH120" t="str">
        <f>IF('TRACKER - 20220622'!AK124&lt;&gt;"",UPPER('TRACKER - 20220622'!AK124),"")</f>
        <v/>
      </c>
      <c r="AI120" t="str">
        <f>IF('TRACKER - 20220622'!AL124&lt;&gt;"",UPPER('TRACKER - 20220622'!AL124),"")</f>
        <v>0</v>
      </c>
      <c r="AJ120" t="str">
        <f>IF('TRACKER - 20220622'!AM124&lt;&gt;"",UPPER('TRACKER - 20220622'!AM124),"")</f>
        <v>0</v>
      </c>
      <c r="AK120" t="str">
        <f>IF('TRACKER - 20220622'!AN124&lt;&gt;"",UPPER('TRACKER - 20220622'!AN124),"")</f>
        <v/>
      </c>
      <c r="AL120" t="str">
        <f>IF('TRACKER - 20220622'!AO124&lt;&gt;"",UPPER('TRACKER - 20220622'!AO124),"")</f>
        <v>0</v>
      </c>
      <c r="AM120" t="str">
        <f>IF('TRACKER - 20220622'!AP124&lt;&gt;"",UPPER('TRACKER - 20220622'!AP124),"")</f>
        <v>0</v>
      </c>
      <c r="AN120" t="str">
        <f>IF('TRACKER - 20220622'!AQ124&lt;&gt;"",UPPER('TRACKER - 20220622'!AQ124),"")</f>
        <v>0</v>
      </c>
      <c r="AO120" t="str">
        <f>IF('TRACKER - 20220622'!AR124&lt;&gt;"",UPPER('TRACKER - 20220622'!AR124),"")</f>
        <v>PRD</v>
      </c>
      <c r="AP120" t="str">
        <f>IF('TRACKER - 20220622'!AS124&lt;&gt;"",UPPER('TRACKER - 20220622'!AS124),"")</f>
        <v>BLG</v>
      </c>
      <c r="AQ120" t="str">
        <f>IF('TRACKER - 20220622'!AT124&lt;&gt;"",UPPER('TRACKER - 20220622'!AT124),"")</f>
        <v>N</v>
      </c>
      <c r="AR120" t="str">
        <f>IF('TRACKER - 20220622'!AU124&lt;&gt;"",UPPER('TRACKER - 20220622'!AU124),"")</f>
        <v>-150</v>
      </c>
      <c r="AS120" t="str">
        <f>IF('TRACKER - 20220622'!AV124&lt;&gt;"",UPPER('TRACKER - 20220622'!AV124),"")</f>
        <v/>
      </c>
      <c r="AT120" t="str">
        <f>IF('TRACKER - 20220622'!AW124&lt;&gt;"",UPPER('TRACKER - 20220622'!AW124),"")</f>
        <v/>
      </c>
      <c r="AU120" t="str">
        <f>IF('TRACKER - 20220622'!AX124&lt;&gt;"",UPPER('TRACKER - 20220622'!AX124),"")</f>
        <v>REASON124</v>
      </c>
      <c r="AV120" t="str">
        <f>IF('TRACKER - 20220622'!BD139&lt;&gt;"",'TRACKER - 20220622'!BD139,"")</f>
        <v/>
      </c>
      <c r="AW120" t="str">
        <f>IF('TRACKER - 20220622'!BE139&lt;&gt;"",'TRACKER - 20220622'!BE139,"")</f>
        <v/>
      </c>
      <c r="AX120" t="str">
        <f>IF('TRACKER - 20220622'!BF139&lt;&gt;"",'TRACKER - 20220622'!BF139,"")</f>
        <v/>
      </c>
      <c r="AY120" t="str">
        <f>IF('TRACKER - 20220622'!BG139&lt;&gt;"",'TRACKER - 20220622'!BG139,"")</f>
        <v/>
      </c>
      <c r="AZ120" t="str">
        <f>IF('TRACKER - 20220622'!BH139&lt;&gt;"",'TRACKER - 20220622'!BH139,"")</f>
        <v/>
      </c>
      <c r="BA120" t="str">
        <f>IF('TRACKER - 20220622'!BI139&lt;&gt;"",'TRACKER - 20220622'!BI139,"")</f>
        <v/>
      </c>
      <c r="BB120" t="str">
        <f>IF('TRACKER - 20220622'!BJ139&lt;&gt;"",'TRACKER - 20220622'!BJ139,"")</f>
        <v/>
      </c>
      <c r="BC120" t="str">
        <f>IF('TRACKER - 20220622'!BK139&lt;&gt;"",'TRACKER - 20220622'!BK139,"")</f>
        <v/>
      </c>
      <c r="BD120" t="str">
        <f>IF('TRACKER - 20220622'!BL139&lt;&gt;"",'TRACKER - 20220622'!BL139,"")</f>
        <v/>
      </c>
      <c r="BE120" t="str">
        <f>IF('TRACKER - 20220622'!BM139&lt;&gt;"",'TRACKER - 20220622'!BM139,"")</f>
        <v/>
      </c>
      <c r="BF120" t="str">
        <f>IF('TRACKER - 20220622'!BN139&lt;&gt;"",'TRACKER - 20220622'!BN139,"")</f>
        <v/>
      </c>
      <c r="BG120" t="str">
        <f>IF('TRACKER - 20220622'!BO139&lt;&gt;"",'TRACKER - 20220622'!BO139,"")</f>
        <v/>
      </c>
    </row>
    <row r="121" spans="1:59">
      <c r="A121" t="str">
        <f>IF('TRACKER - 20220622'!A140&lt;&gt;"",UPPER('TRACKER - 20220622'!A140),"")</f>
        <v>RAND MERCHANT BANK</v>
      </c>
      <c r="B121" t="str">
        <f>IF('TRACKER - 20220622'!B140&lt;&gt;"",UPPER('TRACKER - 20220622'!B140),"")</f>
        <v>N</v>
      </c>
      <c r="C121" t="str">
        <f>IF('TRACKER - 20220622'!D125&lt;&gt;"",UPPER('TRACKER - 20220622'!D125),"")</f>
        <v>6</v>
      </c>
      <c r="D121" t="str">
        <f>IF('TRACKER - 20220622'!F140&lt;&gt;"",UPPER('TRACKER - 20220622'!F140),"")</f>
        <v>RMB-RSC-2019-00211</v>
      </c>
      <c r="E121" t="str">
        <f>IF('TRACKER - 20220622'!H140&lt;&gt;"",'TRACKER - 20220622'!H140,"")</f>
        <v>RSC211 - Siena Multi-Deal booking across different entities</v>
      </c>
      <c r="F121" t="str">
        <f t="shared" si="2"/>
        <v>RMB-RSC-2019-00211 RSC211 - Siena Multi-Deal booking across different entities</v>
      </c>
      <c r="G121" t="str">
        <f t="shared" si="3"/>
        <v>00006 - RSC211 - Siena Multi-Deal booking across different entities</v>
      </c>
      <c r="H121">
        <f>IF('TRACKER - 20220622'!J140&lt;&gt;"",'TRACKER - 20220622'!J140,"")</f>
        <v>17628.975000000002</v>
      </c>
      <c r="I121" t="str">
        <f>IF('TRACKER - 20220622'!K125&lt;&gt;"",UPPER('TRACKER - 20220622'!K125),"")</f>
        <v>44223</v>
      </c>
      <c r="J121" t="str">
        <f>IF('TRACKER - 20220622'!L125&lt;&gt;"",UPPER('TRACKER - 20220622'!L125),"")</f>
        <v>44223</v>
      </c>
      <c r="K121" t="str">
        <f>IF('TRACKER - 20220622'!M125&lt;&gt;"",UPPER('TRACKER - 20220622'!M125),"")</f>
        <v/>
      </c>
      <c r="L121" t="str">
        <f>IF('TRACKER - 20220622'!N125&lt;&gt;"",UPPER('TRACKER - 20220622'!N125),"")</f>
        <v/>
      </c>
      <c r="M121" t="str">
        <f>IF('TRACKER - 20220622'!O125&lt;&gt;"",UPPER('TRACKER - 20220622'!O125),"")</f>
        <v/>
      </c>
      <c r="N121" t="str">
        <f>IF('TRACKER - 20220622'!P125&lt;&gt;"",UPPER('TRACKER - 20220622'!P125),"")</f>
        <v/>
      </c>
      <c r="O121" t="str">
        <f>IF('TRACKER - 20220622'!Q125&lt;&gt;"",UPPER('TRACKER - 20220622'!Q125),"")</f>
        <v>TREASURY</v>
      </c>
      <c r="P121" t="str">
        <f>IF('TRACKER - 20220622'!R125&lt;&gt;"",UPPER('TRACKER - 20220622'!R125),"")</f>
        <v>PROSPECT</v>
      </c>
      <c r="Q121" t="str">
        <f>IF('TRACKER - 20220622'!S125&lt;&gt;"",UPPER('TRACKER - 20220622'!S125),"")</f>
        <v/>
      </c>
      <c r="R121" t="str">
        <f>IF('TRACKER - 20220622'!T125&lt;&gt;"",UPPER('TRACKER - 20220622'!T125),"")</f>
        <v/>
      </c>
      <c r="S121" t="str">
        <f>IF('TRACKER - 20220622'!U125&lt;&gt;"",UPPER('TRACKER - 20220622'!U125),"")</f>
        <v/>
      </c>
      <c r="T121" t="str">
        <f>IF('TRACKER - 20220622'!V125&lt;&gt;"",UPPER('TRACKER - 20220622'!V125),"")</f>
        <v/>
      </c>
      <c r="U121" t="str">
        <f>IF('TRACKER - 20220622'!W125&lt;&gt;"",UPPER('TRACKER - 20220622'!W125),"")</f>
        <v/>
      </c>
      <c r="V121" t="str">
        <f>IF('TRACKER - 20220622'!X125&lt;&gt;"",UPPER('TRACKER - 20220622'!X125),"")</f>
        <v>RAISED AS PART OF C&amp;C LIKE FOR LIKE</v>
      </c>
      <c r="W121" t="str">
        <f>IF('TRACKER - 20220622'!Y125&lt;&gt;"",UPPER('TRACKER - 20220622'!Y125),"")</f>
        <v>0</v>
      </c>
      <c r="X121" t="str">
        <f>IF('TRACKER - 20220622'!Z125&lt;&gt;"",UPPER('TRACKER - 20220622'!Z125),"")</f>
        <v>0</v>
      </c>
      <c r="Y121" t="str">
        <f>IF('TRACKER - 20220622'!AA125&lt;&gt;"",UPPER('TRACKER - 20220622'!AA125),"")</f>
        <v>0</v>
      </c>
      <c r="Z121" t="str">
        <f>IF('TRACKER - 20220622'!AB125&lt;&gt;"",UPPER('TRACKER - 20220622'!AB125),"")</f>
        <v>0</v>
      </c>
      <c r="AA121" t="str">
        <f>IF('TRACKER - 20220622'!AC125&lt;&gt;"",UPPER('TRACKER - 20220622'!AC125),"")</f>
        <v>0</v>
      </c>
      <c r="AB121" t="str">
        <f>IF('TRACKER - 20220622'!AE125&lt;&gt;"",UPPER('TRACKER - 20220622'!AE125),"")</f>
        <v>0</v>
      </c>
      <c r="AC121" t="str">
        <f>IF('TRACKER - 20220622'!AF125&lt;&gt;"",UPPER('TRACKER - 20220622'!AF125),"")</f>
        <v>0</v>
      </c>
      <c r="AD121" t="str">
        <f>IF('TRACKER - 20220622'!AG125&lt;&gt;"",UPPER('TRACKER - 20220622'!AG125),"")</f>
        <v>0</v>
      </c>
      <c r="AE121" t="str">
        <f>IF('TRACKER - 20220622'!AH125&lt;&gt;"",UPPER('TRACKER - 20220622'!AH125),"")</f>
        <v>-150</v>
      </c>
      <c r="AF121" t="str">
        <f>IF('TRACKER - 20220622'!AI125&lt;&gt;"",UPPER('TRACKER - 20220622'!AI125),"")</f>
        <v/>
      </c>
      <c r="AG121" t="str">
        <f>IF('TRACKER - 20220622'!AJ125&lt;&gt;"",UPPER('TRACKER - 20220622'!AJ125),"")</f>
        <v>0</v>
      </c>
      <c r="AH121" t="str">
        <f>IF('TRACKER - 20220622'!AK125&lt;&gt;"",UPPER('TRACKER - 20220622'!AK125),"")</f>
        <v/>
      </c>
      <c r="AI121" t="str">
        <f>IF('TRACKER - 20220622'!AL125&lt;&gt;"",UPPER('TRACKER - 20220622'!AL125),"")</f>
        <v>0</v>
      </c>
      <c r="AJ121" t="str">
        <f>IF('TRACKER - 20220622'!AM125&lt;&gt;"",UPPER('TRACKER - 20220622'!AM125),"")</f>
        <v>0</v>
      </c>
      <c r="AK121" t="str">
        <f>IF('TRACKER - 20220622'!AN125&lt;&gt;"",UPPER('TRACKER - 20220622'!AN125),"")</f>
        <v/>
      </c>
      <c r="AL121" t="str">
        <f>IF('TRACKER - 20220622'!AO125&lt;&gt;"",UPPER('TRACKER - 20220622'!AO125),"")</f>
        <v>0</v>
      </c>
      <c r="AM121" t="str">
        <f>IF('TRACKER - 20220622'!AP125&lt;&gt;"",UPPER('TRACKER - 20220622'!AP125),"")</f>
        <v>0</v>
      </c>
      <c r="AN121" t="str">
        <f>IF('TRACKER - 20220622'!AQ125&lt;&gt;"",UPPER('TRACKER - 20220622'!AQ125),"")</f>
        <v>0</v>
      </c>
      <c r="AO121" t="str">
        <f>IF('TRACKER - 20220622'!AR125&lt;&gt;"",UPPER('TRACKER - 20220622'!AR125),"")</f>
        <v>PRD</v>
      </c>
      <c r="AP121" t="str">
        <f>IF('TRACKER - 20220622'!AS125&lt;&gt;"",UPPER('TRACKER - 20220622'!AS125),"")</f>
        <v>BLG</v>
      </c>
      <c r="AQ121" t="str">
        <f>IF('TRACKER - 20220622'!AT125&lt;&gt;"",UPPER('TRACKER - 20220622'!AT125),"")</f>
        <v>N</v>
      </c>
      <c r="AR121" t="str">
        <f>IF('TRACKER - 20220622'!AU125&lt;&gt;"",UPPER('TRACKER - 20220622'!AU125),"")</f>
        <v>-150</v>
      </c>
      <c r="AS121" t="str">
        <f>IF('TRACKER - 20220622'!AV125&lt;&gt;"",UPPER('TRACKER - 20220622'!AV125),"")</f>
        <v/>
      </c>
      <c r="AT121" t="str">
        <f>IF('TRACKER - 20220622'!AW125&lt;&gt;"",UPPER('TRACKER - 20220622'!AW125),"")</f>
        <v/>
      </c>
      <c r="AU121" t="str">
        <f>IF('TRACKER - 20220622'!AX125&lt;&gt;"",UPPER('TRACKER - 20220622'!AX125),"")</f>
        <v>REASON125</v>
      </c>
      <c r="AV121" t="str">
        <f>IF('TRACKER - 20220622'!BD140&lt;&gt;"",'TRACKER - 20220622'!BD140,"")</f>
        <v/>
      </c>
      <c r="AW121" t="str">
        <f>IF('TRACKER - 20220622'!BE140&lt;&gt;"",'TRACKER - 20220622'!BE140,"")</f>
        <v/>
      </c>
      <c r="AX121" t="str">
        <f>IF('TRACKER - 20220622'!BF140&lt;&gt;"",'TRACKER - 20220622'!BF140,"")</f>
        <v/>
      </c>
      <c r="AY121" t="str">
        <f>IF('TRACKER - 20220622'!BG140&lt;&gt;"",'TRACKER - 20220622'!BG140,"")</f>
        <v/>
      </c>
      <c r="AZ121" t="str">
        <f>IF('TRACKER - 20220622'!BH140&lt;&gt;"",'TRACKER - 20220622'!BH140,"")</f>
        <v/>
      </c>
      <c r="BA121" t="str">
        <f>IF('TRACKER - 20220622'!BI140&lt;&gt;"",'TRACKER - 20220622'!BI140,"")</f>
        <v/>
      </c>
      <c r="BB121" t="str">
        <f>IF('TRACKER - 20220622'!BJ140&lt;&gt;"",'TRACKER - 20220622'!BJ140,"")</f>
        <v/>
      </c>
      <c r="BC121" t="str">
        <f>IF('TRACKER - 20220622'!BK140&lt;&gt;"",'TRACKER - 20220622'!BK140,"")</f>
        <v/>
      </c>
      <c r="BD121" t="str">
        <f>IF('TRACKER - 20220622'!BL140&lt;&gt;"",'TRACKER - 20220622'!BL140,"")</f>
        <v/>
      </c>
      <c r="BE121" t="str">
        <f>IF('TRACKER - 20220622'!BM140&lt;&gt;"",'TRACKER - 20220622'!BM140,"")</f>
        <v/>
      </c>
      <c r="BF121" t="str">
        <f>IF('TRACKER - 20220622'!BN140&lt;&gt;"",'TRACKER - 20220622'!BN140,"")</f>
        <v/>
      </c>
      <c r="BG121" t="str">
        <f>IF('TRACKER - 20220622'!BO140&lt;&gt;"",'TRACKER - 20220622'!BO140,"")</f>
        <v/>
      </c>
    </row>
    <row r="122" spans="1:59">
      <c r="A122" t="str">
        <f>IF('TRACKER - 20220622'!A141&lt;&gt;"",UPPER('TRACKER - 20220622'!A141),"")</f>
        <v>RAND MERCHANT BANK</v>
      </c>
      <c r="B122" t="str">
        <f>IF('TRACKER - 20220622'!B141&lt;&gt;"",UPPER('TRACKER - 20220622'!B141),"")</f>
        <v>N</v>
      </c>
      <c r="C122" t="str">
        <f>IF('TRACKER - 20220622'!D126&lt;&gt;"",UPPER('TRACKER - 20220622'!D126),"")</f>
        <v>2</v>
      </c>
      <c r="D122" t="str">
        <f>IF('TRACKER - 20220622'!F141&lt;&gt;"",UPPER('TRACKER - 20220622'!F141),"")</f>
        <v>RMB-RSC-2019-00210</v>
      </c>
      <c r="E122" t="str">
        <f>IF('TRACKER - 20220622'!H141&lt;&gt;"",'TRACKER - 20220622'!H141,"")</f>
        <v>RSC210 - Accelerate Multi-Deal Upload for multiple Entities</v>
      </c>
      <c r="F122" t="str">
        <f t="shared" si="2"/>
        <v>RMB-RSC-2019-00210 RSC210 - Accelerate Multi-Deal Upload for multiple Entities</v>
      </c>
      <c r="G122" t="str">
        <f t="shared" si="3"/>
        <v>00002 - RSC210 - Accelerate Multi-Deal Upload for multiple Entities</v>
      </c>
      <c r="H122">
        <f>IF('TRACKER - 20220622'!J141&lt;&gt;"",'TRACKER - 20220622'!J141,"")</f>
        <v>17289.956249999999</v>
      </c>
      <c r="I122" t="str">
        <f>IF('TRACKER - 20220622'!K126&lt;&gt;"",UPPER('TRACKER - 20220622'!K126),"")</f>
        <v>44105</v>
      </c>
      <c r="J122" t="str">
        <f>IF('TRACKER - 20220622'!L126&lt;&gt;"",UPPER('TRACKER - 20220622'!L126),"")</f>
        <v>44105</v>
      </c>
      <c r="K122" t="str">
        <f>IF('TRACKER - 20220622'!M126&lt;&gt;"",UPPER('TRACKER - 20220622'!M126),"")</f>
        <v/>
      </c>
      <c r="L122" t="str">
        <f>IF('TRACKER - 20220622'!N126&lt;&gt;"",UPPER('TRACKER - 20220622'!N126),"")</f>
        <v/>
      </c>
      <c r="M122" t="str">
        <f>IF('TRACKER - 20220622'!O126&lt;&gt;"",UPPER('TRACKER - 20220622'!O126),"")</f>
        <v/>
      </c>
      <c r="N122" t="str">
        <f>IF('TRACKER - 20220622'!P126&lt;&gt;"",UPPER('TRACKER - 20220622'!P126),"")</f>
        <v/>
      </c>
      <c r="O122" t="str">
        <f>IF('TRACKER - 20220622'!Q126&lt;&gt;"",UPPER('TRACKER - 20220622'!Q126),"")</f>
        <v>AGREEMENTS</v>
      </c>
      <c r="P122" t="str">
        <f>IF('TRACKER - 20220622'!R126&lt;&gt;"",UPPER('TRACKER - 20220622'!R126),"")</f>
        <v>PROSPECT</v>
      </c>
      <c r="Q122" t="str">
        <f>IF('TRACKER - 20220622'!S126&lt;&gt;"",UPPER('TRACKER - 20220622'!S126),"")</f>
        <v/>
      </c>
      <c r="R122" t="str">
        <f>IF('TRACKER - 20220622'!T126&lt;&gt;"",UPPER('TRACKER - 20220622'!T126),"")</f>
        <v/>
      </c>
      <c r="S122" t="str">
        <f>IF('TRACKER - 20220622'!U126&lt;&gt;"",UPPER('TRACKER - 20220622'!U126),"")</f>
        <v/>
      </c>
      <c r="T122" t="str">
        <f>IF('TRACKER - 20220622'!V126&lt;&gt;"",UPPER('TRACKER - 20220622'!V126),"")</f>
        <v/>
      </c>
      <c r="U122" t="str">
        <f>IF('TRACKER - 20220622'!W126&lt;&gt;"",UPPER('TRACKER - 20220622'!W126),"")</f>
        <v/>
      </c>
      <c r="V122" t="str">
        <f>IF('TRACKER - 20220622'!X126&lt;&gt;"",UPPER('TRACKER - 20220622'!X126),"")</f>
        <v>"THE PLATFORM SHOULD BE ABLE TO PRODUCE TRANSACTION REPORTS (BOTH NEW AND LIFE CYCLE), DAILY CCP MARGIN REPORTS (CHANGES IN VM OF THE CENTRALLY CLEARED SFT'S) AND DAILY COLLATERAL REUSE REPORTS (CHANGES IN THE REUSE OF COLLATERAL). 
CAN YOUR PLATFORM PRODUCE TRANSACTION REPORTS, DAILY CCP MARGIN REPORTS AND DAILY COLLATERAL REUSE REPORTS?"</v>
      </c>
      <c r="W122" t="str">
        <f>IF('TRACKER - 20220622'!Y126&lt;&gt;"",UPPER('TRACKER - 20220622'!Y126),"")</f>
        <v>0</v>
      </c>
      <c r="X122" t="str">
        <f>IF('TRACKER - 20220622'!Z126&lt;&gt;"",UPPER('TRACKER - 20220622'!Z126),"")</f>
        <v>0</v>
      </c>
      <c r="Y122" t="str">
        <f>IF('TRACKER - 20220622'!AA126&lt;&gt;"",UPPER('TRACKER - 20220622'!AA126),"")</f>
        <v>0</v>
      </c>
      <c r="Z122" t="str">
        <f>IF('TRACKER - 20220622'!AB126&lt;&gt;"",UPPER('TRACKER - 20220622'!AB126),"")</f>
        <v>0</v>
      </c>
      <c r="AA122" t="str">
        <f>IF('TRACKER - 20220622'!AC126&lt;&gt;"",UPPER('TRACKER - 20220622'!AC126),"")</f>
        <v>0</v>
      </c>
      <c r="AB122" t="str">
        <f>IF('TRACKER - 20220622'!AE126&lt;&gt;"",UPPER('TRACKER - 20220622'!AE126),"")</f>
        <v>0</v>
      </c>
      <c r="AC122" t="str">
        <f>IF('TRACKER - 20220622'!AF126&lt;&gt;"",UPPER('TRACKER - 20220622'!AF126),"")</f>
        <v>0</v>
      </c>
      <c r="AD122" t="str">
        <f>IF('TRACKER - 20220622'!AG126&lt;&gt;"",UPPER('TRACKER - 20220622'!AG126),"")</f>
        <v>0</v>
      </c>
      <c r="AE122" t="str">
        <f>IF('TRACKER - 20220622'!AH126&lt;&gt;"",UPPER('TRACKER - 20220622'!AH126),"")</f>
        <v>-150</v>
      </c>
      <c r="AF122" t="str">
        <f>IF('TRACKER - 20220622'!AI126&lt;&gt;"",UPPER('TRACKER - 20220622'!AI126),"")</f>
        <v/>
      </c>
      <c r="AG122" t="str">
        <f>IF('TRACKER - 20220622'!AJ126&lt;&gt;"",UPPER('TRACKER - 20220622'!AJ126),"")</f>
        <v>0</v>
      </c>
      <c r="AH122" t="str">
        <f>IF('TRACKER - 20220622'!AK126&lt;&gt;"",UPPER('TRACKER - 20220622'!AK126),"")</f>
        <v/>
      </c>
      <c r="AI122" t="str">
        <f>IF('TRACKER - 20220622'!AL126&lt;&gt;"",UPPER('TRACKER - 20220622'!AL126),"")</f>
        <v>0</v>
      </c>
      <c r="AJ122" t="str">
        <f>IF('TRACKER - 20220622'!AM126&lt;&gt;"",UPPER('TRACKER - 20220622'!AM126),"")</f>
        <v>0</v>
      </c>
      <c r="AK122" t="str">
        <f>IF('TRACKER - 20220622'!AN126&lt;&gt;"",UPPER('TRACKER - 20220622'!AN126),"")</f>
        <v/>
      </c>
      <c r="AL122" t="str">
        <f>IF('TRACKER - 20220622'!AO126&lt;&gt;"",UPPER('TRACKER - 20220622'!AO126),"")</f>
        <v>0</v>
      </c>
      <c r="AM122" t="str">
        <f>IF('TRACKER - 20220622'!AP126&lt;&gt;"",UPPER('TRACKER - 20220622'!AP126),"")</f>
        <v>0</v>
      </c>
      <c r="AN122" t="str">
        <f>IF('TRACKER - 20220622'!AQ126&lt;&gt;"",UPPER('TRACKER - 20220622'!AQ126),"")</f>
        <v>0</v>
      </c>
      <c r="AO122" t="str">
        <f>IF('TRACKER - 20220622'!AR126&lt;&gt;"",UPPER('TRACKER - 20220622'!AR126),"")</f>
        <v>PRD</v>
      </c>
      <c r="AP122" t="str">
        <f>IF('TRACKER - 20220622'!AS126&lt;&gt;"",UPPER('TRACKER - 20220622'!AS126),"")</f>
        <v>BLG</v>
      </c>
      <c r="AQ122" t="str">
        <f>IF('TRACKER - 20220622'!AT126&lt;&gt;"",UPPER('TRACKER - 20220622'!AT126),"")</f>
        <v>N</v>
      </c>
      <c r="AR122" t="str">
        <f>IF('TRACKER - 20220622'!AU126&lt;&gt;"",UPPER('TRACKER - 20220622'!AU126),"")</f>
        <v>-150</v>
      </c>
      <c r="AS122" t="str">
        <f>IF('TRACKER - 20220622'!AV126&lt;&gt;"",UPPER('TRACKER - 20220622'!AV126),"")</f>
        <v/>
      </c>
      <c r="AT122" t="str">
        <f>IF('TRACKER - 20220622'!AW126&lt;&gt;"",UPPER('TRACKER - 20220622'!AW126),"")</f>
        <v/>
      </c>
      <c r="AU122" t="str">
        <f>IF('TRACKER - 20220622'!AX126&lt;&gt;"",UPPER('TRACKER - 20220622'!AX126),"")</f>
        <v>REASON126</v>
      </c>
      <c r="AV122" t="str">
        <f>IF('TRACKER - 20220622'!BD141&lt;&gt;"",'TRACKER - 20220622'!BD141,"")</f>
        <v/>
      </c>
      <c r="AW122" t="str">
        <f>IF('TRACKER - 20220622'!BE141&lt;&gt;"",'TRACKER - 20220622'!BE141,"")</f>
        <v/>
      </c>
      <c r="AX122" t="str">
        <f>IF('TRACKER - 20220622'!BF141&lt;&gt;"",'TRACKER - 20220622'!BF141,"")</f>
        <v/>
      </c>
      <c r="AY122" t="str">
        <f>IF('TRACKER - 20220622'!BG141&lt;&gt;"",'TRACKER - 20220622'!BG141,"")</f>
        <v/>
      </c>
      <c r="AZ122" t="str">
        <f>IF('TRACKER - 20220622'!BH141&lt;&gt;"",'TRACKER - 20220622'!BH141,"")</f>
        <v/>
      </c>
      <c r="BA122" t="str">
        <f>IF('TRACKER - 20220622'!BI141&lt;&gt;"",'TRACKER - 20220622'!BI141,"")</f>
        <v/>
      </c>
      <c r="BB122" t="str">
        <f>IF('TRACKER - 20220622'!BJ141&lt;&gt;"",'TRACKER - 20220622'!BJ141,"")</f>
        <v/>
      </c>
      <c r="BC122" t="str">
        <f>IF('TRACKER - 20220622'!BK141&lt;&gt;"",'TRACKER - 20220622'!BK141,"")</f>
        <v/>
      </c>
      <c r="BD122" t="str">
        <f>IF('TRACKER - 20220622'!BL141&lt;&gt;"",'TRACKER - 20220622'!BL141,"")</f>
        <v/>
      </c>
      <c r="BE122" t="str">
        <f>IF('TRACKER - 20220622'!BM141&lt;&gt;"",'TRACKER - 20220622'!BM141,"")</f>
        <v/>
      </c>
      <c r="BF122" t="str">
        <f>IF('TRACKER - 20220622'!BN141&lt;&gt;"",'TRACKER - 20220622'!BN141,"")</f>
        <v/>
      </c>
      <c r="BG122" t="str">
        <f>IF('TRACKER - 20220622'!BO141&lt;&gt;"",'TRACKER - 20220622'!BO141,"")</f>
        <v/>
      </c>
    </row>
    <row r="123" spans="1:59">
      <c r="A123" t="str">
        <f>IF('TRACKER - 20220622'!A142&lt;&gt;"",UPPER('TRACKER - 20220622'!A142),"")</f>
        <v>RAND MERCHANT BANK</v>
      </c>
      <c r="B123" t="str">
        <f>IF('TRACKER - 20220622'!B142&lt;&gt;"",UPPER('TRACKER - 20220622'!B142),"")</f>
        <v>Y</v>
      </c>
      <c r="C123" t="str">
        <f>IF('TRACKER - 20220622'!D127&lt;&gt;"",UPPER('TRACKER - 20220622'!D127),"")</f>
        <v>3</v>
      </c>
      <c r="D123" t="str">
        <f>IF('TRACKER - 20220622'!F142&lt;&gt;"",UPPER('TRACKER - 20220622'!F142),"")</f>
        <v>RMB-RSC-2020-00204</v>
      </c>
      <c r="E123" t="str">
        <f>IF('TRACKER - 20220622'!H142&lt;&gt;"",'TRACKER - 20220622'!H142,"")</f>
        <v>RSC204 - User Managed SSI's</v>
      </c>
      <c r="F123" t="str">
        <f t="shared" si="2"/>
        <v>RMB-RSC-2020-00204 RSC204 - User Managed SSI's</v>
      </c>
      <c r="G123" t="str">
        <f t="shared" si="3"/>
        <v>00003 - RSC204 - User Managed SSI's</v>
      </c>
      <c r="H123">
        <f>IF('TRACKER - 20220622'!J142&lt;&gt;"",'TRACKER - 20220622'!J142,"")</f>
        <v>0</v>
      </c>
      <c r="I123" t="str">
        <f>IF('TRACKER - 20220622'!K127&lt;&gt;"",UPPER('TRACKER - 20220622'!K127),"")</f>
        <v>44105</v>
      </c>
      <c r="J123" t="str">
        <f>IF('TRACKER - 20220622'!L127&lt;&gt;"",UPPER('TRACKER - 20220622'!L127),"")</f>
        <v>44105</v>
      </c>
      <c r="K123" t="str">
        <f>IF('TRACKER - 20220622'!M127&lt;&gt;"",UPPER('TRACKER - 20220622'!M127),"")</f>
        <v/>
      </c>
      <c r="L123" t="str">
        <f>IF('TRACKER - 20220622'!N127&lt;&gt;"",UPPER('TRACKER - 20220622'!N127),"")</f>
        <v/>
      </c>
      <c r="M123" t="str">
        <f>IF('TRACKER - 20220622'!O127&lt;&gt;"",UPPER('TRACKER - 20220622'!O127),"")</f>
        <v/>
      </c>
      <c r="N123" t="str">
        <f>IF('TRACKER - 20220622'!P127&lt;&gt;"",UPPER('TRACKER - 20220622'!P127),"")</f>
        <v/>
      </c>
      <c r="O123" t="str">
        <f>IF('TRACKER - 20220622'!Q127&lt;&gt;"",UPPER('TRACKER - 20220622'!Q127),"")</f>
        <v>AGREEMENTS</v>
      </c>
      <c r="P123" t="str">
        <f>IF('TRACKER - 20220622'!R127&lt;&gt;"",UPPER('TRACKER - 20220622'!R127),"")</f>
        <v>PROSPECT</v>
      </c>
      <c r="Q123" t="str">
        <f>IF('TRACKER - 20220622'!S127&lt;&gt;"",UPPER('TRACKER - 20220622'!S127),"")</f>
        <v/>
      </c>
      <c r="R123" t="str">
        <f>IF('TRACKER - 20220622'!T127&lt;&gt;"",UPPER('TRACKER - 20220622'!T127),"")</f>
        <v/>
      </c>
      <c r="S123" t="str">
        <f>IF('TRACKER - 20220622'!U127&lt;&gt;"",UPPER('TRACKER - 20220622'!U127),"")</f>
        <v/>
      </c>
      <c r="T123" t="str">
        <f>IF('TRACKER - 20220622'!V127&lt;&gt;"",UPPER('TRACKER - 20220622'!V127),"")</f>
        <v/>
      </c>
      <c r="U123" t="str">
        <f>IF('TRACKER - 20220622'!W127&lt;&gt;"",UPPER('TRACKER - 20220622'!W127),"")</f>
        <v/>
      </c>
      <c r="V123" t="str">
        <f>IF('TRACKER - 20220622'!X127&lt;&gt;"",UPPER('TRACKER - 20220622'!X127),"")</f>
        <v>THE PLATFORM SHOULD BE CAPABLE OF PERFORMING SIMM SENSITIVITY CALCULATIONS AT ISBANK GROUP LEVEL. IF THE PLATFORM DOESN'T HAVE SUCH CAPABILITY, IT SHOULD ENABLE INTEGRATION WITH 3RD PARTY APPLICATIONS. 
"THE SIMM MODEL SHOULD BE BACKTESTED AT LEAST QUARTERLY AND PARAMETERS USED IN INITIAL MARGIN MODELS SHOULD BE CALIBRATED AT LEAST ANNUALLY. FOR THIS REASON, THE PLATFORM SHOULD HAVE THESE FEATURES. 
DOES YOUR PLATFORM HAVE BACKTESTING AND CALIBRATION CAPABILITIES, AND IF IT AUTOMATICALLY COMPLETES THOSE TASKS, WHAT WILL BE OUR RESPONSIBILITY IN THE PROCESS?"</v>
      </c>
      <c r="W123" t="str">
        <f>IF('TRACKER - 20220622'!Y127&lt;&gt;"",UPPER('TRACKER - 20220622'!Y127),"")</f>
        <v>0</v>
      </c>
      <c r="X123" t="str">
        <f>IF('TRACKER - 20220622'!Z127&lt;&gt;"",UPPER('TRACKER - 20220622'!Z127),"")</f>
        <v>0</v>
      </c>
      <c r="Y123" t="str">
        <f>IF('TRACKER - 20220622'!AA127&lt;&gt;"",UPPER('TRACKER - 20220622'!AA127),"")</f>
        <v>0</v>
      </c>
      <c r="Z123" t="str">
        <f>IF('TRACKER - 20220622'!AB127&lt;&gt;"",UPPER('TRACKER - 20220622'!AB127),"")</f>
        <v>0</v>
      </c>
      <c r="AA123" t="str">
        <f>IF('TRACKER - 20220622'!AC127&lt;&gt;"",UPPER('TRACKER - 20220622'!AC127),"")</f>
        <v>0</v>
      </c>
      <c r="AB123" t="str">
        <f>IF('TRACKER - 20220622'!AE127&lt;&gt;"",UPPER('TRACKER - 20220622'!AE127),"")</f>
        <v>0</v>
      </c>
      <c r="AC123" t="str">
        <f>IF('TRACKER - 20220622'!AF127&lt;&gt;"",UPPER('TRACKER - 20220622'!AF127),"")</f>
        <v>0</v>
      </c>
      <c r="AD123" t="str">
        <f>IF('TRACKER - 20220622'!AG127&lt;&gt;"",UPPER('TRACKER - 20220622'!AG127),"")</f>
        <v>0</v>
      </c>
      <c r="AE123" t="str">
        <f>IF('TRACKER - 20220622'!AH127&lt;&gt;"",UPPER('TRACKER - 20220622'!AH127),"")</f>
        <v>-150</v>
      </c>
      <c r="AF123" t="str">
        <f>IF('TRACKER - 20220622'!AI127&lt;&gt;"",UPPER('TRACKER - 20220622'!AI127),"")</f>
        <v/>
      </c>
      <c r="AG123" t="str">
        <f>IF('TRACKER - 20220622'!AJ127&lt;&gt;"",UPPER('TRACKER - 20220622'!AJ127),"")</f>
        <v>0</v>
      </c>
      <c r="AH123" t="str">
        <f>IF('TRACKER - 20220622'!AK127&lt;&gt;"",UPPER('TRACKER - 20220622'!AK127),"")</f>
        <v/>
      </c>
      <c r="AI123" t="str">
        <f>IF('TRACKER - 20220622'!AL127&lt;&gt;"",UPPER('TRACKER - 20220622'!AL127),"")</f>
        <v>0</v>
      </c>
      <c r="AJ123" t="str">
        <f>IF('TRACKER - 20220622'!AM127&lt;&gt;"",UPPER('TRACKER - 20220622'!AM127),"")</f>
        <v>0</v>
      </c>
      <c r="AK123" t="str">
        <f>IF('TRACKER - 20220622'!AN127&lt;&gt;"",UPPER('TRACKER - 20220622'!AN127),"")</f>
        <v/>
      </c>
      <c r="AL123" t="str">
        <f>IF('TRACKER - 20220622'!AO127&lt;&gt;"",UPPER('TRACKER - 20220622'!AO127),"")</f>
        <v>0</v>
      </c>
      <c r="AM123" t="str">
        <f>IF('TRACKER - 20220622'!AP127&lt;&gt;"",UPPER('TRACKER - 20220622'!AP127),"")</f>
        <v>0</v>
      </c>
      <c r="AN123" t="str">
        <f>IF('TRACKER - 20220622'!AQ127&lt;&gt;"",UPPER('TRACKER - 20220622'!AQ127),"")</f>
        <v>0</v>
      </c>
      <c r="AO123" t="str">
        <f>IF('TRACKER - 20220622'!AR127&lt;&gt;"",UPPER('TRACKER - 20220622'!AR127),"")</f>
        <v>PRD</v>
      </c>
      <c r="AP123" t="str">
        <f>IF('TRACKER - 20220622'!AS127&lt;&gt;"",UPPER('TRACKER - 20220622'!AS127),"")</f>
        <v>BLG</v>
      </c>
      <c r="AQ123" t="str">
        <f>IF('TRACKER - 20220622'!AT127&lt;&gt;"",UPPER('TRACKER - 20220622'!AT127),"")</f>
        <v>N</v>
      </c>
      <c r="AR123" t="str">
        <f>IF('TRACKER - 20220622'!AU127&lt;&gt;"",UPPER('TRACKER - 20220622'!AU127),"")</f>
        <v>-150</v>
      </c>
      <c r="AS123" t="str">
        <f>IF('TRACKER - 20220622'!AV127&lt;&gt;"",UPPER('TRACKER - 20220622'!AV127),"")</f>
        <v/>
      </c>
      <c r="AT123" t="str">
        <f>IF('TRACKER - 20220622'!AW127&lt;&gt;"",UPPER('TRACKER - 20220622'!AW127),"")</f>
        <v/>
      </c>
      <c r="AU123" t="str">
        <f>IF('TRACKER - 20220622'!AX127&lt;&gt;"",UPPER('TRACKER - 20220622'!AX127),"")</f>
        <v>REASON127</v>
      </c>
      <c r="AV123" t="str">
        <f>IF('TRACKER - 20220622'!BD142&lt;&gt;"",'TRACKER - 20220622'!BD142,"")</f>
        <v/>
      </c>
      <c r="AW123" t="str">
        <f>IF('TRACKER - 20220622'!BE142&lt;&gt;"",'TRACKER - 20220622'!BE142,"")</f>
        <v/>
      </c>
      <c r="AX123" t="str">
        <f>IF('TRACKER - 20220622'!BF142&lt;&gt;"",'TRACKER - 20220622'!BF142,"")</f>
        <v/>
      </c>
      <c r="AY123" t="str">
        <f>IF('TRACKER - 20220622'!BG142&lt;&gt;"",'TRACKER - 20220622'!BG142,"")</f>
        <v/>
      </c>
      <c r="AZ123" t="str">
        <f>IF('TRACKER - 20220622'!BH142&lt;&gt;"",'TRACKER - 20220622'!BH142,"")</f>
        <v/>
      </c>
      <c r="BA123" t="str">
        <f>IF('TRACKER - 20220622'!BI142&lt;&gt;"",'TRACKER - 20220622'!BI142,"")</f>
        <v/>
      </c>
      <c r="BB123" t="str">
        <f>IF('TRACKER - 20220622'!BJ142&lt;&gt;"",'TRACKER - 20220622'!BJ142,"")</f>
        <v/>
      </c>
      <c r="BC123" t="str">
        <f>IF('TRACKER - 20220622'!BK142&lt;&gt;"",'TRACKER - 20220622'!BK142,"")</f>
        <v/>
      </c>
      <c r="BD123" t="str">
        <f>IF('TRACKER - 20220622'!BL142&lt;&gt;"",'TRACKER - 20220622'!BL142,"")</f>
        <v/>
      </c>
      <c r="BE123" t="str">
        <f>IF('TRACKER - 20220622'!BM142&lt;&gt;"",'TRACKER - 20220622'!BM142,"")</f>
        <v/>
      </c>
      <c r="BF123" t="str">
        <f>IF('TRACKER - 20220622'!BN142&lt;&gt;"",'TRACKER - 20220622'!BN142,"")</f>
        <v/>
      </c>
      <c r="BG123" t="str">
        <f>IF('TRACKER - 20220622'!BO142&lt;&gt;"",'TRACKER - 20220622'!BO142,"")</f>
        <v/>
      </c>
    </row>
    <row r="124" spans="1:59">
      <c r="A124" t="str">
        <f>IF('TRACKER - 20220622'!A143&lt;&gt;"",UPPER('TRACKER - 20220622'!A143),"")</f>
        <v>RAND MERCHANT BANK</v>
      </c>
      <c r="B124" t="str">
        <f>IF('TRACKER - 20220622'!B143&lt;&gt;"",UPPER('TRACKER - 20220622'!B143),"")</f>
        <v>Y</v>
      </c>
      <c r="C124" t="str">
        <f>IF('TRACKER - 20220622'!D128&lt;&gt;"",UPPER('TRACKER - 20220622'!D128),"")</f>
        <v>4</v>
      </c>
      <c r="D124" t="str">
        <f>IF('TRACKER - 20220622'!F143&lt;&gt;"",UPPER('TRACKER - 20220622'!F143),"")</f>
        <v>RMB-RSC-2020-00000</v>
      </c>
      <c r="E124" t="str">
        <f>IF('TRACKER - 20220622'!H143&lt;&gt;"",'TRACKER - 20220622'!H143,"")</f>
        <v>Market Connectivity - Certificated/Approved OOTB Connections</v>
      </c>
      <c r="F124" t="str">
        <f t="shared" si="2"/>
        <v>RMB-RSC-2020-00000 Market Connectivity - Certificated/Approved OOTB Connections</v>
      </c>
      <c r="G124" t="str">
        <f t="shared" si="3"/>
        <v>00004 - Market Connectivity - Certificated/Approved OOTB Connections</v>
      </c>
      <c r="H124">
        <f>IF('TRACKER - 20220622'!J143&lt;&gt;"",'TRACKER - 20220622'!J143,"")</f>
        <v>0</v>
      </c>
      <c r="I124" t="str">
        <f>IF('TRACKER - 20220622'!K128&lt;&gt;"",UPPER('TRACKER - 20220622'!K128),"")</f>
        <v>44105</v>
      </c>
      <c r="J124" t="str">
        <f>IF('TRACKER - 20220622'!L128&lt;&gt;"",UPPER('TRACKER - 20220622'!L128),"")</f>
        <v>44105</v>
      </c>
      <c r="K124" t="str">
        <f>IF('TRACKER - 20220622'!M128&lt;&gt;"",UPPER('TRACKER - 20220622'!M128),"")</f>
        <v/>
      </c>
      <c r="L124" t="str">
        <f>IF('TRACKER - 20220622'!N128&lt;&gt;"",UPPER('TRACKER - 20220622'!N128),"")</f>
        <v/>
      </c>
      <c r="M124" t="str">
        <f>IF('TRACKER - 20220622'!O128&lt;&gt;"",UPPER('TRACKER - 20220622'!O128),"")</f>
        <v/>
      </c>
      <c r="N124" t="str">
        <f>IF('TRACKER - 20220622'!P128&lt;&gt;"",UPPER('TRACKER - 20220622'!P128),"")</f>
        <v/>
      </c>
      <c r="O124" t="str">
        <f>IF('TRACKER - 20220622'!Q128&lt;&gt;"",UPPER('TRACKER - 20220622'!Q128),"")</f>
        <v>AGREEMENTS</v>
      </c>
      <c r="P124" t="str">
        <f>IF('TRACKER - 20220622'!R128&lt;&gt;"",UPPER('TRACKER - 20220622'!R128),"")</f>
        <v>PROSPECT</v>
      </c>
      <c r="Q124" t="str">
        <f>IF('TRACKER - 20220622'!S128&lt;&gt;"",UPPER('TRACKER - 20220622'!S128),"")</f>
        <v/>
      </c>
      <c r="R124" t="str">
        <f>IF('TRACKER - 20220622'!T128&lt;&gt;"",UPPER('TRACKER - 20220622'!T128),"")</f>
        <v/>
      </c>
      <c r="S124" t="str">
        <f>IF('TRACKER - 20220622'!U128&lt;&gt;"",UPPER('TRACKER - 20220622'!U128),"")</f>
        <v/>
      </c>
      <c r="T124" t="str">
        <f>IF('TRACKER - 20220622'!V128&lt;&gt;"",UPPER('TRACKER - 20220622'!V128),"")</f>
        <v/>
      </c>
      <c r="U124" t="str">
        <f>IF('TRACKER - 20220622'!W128&lt;&gt;"",UPPER('TRACKER - 20220622'!W128),"")</f>
        <v/>
      </c>
      <c r="V124" t="str">
        <f>IF('TRACKER - 20220622'!X128&lt;&gt;"",UPPER('TRACKER - 20220622'!X128),"")</f>
        <v>RECONCILIATION SHOULD BE HANDLED PER AGREEMENT SIGNED WITH COUNTERPARTIES.</v>
      </c>
      <c r="W124" t="str">
        <f>IF('TRACKER - 20220622'!Y128&lt;&gt;"",UPPER('TRACKER - 20220622'!Y128),"")</f>
        <v>0</v>
      </c>
      <c r="X124" t="str">
        <f>IF('TRACKER - 20220622'!Z128&lt;&gt;"",UPPER('TRACKER - 20220622'!Z128),"")</f>
        <v>0</v>
      </c>
      <c r="Y124" t="str">
        <f>IF('TRACKER - 20220622'!AA128&lt;&gt;"",UPPER('TRACKER - 20220622'!AA128),"")</f>
        <v>0</v>
      </c>
      <c r="Z124" t="str">
        <f>IF('TRACKER - 20220622'!AB128&lt;&gt;"",UPPER('TRACKER - 20220622'!AB128),"")</f>
        <v>0</v>
      </c>
      <c r="AA124" t="str">
        <f>IF('TRACKER - 20220622'!AC128&lt;&gt;"",UPPER('TRACKER - 20220622'!AC128),"")</f>
        <v>0</v>
      </c>
      <c r="AB124" t="str">
        <f>IF('TRACKER - 20220622'!AE128&lt;&gt;"",UPPER('TRACKER - 20220622'!AE128),"")</f>
        <v>0</v>
      </c>
      <c r="AC124" t="str">
        <f>IF('TRACKER - 20220622'!AF128&lt;&gt;"",UPPER('TRACKER - 20220622'!AF128),"")</f>
        <v>0</v>
      </c>
      <c r="AD124" t="str">
        <f>IF('TRACKER - 20220622'!AG128&lt;&gt;"",UPPER('TRACKER - 20220622'!AG128),"")</f>
        <v>0</v>
      </c>
      <c r="AE124" t="str">
        <f>IF('TRACKER - 20220622'!AH128&lt;&gt;"",UPPER('TRACKER - 20220622'!AH128),"")</f>
        <v>-150</v>
      </c>
      <c r="AF124" t="str">
        <f>IF('TRACKER - 20220622'!AI128&lt;&gt;"",UPPER('TRACKER - 20220622'!AI128),"")</f>
        <v/>
      </c>
      <c r="AG124" t="str">
        <f>IF('TRACKER - 20220622'!AJ128&lt;&gt;"",UPPER('TRACKER - 20220622'!AJ128),"")</f>
        <v>0</v>
      </c>
      <c r="AH124" t="str">
        <f>IF('TRACKER - 20220622'!AK128&lt;&gt;"",UPPER('TRACKER - 20220622'!AK128),"")</f>
        <v/>
      </c>
      <c r="AI124" t="str">
        <f>IF('TRACKER - 20220622'!AL128&lt;&gt;"",UPPER('TRACKER - 20220622'!AL128),"")</f>
        <v>0</v>
      </c>
      <c r="AJ124" t="str">
        <f>IF('TRACKER - 20220622'!AM128&lt;&gt;"",UPPER('TRACKER - 20220622'!AM128),"")</f>
        <v>0</v>
      </c>
      <c r="AK124" t="str">
        <f>IF('TRACKER - 20220622'!AN128&lt;&gt;"",UPPER('TRACKER - 20220622'!AN128),"")</f>
        <v/>
      </c>
      <c r="AL124" t="str">
        <f>IF('TRACKER - 20220622'!AO128&lt;&gt;"",UPPER('TRACKER - 20220622'!AO128),"")</f>
        <v>0</v>
      </c>
      <c r="AM124" t="str">
        <f>IF('TRACKER - 20220622'!AP128&lt;&gt;"",UPPER('TRACKER - 20220622'!AP128),"")</f>
        <v>0</v>
      </c>
      <c r="AN124" t="str">
        <f>IF('TRACKER - 20220622'!AQ128&lt;&gt;"",UPPER('TRACKER - 20220622'!AQ128),"")</f>
        <v>0</v>
      </c>
      <c r="AO124" t="str">
        <f>IF('TRACKER - 20220622'!AR128&lt;&gt;"",UPPER('TRACKER - 20220622'!AR128),"")</f>
        <v>PRD</v>
      </c>
      <c r="AP124" t="str">
        <f>IF('TRACKER - 20220622'!AS128&lt;&gt;"",UPPER('TRACKER - 20220622'!AS128),"")</f>
        <v>BLG</v>
      </c>
      <c r="AQ124" t="str">
        <f>IF('TRACKER - 20220622'!AT128&lt;&gt;"",UPPER('TRACKER - 20220622'!AT128),"")</f>
        <v>N</v>
      </c>
      <c r="AR124" t="str">
        <f>IF('TRACKER - 20220622'!AU128&lt;&gt;"",UPPER('TRACKER - 20220622'!AU128),"")</f>
        <v>-150</v>
      </c>
      <c r="AS124" t="str">
        <f>IF('TRACKER - 20220622'!AV128&lt;&gt;"",UPPER('TRACKER - 20220622'!AV128),"")</f>
        <v/>
      </c>
      <c r="AT124" t="str">
        <f>IF('TRACKER - 20220622'!AW128&lt;&gt;"",UPPER('TRACKER - 20220622'!AW128),"")</f>
        <v/>
      </c>
      <c r="AU124" t="str">
        <f>IF('TRACKER - 20220622'!AX128&lt;&gt;"",UPPER('TRACKER - 20220622'!AX128),"")</f>
        <v>REASON128</v>
      </c>
      <c r="AV124" t="str">
        <f>IF('TRACKER - 20220622'!BD143&lt;&gt;"",'TRACKER - 20220622'!BD143,"")</f>
        <v/>
      </c>
      <c r="AW124" t="str">
        <f>IF('TRACKER - 20220622'!BE143&lt;&gt;"",'TRACKER - 20220622'!BE143,"")</f>
        <v/>
      </c>
      <c r="AX124" t="str">
        <f>IF('TRACKER - 20220622'!BF143&lt;&gt;"",'TRACKER - 20220622'!BF143,"")</f>
        <v/>
      </c>
      <c r="AY124" t="str">
        <f>IF('TRACKER - 20220622'!BG143&lt;&gt;"",'TRACKER - 20220622'!BG143,"")</f>
        <v/>
      </c>
      <c r="AZ124" t="str">
        <f>IF('TRACKER - 20220622'!BH143&lt;&gt;"",'TRACKER - 20220622'!BH143,"")</f>
        <v/>
      </c>
      <c r="BA124" t="str">
        <f>IF('TRACKER - 20220622'!BI143&lt;&gt;"",'TRACKER - 20220622'!BI143,"")</f>
        <v/>
      </c>
      <c r="BB124" t="str">
        <f>IF('TRACKER - 20220622'!BJ143&lt;&gt;"",'TRACKER - 20220622'!BJ143,"")</f>
        <v/>
      </c>
      <c r="BC124" t="str">
        <f>IF('TRACKER - 20220622'!BK143&lt;&gt;"",'TRACKER - 20220622'!BK143,"")</f>
        <v/>
      </c>
      <c r="BD124" t="str">
        <f>IF('TRACKER - 20220622'!BL143&lt;&gt;"",'TRACKER - 20220622'!BL143,"")</f>
        <v/>
      </c>
      <c r="BE124" t="str">
        <f>IF('TRACKER - 20220622'!BM143&lt;&gt;"",'TRACKER - 20220622'!BM143,"")</f>
        <v/>
      </c>
      <c r="BF124" t="str">
        <f>IF('TRACKER - 20220622'!BN143&lt;&gt;"",'TRACKER - 20220622'!BN143,"")</f>
        <v/>
      </c>
      <c r="BG124" t="str">
        <f>IF('TRACKER - 20220622'!BO143&lt;&gt;"",'TRACKER - 20220622'!BO143,"")</f>
        <v/>
      </c>
    </row>
    <row r="125" spans="1:59">
      <c r="A125" t="str">
        <f>IF('TRACKER - 20220622'!A144&lt;&gt;"",UPPER('TRACKER - 20220622'!A144),"")</f>
        <v>RAND MERCHANT BANK</v>
      </c>
      <c r="B125" t="str">
        <f>IF('TRACKER - 20220622'!B144&lt;&gt;"",UPPER('TRACKER - 20220622'!B144),"")</f>
        <v>Y</v>
      </c>
      <c r="C125" t="str">
        <f>IF('TRACKER - 20220622'!D129&lt;&gt;"",UPPER('TRACKER - 20220622'!D129),"")</f>
        <v>5</v>
      </c>
      <c r="D125" t="str">
        <f>IF('TRACKER - 20220622'!F144&lt;&gt;"",UPPER('TRACKER - 20220622'!F144),"")</f>
        <v>RMB-RSC-2020-00000</v>
      </c>
      <c r="E125" t="str">
        <f>IF('TRACKER - 20220622'!H144&lt;&gt;"",'TRACKER - 20220622'!H144,"")</f>
        <v>eTrader - Permissions Allow Excel Export at user/group level.</v>
      </c>
      <c r="F125" t="str">
        <f t="shared" si="2"/>
        <v>RMB-RSC-2020-00000 eTrader - Permissions Allow Excel Export at user/group level.</v>
      </c>
      <c r="G125" t="str">
        <f t="shared" si="3"/>
        <v>00005 - eTrader - Permissions Allow Excel Export at user/group level.</v>
      </c>
      <c r="H125">
        <f>IF('TRACKER - 20220622'!J144&lt;&gt;"",'TRACKER - 20220622'!J144,"")</f>
        <v>0</v>
      </c>
      <c r="I125" t="str">
        <f>IF('TRACKER - 20220622'!K129&lt;&gt;"",UPPER('TRACKER - 20220622'!K129),"")</f>
        <v>44105</v>
      </c>
      <c r="J125" t="str">
        <f>IF('TRACKER - 20220622'!L129&lt;&gt;"",UPPER('TRACKER - 20220622'!L129),"")</f>
        <v>44105</v>
      </c>
      <c r="K125" t="str">
        <f>IF('TRACKER - 20220622'!M129&lt;&gt;"",UPPER('TRACKER - 20220622'!M129),"")</f>
        <v/>
      </c>
      <c r="L125" t="str">
        <f>IF('TRACKER - 20220622'!N129&lt;&gt;"",UPPER('TRACKER - 20220622'!N129),"")</f>
        <v/>
      </c>
      <c r="M125" t="str">
        <f>IF('TRACKER - 20220622'!O129&lt;&gt;"",UPPER('TRACKER - 20220622'!O129),"")</f>
        <v/>
      </c>
      <c r="N125" t="str">
        <f>IF('TRACKER - 20220622'!P129&lt;&gt;"",UPPER('TRACKER - 20220622'!P129),"")</f>
        <v/>
      </c>
      <c r="O125" t="str">
        <f>IF('TRACKER - 20220622'!Q129&lt;&gt;"",UPPER('TRACKER - 20220622'!Q129),"")</f>
        <v>AGREEMENTS</v>
      </c>
      <c r="P125" t="str">
        <f>IF('TRACKER - 20220622'!R129&lt;&gt;"",UPPER('TRACKER - 20220622'!R129),"")</f>
        <v>PROSPECT</v>
      </c>
      <c r="Q125" t="str">
        <f>IF('TRACKER - 20220622'!S129&lt;&gt;"",UPPER('TRACKER - 20220622'!S129),"")</f>
        <v/>
      </c>
      <c r="R125" t="str">
        <f>IF('TRACKER - 20220622'!T129&lt;&gt;"",UPPER('TRACKER - 20220622'!T129),"")</f>
        <v/>
      </c>
      <c r="S125" t="str">
        <f>IF('TRACKER - 20220622'!U129&lt;&gt;"",UPPER('TRACKER - 20220622'!U129),"")</f>
        <v/>
      </c>
      <c r="T125" t="str">
        <f>IF('TRACKER - 20220622'!V129&lt;&gt;"",UPPER('TRACKER - 20220622'!V129),"")</f>
        <v/>
      </c>
      <c r="U125" t="str">
        <f>IF('TRACKER - 20220622'!W129&lt;&gt;"",UPPER('TRACKER - 20220622'!W129),"")</f>
        <v/>
      </c>
      <c r="V125" t="str">
        <f>IF('TRACKER - 20220622'!X129&lt;&gt;"",UPPER('TRACKER - 20220622'!X129),"")</f>
        <v>THE PLATFORM SHOULD ENABLE HANDLING DISPUTES.
DOES YOUR PLATFORM ENABLE HANDLING DISPUTES? PLEASE DESCRIBE BRIEFLY DISPUTE HANDLING FEATURES OF YOUR PLATFORM.</v>
      </c>
      <c r="W125" t="str">
        <f>IF('TRACKER - 20220622'!Y129&lt;&gt;"",UPPER('TRACKER - 20220622'!Y129),"")</f>
        <v>0</v>
      </c>
      <c r="X125" t="str">
        <f>IF('TRACKER - 20220622'!Z129&lt;&gt;"",UPPER('TRACKER - 20220622'!Z129),"")</f>
        <v>0</v>
      </c>
      <c r="Y125" t="str">
        <f>IF('TRACKER - 20220622'!AA129&lt;&gt;"",UPPER('TRACKER - 20220622'!AA129),"")</f>
        <v>0</v>
      </c>
      <c r="Z125" t="str">
        <f>IF('TRACKER - 20220622'!AB129&lt;&gt;"",UPPER('TRACKER - 20220622'!AB129),"")</f>
        <v>0</v>
      </c>
      <c r="AA125" t="str">
        <f>IF('TRACKER - 20220622'!AC129&lt;&gt;"",UPPER('TRACKER - 20220622'!AC129),"")</f>
        <v>0</v>
      </c>
      <c r="AB125" t="str">
        <f>IF('TRACKER - 20220622'!AE129&lt;&gt;"",UPPER('TRACKER - 20220622'!AE129),"")</f>
        <v>0</v>
      </c>
      <c r="AC125" t="str">
        <f>IF('TRACKER - 20220622'!AF129&lt;&gt;"",UPPER('TRACKER - 20220622'!AF129),"")</f>
        <v>0</v>
      </c>
      <c r="AD125" t="str">
        <f>IF('TRACKER - 20220622'!AG129&lt;&gt;"",UPPER('TRACKER - 20220622'!AG129),"")</f>
        <v>0</v>
      </c>
      <c r="AE125" t="str">
        <f>IF('TRACKER - 20220622'!AH129&lt;&gt;"",UPPER('TRACKER - 20220622'!AH129),"")</f>
        <v>-150</v>
      </c>
      <c r="AF125" t="str">
        <f>IF('TRACKER - 20220622'!AI129&lt;&gt;"",UPPER('TRACKER - 20220622'!AI129),"")</f>
        <v/>
      </c>
      <c r="AG125" t="str">
        <f>IF('TRACKER - 20220622'!AJ129&lt;&gt;"",UPPER('TRACKER - 20220622'!AJ129),"")</f>
        <v>0</v>
      </c>
      <c r="AH125" t="str">
        <f>IF('TRACKER - 20220622'!AK129&lt;&gt;"",UPPER('TRACKER - 20220622'!AK129),"")</f>
        <v/>
      </c>
      <c r="AI125" t="str">
        <f>IF('TRACKER - 20220622'!AL129&lt;&gt;"",UPPER('TRACKER - 20220622'!AL129),"")</f>
        <v>0</v>
      </c>
      <c r="AJ125" t="str">
        <f>IF('TRACKER - 20220622'!AM129&lt;&gt;"",UPPER('TRACKER - 20220622'!AM129),"")</f>
        <v>0</v>
      </c>
      <c r="AK125" t="str">
        <f>IF('TRACKER - 20220622'!AN129&lt;&gt;"",UPPER('TRACKER - 20220622'!AN129),"")</f>
        <v/>
      </c>
      <c r="AL125" t="str">
        <f>IF('TRACKER - 20220622'!AO129&lt;&gt;"",UPPER('TRACKER - 20220622'!AO129),"")</f>
        <v>0</v>
      </c>
      <c r="AM125" t="str">
        <f>IF('TRACKER - 20220622'!AP129&lt;&gt;"",UPPER('TRACKER - 20220622'!AP129),"")</f>
        <v>0</v>
      </c>
      <c r="AN125" t="str">
        <f>IF('TRACKER - 20220622'!AQ129&lt;&gt;"",UPPER('TRACKER - 20220622'!AQ129),"")</f>
        <v>0</v>
      </c>
      <c r="AO125" t="str">
        <f>IF('TRACKER - 20220622'!AR129&lt;&gt;"",UPPER('TRACKER - 20220622'!AR129),"")</f>
        <v>PRD</v>
      </c>
      <c r="AP125" t="str">
        <f>IF('TRACKER - 20220622'!AS129&lt;&gt;"",UPPER('TRACKER - 20220622'!AS129),"")</f>
        <v>BLG</v>
      </c>
      <c r="AQ125" t="str">
        <f>IF('TRACKER - 20220622'!AT129&lt;&gt;"",UPPER('TRACKER - 20220622'!AT129),"")</f>
        <v>N</v>
      </c>
      <c r="AR125" t="str">
        <f>IF('TRACKER - 20220622'!AU129&lt;&gt;"",UPPER('TRACKER - 20220622'!AU129),"")</f>
        <v>-150</v>
      </c>
      <c r="AS125" t="str">
        <f>IF('TRACKER - 20220622'!AV129&lt;&gt;"",UPPER('TRACKER - 20220622'!AV129),"")</f>
        <v/>
      </c>
      <c r="AT125" t="str">
        <f>IF('TRACKER - 20220622'!AW129&lt;&gt;"",UPPER('TRACKER - 20220622'!AW129),"")</f>
        <v/>
      </c>
      <c r="AU125" t="str">
        <f>IF('TRACKER - 20220622'!AX129&lt;&gt;"",UPPER('TRACKER - 20220622'!AX129),"")</f>
        <v>REASON129</v>
      </c>
      <c r="AV125" t="str">
        <f>IF('TRACKER - 20220622'!BD144&lt;&gt;"",'TRACKER - 20220622'!BD144,"")</f>
        <v/>
      </c>
      <c r="AW125" t="str">
        <f>IF('TRACKER - 20220622'!BE144&lt;&gt;"",'TRACKER - 20220622'!BE144,"")</f>
        <v/>
      </c>
      <c r="AX125" t="str">
        <f>IF('TRACKER - 20220622'!BF144&lt;&gt;"",'TRACKER - 20220622'!BF144,"")</f>
        <v/>
      </c>
      <c r="AY125" t="str">
        <f>IF('TRACKER - 20220622'!BG144&lt;&gt;"",'TRACKER - 20220622'!BG144,"")</f>
        <v/>
      </c>
      <c r="AZ125" t="str">
        <f>IF('TRACKER - 20220622'!BH144&lt;&gt;"",'TRACKER - 20220622'!BH144,"")</f>
        <v/>
      </c>
      <c r="BA125" t="str">
        <f>IF('TRACKER - 20220622'!BI144&lt;&gt;"",'TRACKER - 20220622'!BI144,"")</f>
        <v/>
      </c>
      <c r="BB125" t="str">
        <f>IF('TRACKER - 20220622'!BJ144&lt;&gt;"",'TRACKER - 20220622'!BJ144,"")</f>
        <v/>
      </c>
      <c r="BC125" t="str">
        <f>IF('TRACKER - 20220622'!BK144&lt;&gt;"",'TRACKER - 20220622'!BK144,"")</f>
        <v/>
      </c>
      <c r="BD125" t="str">
        <f>IF('TRACKER - 20220622'!BL144&lt;&gt;"",'TRACKER - 20220622'!BL144,"")</f>
        <v/>
      </c>
      <c r="BE125" t="str">
        <f>IF('TRACKER - 20220622'!BM144&lt;&gt;"",'TRACKER - 20220622'!BM144,"")</f>
        <v/>
      </c>
      <c r="BF125" t="str">
        <f>IF('TRACKER - 20220622'!BN144&lt;&gt;"",'TRACKER - 20220622'!BN144,"")</f>
        <v/>
      </c>
      <c r="BG125" t="str">
        <f>IF('TRACKER - 20220622'!BO144&lt;&gt;"",'TRACKER - 20220622'!BO144,"")</f>
        <v/>
      </c>
    </row>
    <row r="126" spans="1:59">
      <c r="A126" t="str">
        <f>IF('TRACKER - 20220622'!A146&lt;&gt;"",UPPER('TRACKER - 20220622'!A146),"")</f>
        <v>RAND MERCHANT BANK</v>
      </c>
      <c r="B126" t="str">
        <f>IF('TRACKER - 20220622'!B146&lt;&gt;"",UPPER('TRACKER - 20220622'!B146),"")</f>
        <v>Y</v>
      </c>
      <c r="C126" t="str">
        <f>IF('TRACKER - 20220622'!D130&lt;&gt;"",UPPER('TRACKER - 20220622'!D130),"")</f>
        <v>6</v>
      </c>
      <c r="D126" t="str">
        <f>IF('TRACKER - 20220622'!F146&lt;&gt;"",UPPER('TRACKER - 20220622'!F146),"")</f>
        <v>RMB-RSC-2020-00219</v>
      </c>
      <c r="E126" t="str">
        <f>IF('TRACKER - 20220622'!H146&lt;&gt;"",'TRACKER - 20220622'!H146,"")</f>
        <v>RSC219 - Money Market Indicators and Counterparty Segments</v>
      </c>
      <c r="F126" t="str">
        <f t="shared" si="2"/>
        <v>RMB-RSC-2020-00219 RSC219 - Money Market Indicators and Counterparty Segments</v>
      </c>
      <c r="G126" t="str">
        <f t="shared" si="3"/>
        <v>00006 - RSC219 - Money Market Indicators and Counterparty Segments</v>
      </c>
      <c r="H126">
        <f>IF('TRACKER - 20220622'!J146&lt;&gt;"",'TRACKER - 20220622'!J146,"")</f>
        <v>7797.4312500000005</v>
      </c>
      <c r="I126" t="str">
        <f>IF('TRACKER - 20220622'!K130&lt;&gt;"",UPPER('TRACKER - 20220622'!K130),"")</f>
        <v>44105</v>
      </c>
      <c r="J126" t="str">
        <f>IF('TRACKER - 20220622'!L130&lt;&gt;"",UPPER('TRACKER - 20220622'!L130),"")</f>
        <v>44105</v>
      </c>
      <c r="K126" t="str">
        <f>IF('TRACKER - 20220622'!M130&lt;&gt;"",UPPER('TRACKER - 20220622'!M130),"")</f>
        <v/>
      </c>
      <c r="L126" t="str">
        <f>IF('TRACKER - 20220622'!N130&lt;&gt;"",UPPER('TRACKER - 20220622'!N130),"")</f>
        <v/>
      </c>
      <c r="M126" t="str">
        <f>IF('TRACKER - 20220622'!O130&lt;&gt;"",UPPER('TRACKER - 20220622'!O130),"")</f>
        <v/>
      </c>
      <c r="N126" t="str">
        <f>IF('TRACKER - 20220622'!P130&lt;&gt;"",UPPER('TRACKER - 20220622'!P130),"")</f>
        <v/>
      </c>
      <c r="O126" t="str">
        <f>IF('TRACKER - 20220622'!Q130&lt;&gt;"",UPPER('TRACKER - 20220622'!Q130),"")</f>
        <v>AGREEMENTS</v>
      </c>
      <c r="P126" t="str">
        <f>IF('TRACKER - 20220622'!R130&lt;&gt;"",UPPER('TRACKER - 20220622'!R130),"")</f>
        <v>PROSPECT</v>
      </c>
      <c r="Q126" t="str">
        <f>IF('TRACKER - 20220622'!S130&lt;&gt;"",UPPER('TRACKER - 20220622'!S130),"")</f>
        <v>GAP</v>
      </c>
      <c r="R126" t="str">
        <f>IF('TRACKER - 20220622'!T130&lt;&gt;"",UPPER('TRACKER - 20220622'!T130),"")</f>
        <v/>
      </c>
      <c r="S126" t="str">
        <f>IF('TRACKER - 20220622'!U130&lt;&gt;"",UPPER('TRACKER - 20220622'!U130),"")</f>
        <v/>
      </c>
      <c r="T126" t="str">
        <f>IF('TRACKER - 20220622'!V130&lt;&gt;"",UPPER('TRACKER - 20220622'!V130),"")</f>
        <v/>
      </c>
      <c r="U126" t="str">
        <f>IF('TRACKER - 20220622'!W130&lt;&gt;"",UPPER('TRACKER - 20220622'!W130),"")</f>
        <v/>
      </c>
      <c r="V126" t="str">
        <f>IF('TRACKER - 20220622'!X130&lt;&gt;"",UPPER('TRACKER - 20220622'!X130),"")</f>
        <v>IT MAY BE BENEFICIAL TO POST CERTAIN KIND OF COLLATERAL FROM TIME TO TIME (DUE TO MARKET CONDITIONS AND HAIRCUTS ETC.).  IT'S APPRECIATED IF THE SYSTEM SUGGESTS WHICH TYPE OF COLLATERAL IS BETTER OF POSTING ON AGREEMENT BASIS.
DOES YOUR PLATFORM HAVE COLLATERAL OPTIMIZATION FEATURE?</v>
      </c>
      <c r="W126" t="str">
        <f>IF('TRACKER - 20220622'!Y130&lt;&gt;"",UPPER('TRACKER - 20220622'!Y130),"")</f>
        <v>0</v>
      </c>
      <c r="X126" t="str">
        <f>IF('TRACKER - 20220622'!Z130&lt;&gt;"",UPPER('TRACKER - 20220622'!Z130),"")</f>
        <v>0</v>
      </c>
      <c r="Y126" t="str">
        <f>IF('TRACKER - 20220622'!AA130&lt;&gt;"",UPPER('TRACKER - 20220622'!AA130),"")</f>
        <v>0</v>
      </c>
      <c r="Z126" t="str">
        <f>IF('TRACKER - 20220622'!AB130&lt;&gt;"",UPPER('TRACKER - 20220622'!AB130),"")</f>
        <v>0</v>
      </c>
      <c r="AA126" t="str">
        <f>IF('TRACKER - 20220622'!AC130&lt;&gt;"",UPPER('TRACKER - 20220622'!AC130),"")</f>
        <v>0</v>
      </c>
      <c r="AB126" t="str">
        <f>IF('TRACKER - 20220622'!AE130&lt;&gt;"",UPPER('TRACKER - 20220622'!AE130),"")</f>
        <v>0</v>
      </c>
      <c r="AC126" t="str">
        <f>IF('TRACKER - 20220622'!AF130&lt;&gt;"",UPPER('TRACKER - 20220622'!AF130),"")</f>
        <v>0</v>
      </c>
      <c r="AD126" t="str">
        <f>IF('TRACKER - 20220622'!AG130&lt;&gt;"",UPPER('TRACKER - 20220622'!AG130),"")</f>
        <v>0</v>
      </c>
      <c r="AE126" t="str">
        <f>IF('TRACKER - 20220622'!AH130&lt;&gt;"",UPPER('TRACKER - 20220622'!AH130),"")</f>
        <v>-150</v>
      </c>
      <c r="AF126" t="str">
        <f>IF('TRACKER - 20220622'!AI130&lt;&gt;"",UPPER('TRACKER - 20220622'!AI130),"")</f>
        <v/>
      </c>
      <c r="AG126" t="str">
        <f>IF('TRACKER - 20220622'!AJ130&lt;&gt;"",UPPER('TRACKER - 20220622'!AJ130),"")</f>
        <v>0</v>
      </c>
      <c r="AH126" t="str">
        <f>IF('TRACKER - 20220622'!AK130&lt;&gt;"",UPPER('TRACKER - 20220622'!AK130),"")</f>
        <v/>
      </c>
      <c r="AI126" t="str">
        <f>IF('TRACKER - 20220622'!AL130&lt;&gt;"",UPPER('TRACKER - 20220622'!AL130),"")</f>
        <v>0</v>
      </c>
      <c r="AJ126" t="str">
        <f>IF('TRACKER - 20220622'!AM130&lt;&gt;"",UPPER('TRACKER - 20220622'!AM130),"")</f>
        <v>0</v>
      </c>
      <c r="AK126" t="str">
        <f>IF('TRACKER - 20220622'!AN130&lt;&gt;"",UPPER('TRACKER - 20220622'!AN130),"")</f>
        <v/>
      </c>
      <c r="AL126" t="str">
        <f>IF('TRACKER - 20220622'!AO130&lt;&gt;"",UPPER('TRACKER - 20220622'!AO130),"")</f>
        <v>0</v>
      </c>
      <c r="AM126" t="str">
        <f>IF('TRACKER - 20220622'!AP130&lt;&gt;"",UPPER('TRACKER - 20220622'!AP130),"")</f>
        <v>0</v>
      </c>
      <c r="AN126" t="str">
        <f>IF('TRACKER - 20220622'!AQ130&lt;&gt;"",UPPER('TRACKER - 20220622'!AQ130),"")</f>
        <v>0</v>
      </c>
      <c r="AO126" t="str">
        <f>IF('TRACKER - 20220622'!AR130&lt;&gt;"",UPPER('TRACKER - 20220622'!AR130),"")</f>
        <v>PRD</v>
      </c>
      <c r="AP126" t="str">
        <f>IF('TRACKER - 20220622'!AS130&lt;&gt;"",UPPER('TRACKER - 20220622'!AS130),"")</f>
        <v>REQ</v>
      </c>
      <c r="AQ126" t="str">
        <f>IF('TRACKER - 20220622'!AT130&lt;&gt;"",UPPER('TRACKER - 20220622'!AT130),"")</f>
        <v>N</v>
      </c>
      <c r="AR126" t="str">
        <f>IF('TRACKER - 20220622'!AU130&lt;&gt;"",UPPER('TRACKER - 20220622'!AU130),"")</f>
        <v>-150</v>
      </c>
      <c r="AS126" t="str">
        <f>IF('TRACKER - 20220622'!AV130&lt;&gt;"",UPPER('TRACKER - 20220622'!AV130),"")</f>
        <v/>
      </c>
      <c r="AT126" t="str">
        <f>IF('TRACKER - 20220622'!AW130&lt;&gt;"",UPPER('TRACKER - 20220622'!AW130),"")</f>
        <v/>
      </c>
      <c r="AU126" t="str">
        <f>IF('TRACKER - 20220622'!AX130&lt;&gt;"",UPPER('TRACKER - 20220622'!AX130),"")</f>
        <v>REASON130</v>
      </c>
      <c r="AV126" t="str">
        <f>IF('TRACKER - 20220622'!BD146&lt;&gt;"",'TRACKER - 20220622'!BD146,"")</f>
        <v/>
      </c>
      <c r="AW126" t="str">
        <f>IF('TRACKER - 20220622'!BE146&lt;&gt;"",'TRACKER - 20220622'!BE146,"")</f>
        <v/>
      </c>
      <c r="AX126" t="str">
        <f>IF('TRACKER - 20220622'!BF146&lt;&gt;"",'TRACKER - 20220622'!BF146,"")</f>
        <v/>
      </c>
      <c r="AY126" t="str">
        <f>IF('TRACKER - 20220622'!BG146&lt;&gt;"",'TRACKER - 20220622'!BG146,"")</f>
        <v/>
      </c>
      <c r="AZ126" t="str">
        <f>IF('TRACKER - 20220622'!BH146&lt;&gt;"",'TRACKER - 20220622'!BH146,"")</f>
        <v/>
      </c>
      <c r="BA126" t="str">
        <f>IF('TRACKER - 20220622'!BI146&lt;&gt;"",'TRACKER - 20220622'!BI146,"")</f>
        <v/>
      </c>
      <c r="BB126" t="str">
        <f>IF('TRACKER - 20220622'!BJ146&lt;&gt;"",'TRACKER - 20220622'!BJ146,"")</f>
        <v/>
      </c>
      <c r="BC126" t="str">
        <f>IF('TRACKER - 20220622'!BK146&lt;&gt;"",'TRACKER - 20220622'!BK146,"")</f>
        <v/>
      </c>
      <c r="BD126" t="str">
        <f>IF('TRACKER - 20220622'!BL146&lt;&gt;"",'TRACKER - 20220622'!BL146,"")</f>
        <v/>
      </c>
      <c r="BE126" t="str">
        <f>IF('TRACKER - 20220622'!BM146&lt;&gt;"",'TRACKER - 20220622'!BM146,"")</f>
        <v/>
      </c>
      <c r="BF126" t="str">
        <f>IF('TRACKER - 20220622'!BN146&lt;&gt;"",'TRACKER - 20220622'!BN146,"")</f>
        <v/>
      </c>
      <c r="BG126" t="str">
        <f>IF('TRACKER - 20220622'!BO146&lt;&gt;"",'TRACKER - 20220622'!BO146,"")</f>
        <v/>
      </c>
    </row>
    <row r="127" spans="1:59">
      <c r="A127" t="str">
        <f>IF('TRACKER - 20220622'!A148&lt;&gt;"",UPPER('TRACKER - 20220622'!A148),"")</f>
        <v>RCB</v>
      </c>
      <c r="B127" t="str">
        <f>IF('TRACKER - 20220622'!B148&lt;&gt;"",UPPER('TRACKER - 20220622'!B148),"")</f>
        <v>Y</v>
      </c>
      <c r="C127" t="str">
        <f>IF('TRACKER - 20220622'!D131&lt;&gt;"",UPPER('TRACKER - 20220622'!D131),"")</f>
        <v>7</v>
      </c>
      <c r="D127" t="str">
        <f>IF('TRACKER - 20220622'!F148&lt;&gt;"",UPPER('TRACKER - 20220622'!F148),"")</f>
        <v>RCB-RSC-2020-00018</v>
      </c>
      <c r="E127" t="e">
        <f>IF('TRACKER - 20220622'!#REF!&lt;&gt;"",'TRACKER - 20220622'!#REF!,"")</f>
        <v>#REF!</v>
      </c>
      <c r="F127" t="e">
        <f t="shared" si="2"/>
        <v>#REF!</v>
      </c>
      <c r="G127" t="e">
        <f t="shared" si="3"/>
        <v>#REF!</v>
      </c>
      <c r="H127">
        <f>IF('TRACKER - 20220622'!J148&lt;&gt;"",'TRACKER - 20220622'!J148,"")</f>
        <v>0</v>
      </c>
      <c r="I127" t="str">
        <f>IF('TRACKER - 20220622'!K131&lt;&gt;"",UPPER('TRACKER - 20220622'!K131),"")</f>
        <v>44105</v>
      </c>
      <c r="J127" t="str">
        <f>IF('TRACKER - 20220622'!L131&lt;&gt;"",UPPER('TRACKER - 20220622'!L131),"")</f>
        <v>44105</v>
      </c>
      <c r="K127" t="str">
        <f>IF('TRACKER - 20220622'!M131&lt;&gt;"",UPPER('TRACKER - 20220622'!M131),"")</f>
        <v/>
      </c>
      <c r="L127" t="str">
        <f>IF('TRACKER - 20220622'!N131&lt;&gt;"",UPPER('TRACKER - 20220622'!N131),"")</f>
        <v/>
      </c>
      <c r="M127" t="str">
        <f>IF('TRACKER - 20220622'!O131&lt;&gt;"",UPPER('TRACKER - 20220622'!O131),"")</f>
        <v/>
      </c>
      <c r="N127" t="str">
        <f>IF('TRACKER - 20220622'!P131&lt;&gt;"",UPPER('TRACKER - 20220622'!P131),"")</f>
        <v/>
      </c>
      <c r="O127" t="str">
        <f>IF('TRACKER - 20220622'!Q131&lt;&gt;"",UPPER('TRACKER - 20220622'!Q131),"")</f>
        <v>AGREEMENTS</v>
      </c>
      <c r="P127" t="str">
        <f>IF('TRACKER - 20220622'!R131&lt;&gt;"",UPPER('TRACKER - 20220622'!R131),"")</f>
        <v>PROSPECT</v>
      </c>
      <c r="Q127" t="str">
        <f>IF('TRACKER - 20220622'!S131&lt;&gt;"",UPPER('TRACKER - 20220622'!S131),"")</f>
        <v/>
      </c>
      <c r="R127" t="str">
        <f>IF('TRACKER - 20220622'!T131&lt;&gt;"",UPPER('TRACKER - 20220622'!T131),"")</f>
        <v/>
      </c>
      <c r="S127" t="str">
        <f>IF('TRACKER - 20220622'!U131&lt;&gt;"",UPPER('TRACKER - 20220622'!U131),"")</f>
        <v/>
      </c>
      <c r="T127" t="str">
        <f>IF('TRACKER - 20220622'!V131&lt;&gt;"",UPPER('TRACKER - 20220622'!V131),"")</f>
        <v/>
      </c>
      <c r="U127" t="str">
        <f>IF('TRACKER - 20220622'!W131&lt;&gt;"",UPPER('TRACKER - 20220622'!W131),"")</f>
        <v/>
      </c>
      <c r="V127" t="str">
        <f>IF('TRACKER - 20220622'!X131&lt;&gt;"",UPPER('TRACKER - 20220622'!X131),"")</f>
        <v>THE PLATFORM SHOULD BE ABLE TO RETRIEVE VM DATA FROM REPORTS BEING SENT BY CCP'S IN ORDER TO PRODUCE AGGREGATED COLLATERAL REPORTS.
CAN YOUR PLATFORM PRODUCE AGGREGATE REPORTS BY RETRIEVING VM DATA FROM REPORTS SENT BY CCPS?</v>
      </c>
      <c r="W127" t="str">
        <f>IF('TRACKER - 20220622'!Y131&lt;&gt;"",UPPER('TRACKER - 20220622'!Y131),"")</f>
        <v>0</v>
      </c>
      <c r="X127" t="str">
        <f>IF('TRACKER - 20220622'!Z131&lt;&gt;"",UPPER('TRACKER - 20220622'!Z131),"")</f>
        <v>0</v>
      </c>
      <c r="Y127" t="str">
        <f>IF('TRACKER - 20220622'!AA131&lt;&gt;"",UPPER('TRACKER - 20220622'!AA131),"")</f>
        <v>0</v>
      </c>
      <c r="Z127" t="str">
        <f>IF('TRACKER - 20220622'!AB131&lt;&gt;"",UPPER('TRACKER - 20220622'!AB131),"")</f>
        <v>0</v>
      </c>
      <c r="AA127" t="str">
        <f>IF('TRACKER - 20220622'!AC131&lt;&gt;"",UPPER('TRACKER - 20220622'!AC131),"")</f>
        <v>0</v>
      </c>
      <c r="AB127" t="str">
        <f>IF('TRACKER - 20220622'!AE131&lt;&gt;"",UPPER('TRACKER - 20220622'!AE131),"")</f>
        <v>0</v>
      </c>
      <c r="AC127" t="str">
        <f>IF('TRACKER - 20220622'!AF131&lt;&gt;"",UPPER('TRACKER - 20220622'!AF131),"")</f>
        <v>0</v>
      </c>
      <c r="AD127" t="str">
        <f>IF('TRACKER - 20220622'!AG131&lt;&gt;"",UPPER('TRACKER - 20220622'!AG131),"")</f>
        <v>0</v>
      </c>
      <c r="AE127" t="str">
        <f>IF('TRACKER - 20220622'!AH131&lt;&gt;"",UPPER('TRACKER - 20220622'!AH131),"")</f>
        <v>-150</v>
      </c>
      <c r="AF127" t="str">
        <f>IF('TRACKER - 20220622'!AI131&lt;&gt;"",UPPER('TRACKER - 20220622'!AI131),"")</f>
        <v/>
      </c>
      <c r="AG127" t="str">
        <f>IF('TRACKER - 20220622'!AJ131&lt;&gt;"",UPPER('TRACKER - 20220622'!AJ131),"")</f>
        <v>0</v>
      </c>
      <c r="AH127" t="str">
        <f>IF('TRACKER - 20220622'!AK131&lt;&gt;"",UPPER('TRACKER - 20220622'!AK131),"")</f>
        <v/>
      </c>
      <c r="AI127" t="str">
        <f>IF('TRACKER - 20220622'!AL131&lt;&gt;"",UPPER('TRACKER - 20220622'!AL131),"")</f>
        <v>0</v>
      </c>
      <c r="AJ127" t="str">
        <f>IF('TRACKER - 20220622'!AM131&lt;&gt;"",UPPER('TRACKER - 20220622'!AM131),"")</f>
        <v>0</v>
      </c>
      <c r="AK127" t="str">
        <f>IF('TRACKER - 20220622'!AN131&lt;&gt;"",UPPER('TRACKER - 20220622'!AN131),"")</f>
        <v/>
      </c>
      <c r="AL127" t="str">
        <f>IF('TRACKER - 20220622'!AO131&lt;&gt;"",UPPER('TRACKER - 20220622'!AO131),"")</f>
        <v>0</v>
      </c>
      <c r="AM127" t="str">
        <f>IF('TRACKER - 20220622'!AP131&lt;&gt;"",UPPER('TRACKER - 20220622'!AP131),"")</f>
        <v>0</v>
      </c>
      <c r="AN127" t="str">
        <f>IF('TRACKER - 20220622'!AQ131&lt;&gt;"",UPPER('TRACKER - 20220622'!AQ131),"")</f>
        <v>0</v>
      </c>
      <c r="AO127" t="str">
        <f>IF('TRACKER - 20220622'!AR131&lt;&gt;"",UPPER('TRACKER - 20220622'!AR131),"")</f>
        <v>PRD</v>
      </c>
      <c r="AP127" t="str">
        <f>IF('TRACKER - 20220622'!AS131&lt;&gt;"",UPPER('TRACKER - 20220622'!AS131),"")</f>
        <v>BLG</v>
      </c>
      <c r="AQ127" t="str">
        <f>IF('TRACKER - 20220622'!AT131&lt;&gt;"",UPPER('TRACKER - 20220622'!AT131),"")</f>
        <v>N</v>
      </c>
      <c r="AR127" t="str">
        <f>IF('TRACKER - 20220622'!AU131&lt;&gt;"",UPPER('TRACKER - 20220622'!AU131),"")</f>
        <v>-150</v>
      </c>
      <c r="AS127" t="str">
        <f>IF('TRACKER - 20220622'!AV131&lt;&gt;"",UPPER('TRACKER - 20220622'!AV131),"")</f>
        <v/>
      </c>
      <c r="AT127" t="str">
        <f>IF('TRACKER - 20220622'!AW131&lt;&gt;"",UPPER('TRACKER - 20220622'!AW131),"")</f>
        <v/>
      </c>
      <c r="AU127" t="str">
        <f>IF('TRACKER - 20220622'!AX131&lt;&gt;"",UPPER('TRACKER - 20220622'!AX131),"")</f>
        <v>REASON131</v>
      </c>
      <c r="AV127" t="str">
        <f>IF('TRACKER - 20220622'!BD148&lt;&gt;"",'TRACKER - 20220622'!BD148,"")</f>
        <v/>
      </c>
      <c r="AW127" t="str">
        <f>IF('TRACKER - 20220622'!BE148&lt;&gt;"",'TRACKER - 20220622'!BE148,"")</f>
        <v/>
      </c>
      <c r="AX127" t="str">
        <f>IF('TRACKER - 20220622'!BF148&lt;&gt;"",'TRACKER - 20220622'!BF148,"")</f>
        <v/>
      </c>
      <c r="AY127" t="str">
        <f>IF('TRACKER - 20220622'!BG148&lt;&gt;"",'TRACKER - 20220622'!BG148,"")</f>
        <v/>
      </c>
      <c r="AZ127" t="str">
        <f>IF('TRACKER - 20220622'!BH148&lt;&gt;"",'TRACKER - 20220622'!BH148,"")</f>
        <v/>
      </c>
      <c r="BA127" t="str">
        <f>IF('TRACKER - 20220622'!BI148&lt;&gt;"",'TRACKER - 20220622'!BI148,"")</f>
        <v/>
      </c>
      <c r="BB127" t="str">
        <f>IF('TRACKER - 20220622'!BJ148&lt;&gt;"",'TRACKER - 20220622'!BJ148,"")</f>
        <v/>
      </c>
      <c r="BC127" t="str">
        <f>IF('TRACKER - 20220622'!BK148&lt;&gt;"",'TRACKER - 20220622'!BK148,"")</f>
        <v/>
      </c>
      <c r="BD127" t="str">
        <f>IF('TRACKER - 20220622'!BL148&lt;&gt;"",'TRACKER - 20220622'!BL148,"")</f>
        <v/>
      </c>
      <c r="BE127" t="str">
        <f>IF('TRACKER - 20220622'!BM148&lt;&gt;"",'TRACKER - 20220622'!BM148,"")</f>
        <v/>
      </c>
      <c r="BF127" t="str">
        <f>IF('TRACKER - 20220622'!BN148&lt;&gt;"",'TRACKER - 20220622'!BN148,"")</f>
        <v/>
      </c>
      <c r="BG127" t="str">
        <f>IF('TRACKER - 20220622'!BO148&lt;&gt;"",'TRACKER - 20220622'!BO148,"")</f>
        <v/>
      </c>
    </row>
    <row r="128" spans="1:59">
      <c r="A128" t="str">
        <f>IF('TRACKER - 20220622'!A149&lt;&gt;"",UPPER('TRACKER - 20220622'!A149),"")</f>
        <v>ZENITH</v>
      </c>
      <c r="B128" t="str">
        <f>IF('TRACKER - 20220622'!B149&lt;&gt;"",UPPER('TRACKER - 20220622'!B149),"")</f>
        <v>Y</v>
      </c>
      <c r="C128" t="str">
        <f>IF('TRACKER - 20220622'!D132&lt;&gt;"",UPPER('TRACKER - 20220622'!D132),"")</f>
        <v>8</v>
      </c>
      <c r="D128" t="str">
        <f>IF('TRACKER - 20220622'!F149&lt;&gt;"",UPPER('TRACKER - 20220622'!F149),"")</f>
        <v>ZTH-RSC-2020-00000</v>
      </c>
      <c r="E128" t="str">
        <f>IF('TRACKER - 20220622'!H149&lt;&gt;"",'TRACKER - 20220622'!H149,"")</f>
        <v>[#13041] Interest Day basis</v>
      </c>
      <c r="F128" t="str">
        <f t="shared" si="2"/>
        <v>ZTH-RSC-2020-00000 [#13041] Interest Day basis</v>
      </c>
      <c r="G128" t="str">
        <f t="shared" si="3"/>
        <v>00008 - [#13041] Interest Day basis</v>
      </c>
      <c r="H128">
        <f>IF('TRACKER - 20220622'!J149&lt;&gt;"",'TRACKER - 20220622'!J149,"")</f>
        <v>0</v>
      </c>
      <c r="I128" t="str">
        <f>IF('TRACKER - 20220622'!K132&lt;&gt;"",UPPER('TRACKER - 20220622'!K132),"")</f>
        <v>44105</v>
      </c>
      <c r="J128" t="str">
        <f>IF('TRACKER - 20220622'!L132&lt;&gt;"",UPPER('TRACKER - 20220622'!L132),"")</f>
        <v>44105</v>
      </c>
      <c r="K128" t="str">
        <f>IF('TRACKER - 20220622'!M132&lt;&gt;"",UPPER('TRACKER - 20220622'!M132),"")</f>
        <v/>
      </c>
      <c r="L128" t="str">
        <f>IF('TRACKER - 20220622'!N132&lt;&gt;"",UPPER('TRACKER - 20220622'!N132),"")</f>
        <v/>
      </c>
      <c r="M128" t="str">
        <f>IF('TRACKER - 20220622'!O132&lt;&gt;"",UPPER('TRACKER - 20220622'!O132),"")</f>
        <v/>
      </c>
      <c r="N128" t="str">
        <f>IF('TRACKER - 20220622'!P132&lt;&gt;"",UPPER('TRACKER - 20220622'!P132),"")</f>
        <v/>
      </c>
      <c r="O128" t="str">
        <f>IF('TRACKER - 20220622'!Q132&lt;&gt;"",UPPER('TRACKER - 20220622'!Q132),"")</f>
        <v>AGREEMENTS</v>
      </c>
      <c r="P128" t="str">
        <f>IF('TRACKER - 20220622'!R132&lt;&gt;"",UPPER('TRACKER - 20220622'!R132),"")</f>
        <v>PROSPECT</v>
      </c>
      <c r="Q128" t="str">
        <f>IF('TRACKER - 20220622'!S132&lt;&gt;"",UPPER('TRACKER - 20220622'!S132),"")</f>
        <v>NEW</v>
      </c>
      <c r="R128" t="str">
        <f>IF('TRACKER - 20220622'!T132&lt;&gt;"",UPPER('TRACKER - 20220622'!T132),"")</f>
        <v/>
      </c>
      <c r="S128" t="str">
        <f>IF('TRACKER - 20220622'!U132&lt;&gt;"",UPPER('TRACKER - 20220622'!U132),"")</f>
        <v/>
      </c>
      <c r="T128" t="str">
        <f>IF('TRACKER - 20220622'!V132&lt;&gt;"",UPPER('TRACKER - 20220622'!V132),"")</f>
        <v/>
      </c>
      <c r="U128" t="str">
        <f>IF('TRACKER - 20220622'!W132&lt;&gt;"",UPPER('TRACKER - 20220622'!W132),"")</f>
        <v/>
      </c>
      <c r="V128" t="str">
        <f>IF('TRACKER - 20220622'!X132&lt;&gt;"",UPPER('TRACKER - 20220622'!X132),"")</f>
        <v>THE PLATFORM SHOULD ENABLE STORING TERMS OF CSA AND GMRA AGREEMENTS, AND THOSE TERMS SHOULD BE FED AUTOMATICALLY INTO THE COLLATERAL CALCULATION SYSTEM AND TAKEN INTO ACCOUNT IN COLLATERAL CALCULATIONS.
IS YOUR PLATFORM CAPABLE OF CAPTURING MASTER AND COLLATERAL AGREEMENT TERMS AND PERFORMING COLLATERAL CALCULATIONS BASED ON THE TERMS OF THESE AGREEMENTS?</v>
      </c>
      <c r="W128" t="str">
        <f>IF('TRACKER - 20220622'!Y132&lt;&gt;"",UPPER('TRACKER - 20220622'!Y132),"")</f>
        <v>0</v>
      </c>
      <c r="X128" t="str">
        <f>IF('TRACKER - 20220622'!Z132&lt;&gt;"",UPPER('TRACKER - 20220622'!Z132),"")</f>
        <v>0</v>
      </c>
      <c r="Y128" t="str">
        <f>IF('TRACKER - 20220622'!AA132&lt;&gt;"",UPPER('TRACKER - 20220622'!AA132),"")</f>
        <v>0</v>
      </c>
      <c r="Z128" t="str">
        <f>IF('TRACKER - 20220622'!AB132&lt;&gt;"",UPPER('TRACKER - 20220622'!AB132),"")</f>
        <v>0</v>
      </c>
      <c r="AA128" t="str">
        <f>IF('TRACKER - 20220622'!AC132&lt;&gt;"",UPPER('TRACKER - 20220622'!AC132),"")</f>
        <v>0</v>
      </c>
      <c r="AB128" t="str">
        <f>IF('TRACKER - 20220622'!AE132&lt;&gt;"",UPPER('TRACKER - 20220622'!AE132),"")</f>
        <v>0</v>
      </c>
      <c r="AC128" t="str">
        <f>IF('TRACKER - 20220622'!AF132&lt;&gt;"",UPPER('TRACKER - 20220622'!AF132),"")</f>
        <v>0</v>
      </c>
      <c r="AD128" t="str">
        <f>IF('TRACKER - 20220622'!AG132&lt;&gt;"",UPPER('TRACKER - 20220622'!AG132),"")</f>
        <v>0</v>
      </c>
      <c r="AE128" t="str">
        <f>IF('TRACKER - 20220622'!AH132&lt;&gt;"",UPPER('TRACKER - 20220622'!AH132),"")</f>
        <v>-150</v>
      </c>
      <c r="AF128" t="str">
        <f>IF('TRACKER - 20220622'!AI132&lt;&gt;"",UPPER('TRACKER - 20220622'!AI132),"")</f>
        <v/>
      </c>
      <c r="AG128" t="str">
        <f>IF('TRACKER - 20220622'!AJ132&lt;&gt;"",UPPER('TRACKER - 20220622'!AJ132),"")</f>
        <v>0</v>
      </c>
      <c r="AH128" t="str">
        <f>IF('TRACKER - 20220622'!AK132&lt;&gt;"",UPPER('TRACKER - 20220622'!AK132),"")</f>
        <v/>
      </c>
      <c r="AI128" t="str">
        <f>IF('TRACKER - 20220622'!AL132&lt;&gt;"",UPPER('TRACKER - 20220622'!AL132),"")</f>
        <v>0</v>
      </c>
      <c r="AJ128" t="str">
        <f>IF('TRACKER - 20220622'!AM132&lt;&gt;"",UPPER('TRACKER - 20220622'!AM132),"")</f>
        <v>0</v>
      </c>
      <c r="AK128" t="str">
        <f>IF('TRACKER - 20220622'!AN132&lt;&gt;"",UPPER('TRACKER - 20220622'!AN132),"")</f>
        <v/>
      </c>
      <c r="AL128" t="str">
        <f>IF('TRACKER - 20220622'!AO132&lt;&gt;"",UPPER('TRACKER - 20220622'!AO132),"")</f>
        <v>0</v>
      </c>
      <c r="AM128" t="str">
        <f>IF('TRACKER - 20220622'!AP132&lt;&gt;"",UPPER('TRACKER - 20220622'!AP132),"")</f>
        <v>0</v>
      </c>
      <c r="AN128" t="str">
        <f>IF('TRACKER - 20220622'!AQ132&lt;&gt;"",UPPER('TRACKER - 20220622'!AQ132),"")</f>
        <v>0</v>
      </c>
      <c r="AO128" t="str">
        <f>IF('TRACKER - 20220622'!AR132&lt;&gt;"",UPPER('TRACKER - 20220622'!AR132),"")</f>
        <v>PRD</v>
      </c>
      <c r="AP128" t="str">
        <f>IF('TRACKER - 20220622'!AS132&lt;&gt;"",UPPER('TRACKER - 20220622'!AS132),"")</f>
        <v>REQ</v>
      </c>
      <c r="AQ128" t="str">
        <f>IF('TRACKER - 20220622'!AT132&lt;&gt;"",UPPER('TRACKER - 20220622'!AT132),"")</f>
        <v>N</v>
      </c>
      <c r="AR128" t="str">
        <f>IF('TRACKER - 20220622'!AU132&lt;&gt;"",UPPER('TRACKER - 20220622'!AU132),"")</f>
        <v>-150</v>
      </c>
      <c r="AS128" t="str">
        <f>IF('TRACKER - 20220622'!AV132&lt;&gt;"",UPPER('TRACKER - 20220622'!AV132),"")</f>
        <v/>
      </c>
      <c r="AT128" t="str">
        <f>IF('TRACKER - 20220622'!AW132&lt;&gt;"",UPPER('TRACKER - 20220622'!AW132),"")</f>
        <v/>
      </c>
      <c r="AU128" t="str">
        <f>IF('TRACKER - 20220622'!AX132&lt;&gt;"",UPPER('TRACKER - 20220622'!AX132),"")</f>
        <v>REASON132</v>
      </c>
      <c r="AV128" t="str">
        <f>IF('TRACKER - 20220622'!BD149&lt;&gt;"",'TRACKER - 20220622'!BD149,"")</f>
        <v/>
      </c>
      <c r="AW128" t="str">
        <f>IF('TRACKER - 20220622'!BE149&lt;&gt;"",'TRACKER - 20220622'!BE149,"")</f>
        <v/>
      </c>
      <c r="AX128" t="str">
        <f>IF('TRACKER - 20220622'!BF149&lt;&gt;"",'TRACKER - 20220622'!BF149,"")</f>
        <v/>
      </c>
      <c r="AY128" t="str">
        <f>IF('TRACKER - 20220622'!BG149&lt;&gt;"",'TRACKER - 20220622'!BG149,"")</f>
        <v/>
      </c>
      <c r="AZ128" t="str">
        <f>IF('TRACKER - 20220622'!BH149&lt;&gt;"",'TRACKER - 20220622'!BH149,"")</f>
        <v/>
      </c>
      <c r="BA128" t="str">
        <f>IF('TRACKER - 20220622'!BI149&lt;&gt;"",'TRACKER - 20220622'!BI149,"")</f>
        <v/>
      </c>
      <c r="BB128" t="str">
        <f>IF('TRACKER - 20220622'!BJ149&lt;&gt;"",'TRACKER - 20220622'!BJ149,"")</f>
        <v/>
      </c>
      <c r="BC128" t="str">
        <f>IF('TRACKER - 20220622'!BK149&lt;&gt;"",'TRACKER - 20220622'!BK149,"")</f>
        <v/>
      </c>
      <c r="BD128" t="str">
        <f>IF('TRACKER - 20220622'!BL149&lt;&gt;"",'TRACKER - 20220622'!BL149,"")</f>
        <v/>
      </c>
      <c r="BE128" t="str">
        <f>IF('TRACKER - 20220622'!BM149&lt;&gt;"",'TRACKER - 20220622'!BM149,"")</f>
        <v/>
      </c>
      <c r="BF128" t="str">
        <f>IF('TRACKER - 20220622'!BN149&lt;&gt;"",'TRACKER - 20220622'!BN149,"")</f>
        <v/>
      </c>
      <c r="BG128" t="str">
        <f>IF('TRACKER - 20220622'!BO149&lt;&gt;"",'TRACKER - 20220622'!BO149,"")</f>
        <v/>
      </c>
    </row>
    <row r="129" spans="1:59">
      <c r="A129" t="str">
        <f>IF('TRACKER - 20220622'!A150&lt;&gt;"",UPPER('TRACKER - 20220622'!A150),"")</f>
        <v>ZENITH</v>
      </c>
      <c r="B129" t="str">
        <f>IF('TRACKER - 20220622'!B150&lt;&gt;"",UPPER('TRACKER - 20220622'!B150),"")</f>
        <v>Y</v>
      </c>
      <c r="C129" t="str">
        <f>IF('TRACKER - 20220622'!D133&lt;&gt;"",UPPER('TRACKER - 20220622'!D133),"")</f>
        <v>9</v>
      </c>
      <c r="D129" t="str">
        <f>IF('TRACKER - 20220622'!F150&lt;&gt;"",UPPER('TRACKER - 20220622'!F150),"")</f>
        <v>ZTH-RSC-2020-00048</v>
      </c>
      <c r="E129" t="str">
        <f>IF('TRACKER - 20220622'!H150&lt;&gt;"",'TRACKER - 20220622'!H150,"")</f>
        <v>RSC048 - Short Sell &amp; Buy Backs of Bonds</v>
      </c>
      <c r="F129" t="str">
        <f t="shared" si="2"/>
        <v>ZTH-RSC-2020-00048 RSC048 - Short Sell &amp; Buy Backs of Bonds</v>
      </c>
      <c r="G129" t="str">
        <f t="shared" si="3"/>
        <v>00009 - RSC048 - Short Sell &amp; Buy Backs of Bonds</v>
      </c>
      <c r="H129">
        <f>IF('TRACKER - 20220622'!J150&lt;&gt;"",'TRACKER - 20220622'!J150,"")</f>
        <v>31530.186000000002</v>
      </c>
      <c r="I129" t="str">
        <f>IF('TRACKER - 20220622'!K133&lt;&gt;"",UPPER('TRACKER - 20220622'!K133),"")</f>
        <v>44105</v>
      </c>
      <c r="J129" t="str">
        <f>IF('TRACKER - 20220622'!L133&lt;&gt;"",UPPER('TRACKER - 20220622'!L133),"")</f>
        <v>44105</v>
      </c>
      <c r="K129" t="str">
        <f>IF('TRACKER - 20220622'!M133&lt;&gt;"",UPPER('TRACKER - 20220622'!M133),"")</f>
        <v/>
      </c>
      <c r="L129" t="str">
        <f>IF('TRACKER - 20220622'!N133&lt;&gt;"",UPPER('TRACKER - 20220622'!N133),"")</f>
        <v/>
      </c>
      <c r="M129" t="str">
        <f>IF('TRACKER - 20220622'!O133&lt;&gt;"",UPPER('TRACKER - 20220622'!O133),"")</f>
        <v/>
      </c>
      <c r="N129" t="str">
        <f>IF('TRACKER - 20220622'!P133&lt;&gt;"",UPPER('TRACKER - 20220622'!P133),"")</f>
        <v/>
      </c>
      <c r="O129" t="str">
        <f>IF('TRACKER - 20220622'!Q133&lt;&gt;"",UPPER('TRACKER - 20220622'!Q133),"")</f>
        <v>AGREEMENTS</v>
      </c>
      <c r="P129" t="str">
        <f>IF('TRACKER - 20220622'!R133&lt;&gt;"",UPPER('TRACKER - 20220622'!R133),"")</f>
        <v>PROSPECT</v>
      </c>
      <c r="Q129" t="str">
        <f>IF('TRACKER - 20220622'!S133&lt;&gt;"",UPPER('TRACKER - 20220622'!S133),"")</f>
        <v/>
      </c>
      <c r="R129" t="str">
        <f>IF('TRACKER - 20220622'!T133&lt;&gt;"",UPPER('TRACKER - 20220622'!T133),"")</f>
        <v/>
      </c>
      <c r="S129" t="str">
        <f>IF('TRACKER - 20220622'!U133&lt;&gt;"",UPPER('TRACKER - 20220622'!U133),"")</f>
        <v/>
      </c>
      <c r="T129" t="str">
        <f>IF('TRACKER - 20220622'!V133&lt;&gt;"",UPPER('TRACKER - 20220622'!V133),"")</f>
        <v/>
      </c>
      <c r="U129" t="str">
        <f>IF('TRACKER - 20220622'!W133&lt;&gt;"",UPPER('TRACKER - 20220622'!W133),"")</f>
        <v/>
      </c>
      <c r="V129" t="str">
        <f>IF('TRACKER - 20220622'!X133&lt;&gt;"",UPPER('TRACKER - 20220622'!X133),"")</f>
        <v>ISBANK HAS SEVERAL SUBSIDIARIES. THE PLATFORM SHOULD HANDLE CALCULATIONS ON GROUP LEVEL AND AT SOLO LEVEL SHOWING SHARE OF EACH SUBSIDIARY IN INITIAL MARGIN AMOUNT. THE SUBSIDIARIES SHOULD BE ABLE TO FOLLOW THEIR INITIAL MARGIN OBLIGATION VIA PLATFORM OR AUTOMATICALLY SEND REPORTS.
PLEASE PROVIDE INFORMATION ABOUT HOW IM CALCULATIONS ARE HANDLED BY YOUR PLATFORM AT GROUP LEVEL?</v>
      </c>
      <c r="W129" t="str">
        <f>IF('TRACKER - 20220622'!Y133&lt;&gt;"",UPPER('TRACKER - 20220622'!Y133),"")</f>
        <v>0</v>
      </c>
      <c r="X129" t="str">
        <f>IF('TRACKER - 20220622'!Z133&lt;&gt;"",UPPER('TRACKER - 20220622'!Z133),"")</f>
        <v>0</v>
      </c>
      <c r="Y129" t="str">
        <f>IF('TRACKER - 20220622'!AA133&lt;&gt;"",UPPER('TRACKER - 20220622'!AA133),"")</f>
        <v>0</v>
      </c>
      <c r="Z129" t="str">
        <f>IF('TRACKER - 20220622'!AB133&lt;&gt;"",UPPER('TRACKER - 20220622'!AB133),"")</f>
        <v>0</v>
      </c>
      <c r="AA129" t="str">
        <f>IF('TRACKER - 20220622'!AC133&lt;&gt;"",UPPER('TRACKER - 20220622'!AC133),"")</f>
        <v>0</v>
      </c>
      <c r="AB129" t="str">
        <f>IF('TRACKER - 20220622'!AE133&lt;&gt;"",UPPER('TRACKER - 20220622'!AE133),"")</f>
        <v>0</v>
      </c>
      <c r="AC129" t="str">
        <f>IF('TRACKER - 20220622'!AF133&lt;&gt;"",UPPER('TRACKER - 20220622'!AF133),"")</f>
        <v>0</v>
      </c>
      <c r="AD129" t="str">
        <f>IF('TRACKER - 20220622'!AG133&lt;&gt;"",UPPER('TRACKER - 20220622'!AG133),"")</f>
        <v>0</v>
      </c>
      <c r="AE129" t="str">
        <f>IF('TRACKER - 20220622'!AH133&lt;&gt;"",UPPER('TRACKER - 20220622'!AH133),"")</f>
        <v>-150</v>
      </c>
      <c r="AF129" t="str">
        <f>IF('TRACKER - 20220622'!AI133&lt;&gt;"",UPPER('TRACKER - 20220622'!AI133),"")</f>
        <v/>
      </c>
      <c r="AG129" t="str">
        <f>IF('TRACKER - 20220622'!AJ133&lt;&gt;"",UPPER('TRACKER - 20220622'!AJ133),"")</f>
        <v>0</v>
      </c>
      <c r="AH129" t="str">
        <f>IF('TRACKER - 20220622'!AK133&lt;&gt;"",UPPER('TRACKER - 20220622'!AK133),"")</f>
        <v/>
      </c>
      <c r="AI129" t="str">
        <f>IF('TRACKER - 20220622'!AL133&lt;&gt;"",UPPER('TRACKER - 20220622'!AL133),"")</f>
        <v>0</v>
      </c>
      <c r="AJ129" t="str">
        <f>IF('TRACKER - 20220622'!AM133&lt;&gt;"",UPPER('TRACKER - 20220622'!AM133),"")</f>
        <v>0</v>
      </c>
      <c r="AK129" t="str">
        <f>IF('TRACKER - 20220622'!AN133&lt;&gt;"",UPPER('TRACKER - 20220622'!AN133),"")</f>
        <v/>
      </c>
      <c r="AL129" t="str">
        <f>IF('TRACKER - 20220622'!AO133&lt;&gt;"",UPPER('TRACKER - 20220622'!AO133),"")</f>
        <v>0</v>
      </c>
      <c r="AM129" t="str">
        <f>IF('TRACKER - 20220622'!AP133&lt;&gt;"",UPPER('TRACKER - 20220622'!AP133),"")</f>
        <v>0</v>
      </c>
      <c r="AN129" t="str">
        <f>IF('TRACKER - 20220622'!AQ133&lt;&gt;"",UPPER('TRACKER - 20220622'!AQ133),"")</f>
        <v>0</v>
      </c>
      <c r="AO129" t="str">
        <f>IF('TRACKER - 20220622'!AR133&lt;&gt;"",UPPER('TRACKER - 20220622'!AR133),"")</f>
        <v>PRD</v>
      </c>
      <c r="AP129" t="str">
        <f>IF('TRACKER - 20220622'!AS133&lt;&gt;"",UPPER('TRACKER - 20220622'!AS133),"")</f>
        <v>BLG</v>
      </c>
      <c r="AQ129" t="str">
        <f>IF('TRACKER - 20220622'!AT133&lt;&gt;"",UPPER('TRACKER - 20220622'!AT133),"")</f>
        <v>N</v>
      </c>
      <c r="AR129" t="str">
        <f>IF('TRACKER - 20220622'!AU133&lt;&gt;"",UPPER('TRACKER - 20220622'!AU133),"")</f>
        <v>-150</v>
      </c>
      <c r="AS129" t="str">
        <f>IF('TRACKER - 20220622'!AV133&lt;&gt;"",UPPER('TRACKER - 20220622'!AV133),"")</f>
        <v/>
      </c>
      <c r="AT129" t="str">
        <f>IF('TRACKER - 20220622'!AW133&lt;&gt;"",UPPER('TRACKER - 20220622'!AW133),"")</f>
        <v/>
      </c>
      <c r="AU129" t="str">
        <f>IF('TRACKER - 20220622'!AX133&lt;&gt;"",UPPER('TRACKER - 20220622'!AX133),"")</f>
        <v>REASON133</v>
      </c>
      <c r="AV129" t="str">
        <f>IF('TRACKER - 20220622'!BD150&lt;&gt;"",'TRACKER - 20220622'!BD150,"")</f>
        <v/>
      </c>
      <c r="AW129" t="str">
        <f>IF('TRACKER - 20220622'!BE150&lt;&gt;"",'TRACKER - 20220622'!BE150,"")</f>
        <v/>
      </c>
      <c r="AX129" t="str">
        <f>IF('TRACKER - 20220622'!BF150&lt;&gt;"",'TRACKER - 20220622'!BF150,"")</f>
        <v/>
      </c>
      <c r="AY129" t="str">
        <f>IF('TRACKER - 20220622'!BG150&lt;&gt;"",'TRACKER - 20220622'!BG150,"")</f>
        <v/>
      </c>
      <c r="AZ129" t="str">
        <f>IF('TRACKER - 20220622'!BH150&lt;&gt;"",'TRACKER - 20220622'!BH150,"")</f>
        <v/>
      </c>
      <c r="BA129" t="str">
        <f>IF('TRACKER - 20220622'!BI150&lt;&gt;"",'TRACKER - 20220622'!BI150,"")</f>
        <v/>
      </c>
      <c r="BB129" t="str">
        <f>IF('TRACKER - 20220622'!BJ150&lt;&gt;"",'TRACKER - 20220622'!BJ150,"")</f>
        <v/>
      </c>
      <c r="BC129" t="str">
        <f>IF('TRACKER - 20220622'!BK150&lt;&gt;"",'TRACKER - 20220622'!BK150,"")</f>
        <v/>
      </c>
      <c r="BD129" t="str">
        <f>IF('TRACKER - 20220622'!BL150&lt;&gt;"",'TRACKER - 20220622'!BL150,"")</f>
        <v/>
      </c>
      <c r="BE129" t="str">
        <f>IF('TRACKER - 20220622'!BM150&lt;&gt;"",'TRACKER - 20220622'!BM150,"")</f>
        <v/>
      </c>
      <c r="BF129" t="str">
        <f>IF('TRACKER - 20220622'!BN150&lt;&gt;"",'TRACKER - 20220622'!BN150,"")</f>
        <v/>
      </c>
      <c r="BG129" t="str">
        <f>IF('TRACKER - 20220622'!BO150&lt;&gt;"",'TRACKER - 20220622'!BO150,"")</f>
        <v/>
      </c>
    </row>
    <row r="130" spans="1:59">
      <c r="A130" t="str">
        <f>IF('TRACKER - 20220622'!A151&lt;&gt;"",UPPER('TRACKER - 20220622'!A151),"")</f>
        <v>ZENITH</v>
      </c>
      <c r="B130" t="str">
        <f>IF('TRACKER - 20220622'!B151&lt;&gt;"",UPPER('TRACKER - 20220622'!B151),"")</f>
        <v>Y</v>
      </c>
      <c r="C130" t="str">
        <f>IF('TRACKER - 20220622'!D134&lt;&gt;"",UPPER('TRACKER - 20220622'!D134),"")</f>
        <v>10</v>
      </c>
      <c r="D130" t="str">
        <f>IF('TRACKER - 20220622'!F151&lt;&gt;"",UPPER('TRACKER - 20220622'!F151),"")</f>
        <v>ZTH-RSC-2020-00045</v>
      </c>
      <c r="E130" t="str">
        <f>IF('TRACKER - 20220622'!H151&lt;&gt;"",'TRACKER - 20220622'!H151,"")</f>
        <v>RSC045 - Amortised Cost of a Bond</v>
      </c>
      <c r="F130" t="str">
        <f t="shared" si="2"/>
        <v>ZTH-RSC-2020-00045 RSC045 - Amortised Cost of a Bond</v>
      </c>
      <c r="G130" t="str">
        <f t="shared" si="3"/>
        <v>00010 - RSC045 - Amortised Cost of a Bond</v>
      </c>
      <c r="H130">
        <f>IF('TRACKER - 20220622'!J151&lt;&gt;"",'TRACKER - 20220622'!J151,"")</f>
        <v>0</v>
      </c>
      <c r="I130" t="str">
        <f>IF('TRACKER - 20220622'!K134&lt;&gt;"",UPPER('TRACKER - 20220622'!K134),"")</f>
        <v>44105</v>
      </c>
      <c r="J130" t="str">
        <f>IF('TRACKER - 20220622'!L134&lt;&gt;"",UPPER('TRACKER - 20220622'!L134),"")</f>
        <v>44105</v>
      </c>
      <c r="K130" t="str">
        <f>IF('TRACKER - 20220622'!M134&lt;&gt;"",UPPER('TRACKER - 20220622'!M134),"")</f>
        <v/>
      </c>
      <c r="L130" t="str">
        <f>IF('TRACKER - 20220622'!N134&lt;&gt;"",UPPER('TRACKER - 20220622'!N134),"")</f>
        <v/>
      </c>
      <c r="M130" t="str">
        <f>IF('TRACKER - 20220622'!O134&lt;&gt;"",UPPER('TRACKER - 20220622'!O134),"")</f>
        <v/>
      </c>
      <c r="N130" t="str">
        <f>IF('TRACKER - 20220622'!P134&lt;&gt;"",UPPER('TRACKER - 20220622'!P134),"")</f>
        <v/>
      </c>
      <c r="O130" t="str">
        <f>IF('TRACKER - 20220622'!Q134&lt;&gt;"",UPPER('TRACKER - 20220622'!Q134),"")</f>
        <v>AGREEMENTS</v>
      </c>
      <c r="P130" t="str">
        <f>IF('TRACKER - 20220622'!R134&lt;&gt;"",UPPER('TRACKER - 20220622'!R134),"")</f>
        <v>PROSPECT</v>
      </c>
      <c r="Q130" t="str">
        <f>IF('TRACKER - 20220622'!S134&lt;&gt;"",UPPER('TRACKER - 20220622'!S134),"")</f>
        <v>NEW</v>
      </c>
      <c r="R130" t="str">
        <f>IF('TRACKER - 20220622'!T134&lt;&gt;"",UPPER('TRACKER - 20220622'!T134),"")</f>
        <v/>
      </c>
      <c r="S130" t="str">
        <f>IF('TRACKER - 20220622'!U134&lt;&gt;"",UPPER('TRACKER - 20220622'!U134),"")</f>
        <v/>
      </c>
      <c r="T130" t="str">
        <f>IF('TRACKER - 20220622'!V134&lt;&gt;"",UPPER('TRACKER - 20220622'!V134),"")</f>
        <v/>
      </c>
      <c r="U130" t="str">
        <f>IF('TRACKER - 20220622'!W134&lt;&gt;"",UPPER('TRACKER - 20220622'!W134),"")</f>
        <v/>
      </c>
      <c r="V130" t="str">
        <f>IF('TRACKER - 20220622'!X134&lt;&gt;"",UPPER('TRACKER - 20220622'!X134),"")</f>
        <v>THE PLATFORM SHOULD CALCULATE INCOMING AND OUTGOING MARGIN CALL AMOUNTS BASED ON COUNTERPARTY AND AGREEMENT. IT SHOULD AUTOMATICALLY SEND MARGIN CALL NOTIFICATIONS ON DAILY BASIS.
CAN YOUR PLATFORM CALCULATE INCOMING AND OUTGOING MARGIN CALL AMOUNTS BASED ON COUNTERPARTY AND AGREEMENT?</v>
      </c>
      <c r="W130" t="str">
        <f>IF('TRACKER - 20220622'!Y134&lt;&gt;"",UPPER('TRACKER - 20220622'!Y134),"")</f>
        <v>0</v>
      </c>
      <c r="X130" t="str">
        <f>IF('TRACKER - 20220622'!Z134&lt;&gt;"",UPPER('TRACKER - 20220622'!Z134),"")</f>
        <v>0</v>
      </c>
      <c r="Y130" t="str">
        <f>IF('TRACKER - 20220622'!AA134&lt;&gt;"",UPPER('TRACKER - 20220622'!AA134),"")</f>
        <v>0</v>
      </c>
      <c r="Z130" t="str">
        <f>IF('TRACKER - 20220622'!AB134&lt;&gt;"",UPPER('TRACKER - 20220622'!AB134),"")</f>
        <v>0</v>
      </c>
      <c r="AA130" t="str">
        <f>IF('TRACKER - 20220622'!AC134&lt;&gt;"",UPPER('TRACKER - 20220622'!AC134),"")</f>
        <v>0</v>
      </c>
      <c r="AB130" t="str">
        <f>IF('TRACKER - 20220622'!AE134&lt;&gt;"",UPPER('TRACKER - 20220622'!AE134),"")</f>
        <v>0</v>
      </c>
      <c r="AC130" t="str">
        <f>IF('TRACKER - 20220622'!AF134&lt;&gt;"",UPPER('TRACKER - 20220622'!AF134),"")</f>
        <v>0</v>
      </c>
      <c r="AD130" t="str">
        <f>IF('TRACKER - 20220622'!AG134&lt;&gt;"",UPPER('TRACKER - 20220622'!AG134),"")</f>
        <v>0</v>
      </c>
      <c r="AE130" t="str">
        <f>IF('TRACKER - 20220622'!AH134&lt;&gt;"",UPPER('TRACKER - 20220622'!AH134),"")</f>
        <v>-150</v>
      </c>
      <c r="AF130" t="str">
        <f>IF('TRACKER - 20220622'!AI134&lt;&gt;"",UPPER('TRACKER - 20220622'!AI134),"")</f>
        <v/>
      </c>
      <c r="AG130" t="str">
        <f>IF('TRACKER - 20220622'!AJ134&lt;&gt;"",UPPER('TRACKER - 20220622'!AJ134),"")</f>
        <v>0</v>
      </c>
      <c r="AH130" t="str">
        <f>IF('TRACKER - 20220622'!AK134&lt;&gt;"",UPPER('TRACKER - 20220622'!AK134),"")</f>
        <v/>
      </c>
      <c r="AI130" t="str">
        <f>IF('TRACKER - 20220622'!AL134&lt;&gt;"",UPPER('TRACKER - 20220622'!AL134),"")</f>
        <v>0</v>
      </c>
      <c r="AJ130" t="str">
        <f>IF('TRACKER - 20220622'!AM134&lt;&gt;"",UPPER('TRACKER - 20220622'!AM134),"")</f>
        <v>0</v>
      </c>
      <c r="AK130" t="str">
        <f>IF('TRACKER - 20220622'!AN134&lt;&gt;"",UPPER('TRACKER - 20220622'!AN134),"")</f>
        <v/>
      </c>
      <c r="AL130" t="str">
        <f>IF('TRACKER - 20220622'!AO134&lt;&gt;"",UPPER('TRACKER - 20220622'!AO134),"")</f>
        <v>0</v>
      </c>
      <c r="AM130" t="str">
        <f>IF('TRACKER - 20220622'!AP134&lt;&gt;"",UPPER('TRACKER - 20220622'!AP134),"")</f>
        <v>0</v>
      </c>
      <c r="AN130" t="str">
        <f>IF('TRACKER - 20220622'!AQ134&lt;&gt;"",UPPER('TRACKER - 20220622'!AQ134),"")</f>
        <v>0</v>
      </c>
      <c r="AO130" t="str">
        <f>IF('TRACKER - 20220622'!AR134&lt;&gt;"",UPPER('TRACKER - 20220622'!AR134),"")</f>
        <v>PRD</v>
      </c>
      <c r="AP130" t="str">
        <f>IF('TRACKER - 20220622'!AS134&lt;&gt;"",UPPER('TRACKER - 20220622'!AS134),"")</f>
        <v>BLG</v>
      </c>
      <c r="AQ130" t="str">
        <f>IF('TRACKER - 20220622'!AT134&lt;&gt;"",UPPER('TRACKER - 20220622'!AT134),"")</f>
        <v>N</v>
      </c>
      <c r="AR130" t="str">
        <f>IF('TRACKER - 20220622'!AU134&lt;&gt;"",UPPER('TRACKER - 20220622'!AU134),"")</f>
        <v>-150</v>
      </c>
      <c r="AS130" t="str">
        <f>IF('TRACKER - 20220622'!AV134&lt;&gt;"",UPPER('TRACKER - 20220622'!AV134),"")</f>
        <v/>
      </c>
      <c r="AT130" t="str">
        <f>IF('TRACKER - 20220622'!AW134&lt;&gt;"",UPPER('TRACKER - 20220622'!AW134),"")</f>
        <v/>
      </c>
      <c r="AU130" t="str">
        <f>IF('TRACKER - 20220622'!AX134&lt;&gt;"",UPPER('TRACKER - 20220622'!AX134),"")</f>
        <v>REASON134</v>
      </c>
      <c r="AV130" t="str">
        <f>IF('TRACKER - 20220622'!BD151&lt;&gt;"",'TRACKER - 20220622'!BD151,"")</f>
        <v/>
      </c>
      <c r="AW130" t="str">
        <f>IF('TRACKER - 20220622'!BE151&lt;&gt;"",'TRACKER - 20220622'!BE151,"")</f>
        <v/>
      </c>
      <c r="AX130" t="str">
        <f>IF('TRACKER - 20220622'!BF151&lt;&gt;"",'TRACKER - 20220622'!BF151,"")</f>
        <v/>
      </c>
      <c r="AY130" t="str">
        <f>IF('TRACKER - 20220622'!BG151&lt;&gt;"",'TRACKER - 20220622'!BG151,"")</f>
        <v/>
      </c>
      <c r="AZ130" t="str">
        <f>IF('TRACKER - 20220622'!BH151&lt;&gt;"",'TRACKER - 20220622'!BH151,"")</f>
        <v/>
      </c>
      <c r="BA130" t="str">
        <f>IF('TRACKER - 20220622'!BI151&lt;&gt;"",'TRACKER - 20220622'!BI151,"")</f>
        <v/>
      </c>
      <c r="BB130" t="str">
        <f>IF('TRACKER - 20220622'!BJ151&lt;&gt;"",'TRACKER - 20220622'!BJ151,"")</f>
        <v/>
      </c>
      <c r="BC130" t="str">
        <f>IF('TRACKER - 20220622'!BK151&lt;&gt;"",'TRACKER - 20220622'!BK151,"")</f>
        <v/>
      </c>
      <c r="BD130" t="str">
        <f>IF('TRACKER - 20220622'!BL151&lt;&gt;"",'TRACKER - 20220622'!BL151,"")</f>
        <v/>
      </c>
      <c r="BE130" t="str">
        <f>IF('TRACKER - 20220622'!BM151&lt;&gt;"",'TRACKER - 20220622'!BM151,"")</f>
        <v/>
      </c>
      <c r="BF130" t="str">
        <f>IF('TRACKER - 20220622'!BN151&lt;&gt;"",'TRACKER - 20220622'!BN151,"")</f>
        <v/>
      </c>
      <c r="BG130" t="str">
        <f>IF('TRACKER - 20220622'!BO151&lt;&gt;"",'TRACKER - 20220622'!BO151,"")</f>
        <v/>
      </c>
    </row>
    <row r="131" spans="1:59">
      <c r="A131" t="str">
        <f>IF('TRACKER - 20220622'!A152&lt;&gt;"",UPPER('TRACKER - 20220622'!A152),"")</f>
        <v>ZENITH</v>
      </c>
      <c r="B131" t="str">
        <f>IF('TRACKER - 20220622'!B152&lt;&gt;"",UPPER('TRACKER - 20220622'!B152),"")</f>
        <v>Y</v>
      </c>
      <c r="C131" t="str">
        <f>IF('TRACKER - 20220622'!D135&lt;&gt;"",UPPER('TRACKER - 20220622'!D135),"")</f>
        <v>7</v>
      </c>
      <c r="D131" t="str">
        <f>IF('TRACKER - 20220622'!F152&lt;&gt;"",UPPER('TRACKER - 20220622'!F152),"")</f>
        <v>ZTH-RSC-2020-00052</v>
      </c>
      <c r="E131" t="str">
        <f>IF('TRACKER - 20220622'!H152&lt;&gt;"",'TRACKER - 20220622'!H152,"")</f>
        <v>RSC052 - Limited Siena Trader Licence</v>
      </c>
      <c r="F131" t="str">
        <f t="shared" ref="F131:F150" si="4">D131&amp;" "&amp;E131</f>
        <v>ZTH-RSC-2020-00052 RSC052 - Limited Siena Trader Licence</v>
      </c>
      <c r="G131" t="str">
        <f t="shared" ref="G131:G150" si="5">AK131&amp;TEXT(C131,"00000")&amp;" - "&amp;E131</f>
        <v>00007 - RSC052 - Limited Siena Trader Licence</v>
      </c>
      <c r="H131">
        <f>IF('TRACKER - 20220622'!J152&lt;&gt;"",'TRACKER - 20220622'!J152,"")</f>
        <v>0</v>
      </c>
      <c r="I131" t="str">
        <f>IF('TRACKER - 20220622'!K135&lt;&gt;"",UPPER('TRACKER - 20220622'!K135),"")</f>
        <v>44271</v>
      </c>
      <c r="J131" t="str">
        <f>IF('TRACKER - 20220622'!L135&lt;&gt;"",UPPER('TRACKER - 20220622'!L135),"")</f>
        <v>44271</v>
      </c>
      <c r="K131" t="str">
        <f>IF('TRACKER - 20220622'!M135&lt;&gt;"",UPPER('TRACKER - 20220622'!M135),"")</f>
        <v/>
      </c>
      <c r="L131" t="str">
        <f>IF('TRACKER - 20220622'!N135&lt;&gt;"",UPPER('TRACKER - 20220622'!N135),"")</f>
        <v/>
      </c>
      <c r="M131" t="str">
        <f>IF('TRACKER - 20220622'!O135&lt;&gt;"",UPPER('TRACKER - 20220622'!O135),"")</f>
        <v/>
      </c>
      <c r="N131" t="str">
        <f>IF('TRACKER - 20220622'!P135&lt;&gt;"",UPPER('TRACKER - 20220622'!P135),"")</f>
        <v/>
      </c>
      <c r="O131" t="str">
        <f>IF('TRACKER - 20220622'!Q135&lt;&gt;"",UPPER('TRACKER - 20220622'!Q135),"")</f>
        <v>INFRASTRUCTURE</v>
      </c>
      <c r="P131" t="str">
        <f>IF('TRACKER - 20220622'!R135&lt;&gt;"",UPPER('TRACKER - 20220622'!R135),"")</f>
        <v>PROSPECT</v>
      </c>
      <c r="Q131" t="str">
        <f>IF('TRACKER - 20220622'!S135&lt;&gt;"",UPPER('TRACKER - 20220622'!S135),"")</f>
        <v/>
      </c>
      <c r="R131" t="str">
        <f>IF('TRACKER - 20220622'!T135&lt;&gt;"",UPPER('TRACKER - 20220622'!T135),"")</f>
        <v/>
      </c>
      <c r="S131" t="str">
        <f>IF('TRACKER - 20220622'!U135&lt;&gt;"",UPPER('TRACKER - 20220622'!U135),"")</f>
        <v/>
      </c>
      <c r="T131" t="str">
        <f>IF('TRACKER - 20220622'!V135&lt;&gt;"",UPPER('TRACKER - 20220622'!V135),"")</f>
        <v/>
      </c>
      <c r="U131" t="str">
        <f>IF('TRACKER - 20220622'!W135&lt;&gt;"",UPPER('TRACKER - 20220622'!W135),"")</f>
        <v/>
      </c>
      <c r="V131" t="str">
        <f>IF('TRACKER - 20220622'!X135&lt;&gt;"",UPPER('TRACKER - 20220622'!X135),"")</f>
        <v>RAISED IN FUSION</v>
      </c>
      <c r="W131" t="str">
        <f>IF('TRACKER - 20220622'!Y135&lt;&gt;"",UPPER('TRACKER - 20220622'!Y135),"")</f>
        <v>-5625</v>
      </c>
      <c r="X131" t="str">
        <f>IF('TRACKER - 20220622'!Z135&lt;&gt;"",UPPER('TRACKER - 20220622'!Z135),"")</f>
        <v>-1125</v>
      </c>
      <c r="Y131" t="str">
        <f>IF('TRACKER - 20220622'!AA135&lt;&gt;"",UPPER('TRACKER - 20220622'!AA135),"")</f>
        <v>-2250</v>
      </c>
      <c r="Z131" t="str">
        <f>IF('TRACKER - 20220622'!AB135&lt;&gt;"",UPPER('TRACKER - 20220622'!AB135),"")</f>
        <v>-1125</v>
      </c>
      <c r="AA131" t="str">
        <f>IF('TRACKER - 20220622'!AC135&lt;&gt;"",UPPER('TRACKER - 20220622'!AC135),"")</f>
        <v>0</v>
      </c>
      <c r="AB131" t="str">
        <f>IF('TRACKER - 20220622'!AE135&lt;&gt;"",UPPER('TRACKER - 20220622'!AE135),"")</f>
        <v>-1125</v>
      </c>
      <c r="AC131" t="str">
        <f>IF('TRACKER - 20220622'!AF135&lt;&gt;"",UPPER('TRACKER - 20220622'!AF135),"")</f>
        <v>-5625</v>
      </c>
      <c r="AD131" t="str">
        <f>IF('TRACKER - 20220622'!AG135&lt;&gt;"",UPPER('TRACKER - 20220622'!AG135),"")</f>
        <v>0</v>
      </c>
      <c r="AE131" t="str">
        <f>IF('TRACKER - 20220622'!AH135&lt;&gt;"",UPPER('TRACKER - 20220622'!AH135),"")</f>
        <v>-150</v>
      </c>
      <c r="AF131" t="str">
        <f>IF('TRACKER - 20220622'!AI135&lt;&gt;"",UPPER('TRACKER - 20220622'!AI135),"")</f>
        <v/>
      </c>
      <c r="AG131" t="str">
        <f>IF('TRACKER - 20220622'!AJ135&lt;&gt;"",UPPER('TRACKER - 20220622'!AJ135),"")</f>
        <v>0</v>
      </c>
      <c r="AH131" t="str">
        <f>IF('TRACKER - 20220622'!AK135&lt;&gt;"",UPPER('TRACKER - 20220622'!AK135),"")</f>
        <v>1</v>
      </c>
      <c r="AI131" t="str">
        <f>IF('TRACKER - 20220622'!AL135&lt;&gt;"",UPPER('TRACKER - 20220622'!AL135),"")</f>
        <v>2</v>
      </c>
      <c r="AJ131" t="str">
        <f>IF('TRACKER - 20220622'!AM135&lt;&gt;"",UPPER('TRACKER - 20220622'!AM135),"")</f>
        <v>1</v>
      </c>
      <c r="AK131" t="str">
        <f>IF('TRACKER - 20220622'!AN135&lt;&gt;"",UPPER('TRACKER - 20220622'!AN135),"")</f>
        <v/>
      </c>
      <c r="AL131" t="str">
        <f>IF('TRACKER - 20220622'!AO135&lt;&gt;"",UPPER('TRACKER - 20220622'!AO135),"")</f>
        <v>1</v>
      </c>
      <c r="AM131" t="str">
        <f>IF('TRACKER - 20220622'!AP135&lt;&gt;"",UPPER('TRACKER - 20220622'!AP135),"")</f>
        <v>5</v>
      </c>
      <c r="AN131" t="str">
        <f>IF('TRACKER - 20220622'!AQ135&lt;&gt;"",UPPER('TRACKER - 20220622'!AQ135),"")</f>
        <v>0</v>
      </c>
      <c r="AO131" t="str">
        <f>IF('TRACKER - 20220622'!AR135&lt;&gt;"",UPPER('TRACKER - 20220622'!AR135),"")</f>
        <v>PRD</v>
      </c>
      <c r="AP131" t="str">
        <f>IF('TRACKER - 20220622'!AS135&lt;&gt;"",UPPER('TRACKER - 20220622'!AS135),"")</f>
        <v>BLG</v>
      </c>
      <c r="AQ131" t="str">
        <f>IF('TRACKER - 20220622'!AT135&lt;&gt;"",UPPER('TRACKER - 20220622'!AT135),"")</f>
        <v>N</v>
      </c>
      <c r="AR131" t="str">
        <f>IF('TRACKER - 20220622'!AU135&lt;&gt;"",UPPER('TRACKER - 20220622'!AU135),"")</f>
        <v>-150</v>
      </c>
      <c r="AS131" t="str">
        <f>IF('TRACKER - 20220622'!AV135&lt;&gt;"",UPPER('TRACKER - 20220622'!AV135),"")</f>
        <v/>
      </c>
      <c r="AT131" t="str">
        <f>IF('TRACKER - 20220622'!AW135&lt;&gt;"",UPPER('TRACKER - 20220622'!AW135),"")</f>
        <v/>
      </c>
      <c r="AU131" t="str">
        <f>IF('TRACKER - 20220622'!AX135&lt;&gt;"",UPPER('TRACKER - 20220622'!AX135),"")</f>
        <v>REASON135</v>
      </c>
      <c r="AV131" t="str">
        <f>IF('TRACKER - 20220622'!BD152&lt;&gt;"",'TRACKER - 20220622'!BD152,"")</f>
        <v/>
      </c>
      <c r="AW131" t="str">
        <f>IF('TRACKER - 20220622'!BE152&lt;&gt;"",'TRACKER - 20220622'!BE152,"")</f>
        <v/>
      </c>
      <c r="AX131" t="str">
        <f>IF('TRACKER - 20220622'!BF152&lt;&gt;"",'TRACKER - 20220622'!BF152,"")</f>
        <v/>
      </c>
      <c r="AY131" t="str">
        <f>IF('TRACKER - 20220622'!BG152&lt;&gt;"",'TRACKER - 20220622'!BG152,"")</f>
        <v/>
      </c>
      <c r="AZ131" t="str">
        <f>IF('TRACKER - 20220622'!BH152&lt;&gt;"",'TRACKER - 20220622'!BH152,"")</f>
        <v/>
      </c>
      <c r="BA131" t="str">
        <f>IF('TRACKER - 20220622'!BI152&lt;&gt;"",'TRACKER - 20220622'!BI152,"")</f>
        <v/>
      </c>
      <c r="BB131" t="str">
        <f>IF('TRACKER - 20220622'!BJ152&lt;&gt;"",'TRACKER - 20220622'!BJ152,"")</f>
        <v/>
      </c>
      <c r="BC131" t="str">
        <f>IF('TRACKER - 20220622'!BK152&lt;&gt;"",'TRACKER - 20220622'!BK152,"")</f>
        <v/>
      </c>
      <c r="BD131" t="str">
        <f>IF('TRACKER - 20220622'!BL152&lt;&gt;"",'TRACKER - 20220622'!BL152,"")</f>
        <v/>
      </c>
      <c r="BE131" t="str">
        <f>IF('TRACKER - 20220622'!BM152&lt;&gt;"",'TRACKER - 20220622'!BM152,"")</f>
        <v/>
      </c>
      <c r="BF131" t="str">
        <f>IF('TRACKER - 20220622'!BN152&lt;&gt;"",'TRACKER - 20220622'!BN152,"")</f>
        <v/>
      </c>
      <c r="BG131" t="str">
        <f>IF('TRACKER - 20220622'!BO152&lt;&gt;"",'TRACKER - 20220622'!BO152,"")</f>
        <v/>
      </c>
    </row>
    <row r="132" spans="1:59">
      <c r="A132" t="str">
        <f>IF('TRACKER - 20220622'!A153&lt;&gt;"",UPPER('TRACKER - 20220622'!A153),"")</f>
        <v>ZENITH</v>
      </c>
      <c r="B132" t="str">
        <f>IF('TRACKER - 20220622'!B153&lt;&gt;"",UPPER('TRACKER - 20220622'!B153),"")</f>
        <v>Y</v>
      </c>
      <c r="C132" t="str">
        <f>IF('TRACKER - 20220622'!D136&lt;&gt;"",UPPER('TRACKER - 20220622'!D136),"")</f>
        <v>215</v>
      </c>
      <c r="D132" t="str">
        <f>IF('TRACKER - 20220622'!F153&lt;&gt;"",UPPER('TRACKER - 20220622'!F153),"")</f>
        <v>ZTH-RSC-2020-00053</v>
      </c>
      <c r="E132" t="str">
        <f>IF('TRACKER - 20220622'!H153&lt;&gt;"",'TRACKER - 20220622'!H153,"")</f>
        <v>RSC053 - User Profiles/Groups</v>
      </c>
      <c r="F132" t="str">
        <f t="shared" si="4"/>
        <v>ZTH-RSC-2020-00053 RSC053 - User Profiles/Groups</v>
      </c>
      <c r="G132" t="str">
        <f t="shared" si="5"/>
        <v>00215 - RSC053 - User Profiles/Groups</v>
      </c>
      <c r="H132">
        <f>IF('TRACKER - 20220622'!J153&lt;&gt;"",'TRACKER - 20220622'!J153,"")</f>
        <v>0</v>
      </c>
      <c r="I132" t="str">
        <f>IF('TRACKER - 20220622'!K136&lt;&gt;"",UPPER('TRACKER - 20220622'!K136),"")</f>
        <v>44068</v>
      </c>
      <c r="J132" t="str">
        <f>IF('TRACKER - 20220622'!L136&lt;&gt;"",UPPER('TRACKER - 20220622'!L136),"")</f>
        <v>44068</v>
      </c>
      <c r="K132" t="str">
        <f>IF('TRACKER - 20220622'!M136&lt;&gt;"",UPPER('TRACKER - 20220622'!M136),"")</f>
        <v/>
      </c>
      <c r="L132" t="str">
        <f>IF('TRACKER - 20220622'!N136&lt;&gt;"",UPPER('TRACKER - 20220622'!N136),"")</f>
        <v/>
      </c>
      <c r="M132" t="str">
        <f>IF('TRACKER - 20220622'!O136&lt;&gt;"",UPPER('TRACKER - 20220622'!O136),"")</f>
        <v/>
      </c>
      <c r="N132" t="str">
        <f>IF('TRACKER - 20220622'!P136&lt;&gt;"",UPPER('TRACKER - 20220622'!P136),"")</f>
        <v/>
      </c>
      <c r="O132" t="str">
        <f>IF('TRACKER - 20220622'!Q136&lt;&gt;"",UPPER('TRACKER - 20220622'!Q136),"")</f>
        <v>SALES DESK</v>
      </c>
      <c r="P132" t="str">
        <f>IF('TRACKER - 20220622'!R136&lt;&gt;"",UPPER('TRACKER - 20220622'!R136),"")</f>
        <v>CLIENT</v>
      </c>
      <c r="Q132" t="str">
        <f>IF('TRACKER - 20220622'!S136&lt;&gt;"",UPPER('TRACKER - 20220622'!S136),"")</f>
        <v/>
      </c>
      <c r="R132" t="str">
        <f>IF('TRACKER - 20220622'!T136&lt;&gt;"",UPPER('TRACKER - 20220622'!T136),"")</f>
        <v/>
      </c>
      <c r="S132" t="str">
        <f>IF('TRACKER - 20220622'!U136&lt;&gt;"",UPPER('TRACKER - 20220622'!U136),"")</f>
        <v/>
      </c>
      <c r="T132" t="str">
        <f>IF('TRACKER - 20220622'!V136&lt;&gt;"",UPPER('TRACKER - 20220622'!V136),"")</f>
        <v/>
      </c>
      <c r="U132" t="str">
        <f>IF('TRACKER - 20220622'!W136&lt;&gt;"",UPPER('TRACKER - 20220622'!W136),"")</f>
        <v/>
      </c>
      <c r="V132" t="str">
        <f>IF('TRACKER - 20220622'!X136&lt;&gt;"",UPPER('TRACKER - 20220622'!X136),"")</f>
        <v>25/08/20 - LOADED FROM PROJECT LOGS FILES</v>
      </c>
      <c r="W132" t="str">
        <f>IF('TRACKER - 20220622'!Y136&lt;&gt;"",UPPER('TRACKER - 20220622'!Y136),"")</f>
        <v>0</v>
      </c>
      <c r="X132" t="str">
        <f>IF('TRACKER - 20220622'!Z136&lt;&gt;"",UPPER('TRACKER - 20220622'!Z136),"")</f>
        <v>0</v>
      </c>
      <c r="Y132" t="str">
        <f>IF('TRACKER - 20220622'!AA136&lt;&gt;"",UPPER('TRACKER - 20220622'!AA136),"")</f>
        <v>0</v>
      </c>
      <c r="Z132" t="str">
        <f>IF('TRACKER - 20220622'!AB136&lt;&gt;"",UPPER('TRACKER - 20220622'!AB136),"")</f>
        <v>0</v>
      </c>
      <c r="AA132" t="str">
        <f>IF('TRACKER - 20220622'!AC136&lt;&gt;"",UPPER('TRACKER - 20220622'!AC136),"")</f>
        <v>0</v>
      </c>
      <c r="AB132" t="str">
        <f>IF('TRACKER - 20220622'!AE136&lt;&gt;"",UPPER('TRACKER - 20220622'!AE136),"")</f>
        <v>0</v>
      </c>
      <c r="AC132" t="str">
        <f>IF('TRACKER - 20220622'!AF136&lt;&gt;"",UPPER('TRACKER - 20220622'!AF136),"")</f>
        <v>0</v>
      </c>
      <c r="AD132" t="str">
        <f>IF('TRACKER - 20220622'!AG136&lt;&gt;"",UPPER('TRACKER - 20220622'!AG136),"")</f>
        <v>0</v>
      </c>
      <c r="AE132" t="str">
        <f>IF('TRACKER - 20220622'!AH136&lt;&gt;"",UPPER('TRACKER - 20220622'!AH136),"")</f>
        <v>180.81</v>
      </c>
      <c r="AF132" t="str">
        <f>IF('TRACKER - 20220622'!AI136&lt;&gt;"",UPPER('TRACKER - 20220622'!AI136),"")</f>
        <v/>
      </c>
      <c r="AG132" t="str">
        <f>IF('TRACKER - 20220622'!AJ136&lt;&gt;"",UPPER('TRACKER - 20220622'!AJ136),"")</f>
        <v>0</v>
      </c>
      <c r="AH132" t="str">
        <f>IF('TRACKER - 20220622'!AK136&lt;&gt;"",UPPER('TRACKER - 20220622'!AK136),"")</f>
        <v/>
      </c>
      <c r="AI132" t="str">
        <f>IF('TRACKER - 20220622'!AL136&lt;&gt;"",UPPER('TRACKER - 20220622'!AL136),"")</f>
        <v>0</v>
      </c>
      <c r="AJ132" t="str">
        <f>IF('TRACKER - 20220622'!AM136&lt;&gt;"",UPPER('TRACKER - 20220622'!AM136),"")</f>
        <v>0</v>
      </c>
      <c r="AK132" t="str">
        <f>IF('TRACKER - 20220622'!AN136&lt;&gt;"",UPPER('TRACKER - 20220622'!AN136),"")</f>
        <v/>
      </c>
      <c r="AL132" t="str">
        <f>IF('TRACKER - 20220622'!AO136&lt;&gt;"",UPPER('TRACKER - 20220622'!AO136),"")</f>
        <v>0</v>
      </c>
      <c r="AM132" t="str">
        <f>IF('TRACKER - 20220622'!AP136&lt;&gt;"",UPPER('TRACKER - 20220622'!AP136),"")</f>
        <v>0</v>
      </c>
      <c r="AN132" t="str">
        <f>IF('TRACKER - 20220622'!AQ136&lt;&gt;"",UPPER('TRACKER - 20220622'!AQ136),"")</f>
        <v>0</v>
      </c>
      <c r="AO132" t="str">
        <f>IF('TRACKER - 20220622'!AR136&lt;&gt;"",UPPER('TRACKER - 20220622'!AR136),"")</f>
        <v>RMB</v>
      </c>
      <c r="AP132" t="str">
        <f>IF('TRACKER - 20220622'!AS136&lt;&gt;"",UPPER('TRACKER - 20220622'!AS136),"")</f>
        <v>RSC</v>
      </c>
      <c r="AQ132" t="str">
        <f>IF('TRACKER - 20220622'!AT136&lt;&gt;"",UPPER('TRACKER - 20220622'!AT136),"")</f>
        <v>Y</v>
      </c>
      <c r="AR132" t="str">
        <f>IF('TRACKER - 20220622'!AU136&lt;&gt;"",UPPER('TRACKER - 20220622'!AU136),"")</f>
        <v>180.81</v>
      </c>
      <c r="AS132" t="str">
        <f>IF('TRACKER - 20220622'!AV136&lt;&gt;"",UPPER('TRACKER - 20220622'!AV136),"")</f>
        <v/>
      </c>
      <c r="AT132" t="str">
        <f>IF('TRACKER - 20220622'!AW136&lt;&gt;"",UPPER('TRACKER - 20220622'!AW136),"")</f>
        <v/>
      </c>
      <c r="AU132" t="str">
        <f>IF('TRACKER - 20220622'!AX136&lt;&gt;"",UPPER('TRACKER - 20220622'!AX136),"")</f>
        <v>REASON136</v>
      </c>
      <c r="AV132" t="str">
        <f>IF('TRACKER - 20220622'!BD153&lt;&gt;"",'TRACKER - 20220622'!BD153,"")</f>
        <v/>
      </c>
      <c r="AW132" t="str">
        <f>IF('TRACKER - 20220622'!BE153&lt;&gt;"",'TRACKER - 20220622'!BE153,"")</f>
        <v/>
      </c>
      <c r="AX132" t="str">
        <f>IF('TRACKER - 20220622'!BF153&lt;&gt;"",'TRACKER - 20220622'!BF153,"")</f>
        <v/>
      </c>
      <c r="AY132" t="str">
        <f>IF('TRACKER - 20220622'!BG153&lt;&gt;"",'TRACKER - 20220622'!BG153,"")</f>
        <v/>
      </c>
      <c r="AZ132" t="str">
        <f>IF('TRACKER - 20220622'!BH153&lt;&gt;"",'TRACKER - 20220622'!BH153,"")</f>
        <v/>
      </c>
      <c r="BA132" t="str">
        <f>IF('TRACKER - 20220622'!BI153&lt;&gt;"",'TRACKER - 20220622'!BI153,"")</f>
        <v/>
      </c>
      <c r="BB132" t="str">
        <f>IF('TRACKER - 20220622'!BJ153&lt;&gt;"",'TRACKER - 20220622'!BJ153,"")</f>
        <v/>
      </c>
      <c r="BC132" t="str">
        <f>IF('TRACKER - 20220622'!BK153&lt;&gt;"",'TRACKER - 20220622'!BK153,"")</f>
        <v/>
      </c>
      <c r="BD132" t="str">
        <f>IF('TRACKER - 20220622'!BL153&lt;&gt;"",'TRACKER - 20220622'!BL153,"")</f>
        <v/>
      </c>
      <c r="BE132" t="str">
        <f>IF('TRACKER - 20220622'!BM153&lt;&gt;"",'TRACKER - 20220622'!BM153,"")</f>
        <v/>
      </c>
      <c r="BF132" t="str">
        <f>IF('TRACKER - 20220622'!BN153&lt;&gt;"",'TRACKER - 20220622'!BN153,"")</f>
        <v/>
      </c>
      <c r="BG132" t="str">
        <f>IF('TRACKER - 20220622'!BO153&lt;&gt;"",'TRACKER - 20220622'!BO153,"")</f>
        <v/>
      </c>
    </row>
    <row r="133" spans="1:59">
      <c r="A133" t="str">
        <f>IF('TRACKER - 20220622'!A154&lt;&gt;"",UPPER('TRACKER - 20220622'!A154),"")</f>
        <v>PRODUCT BACKLOG</v>
      </c>
      <c r="B133" t="str">
        <f>IF('TRACKER - 20220622'!B154&lt;&gt;"",UPPER('TRACKER - 20220622'!B154),"")</f>
        <v>N</v>
      </c>
      <c r="C133" t="str">
        <f>IF('TRACKER - 20220622'!D137&lt;&gt;"",UPPER('TRACKER - 20220622'!D137),"")</f>
        <v>216</v>
      </c>
      <c r="D133" t="str">
        <f>IF('TRACKER - 20220622'!F154&lt;&gt;"",UPPER('TRACKER - 20220622'!F154),"")</f>
        <v>PRD-BLG-2021-00008</v>
      </c>
      <c r="E133" t="str">
        <f>IF('TRACKER - 20220622'!H154&lt;&gt;"",'TRACKER - 20220622'!H154,"")</f>
        <v>Regulatory Reporting - Dodd Frank</v>
      </c>
      <c r="F133" t="str">
        <f t="shared" si="4"/>
        <v>PRD-BLG-2021-00008 Regulatory Reporting - Dodd Frank</v>
      </c>
      <c r="G133" t="str">
        <f t="shared" si="5"/>
        <v>00216 - Regulatory Reporting - Dodd Frank</v>
      </c>
      <c r="H133">
        <f>IF('TRACKER - 20220622'!J154&lt;&gt;"",'TRACKER - 20220622'!J154,"")</f>
        <v>0</v>
      </c>
      <c r="I133" t="str">
        <f>IF('TRACKER - 20220622'!K137&lt;&gt;"",UPPER('TRACKER - 20220622'!K137),"")</f>
        <v>44068</v>
      </c>
      <c r="J133" t="str">
        <f>IF('TRACKER - 20220622'!L137&lt;&gt;"",UPPER('TRACKER - 20220622'!L137),"")</f>
        <v>44068</v>
      </c>
      <c r="K133" t="str">
        <f>IF('TRACKER - 20220622'!M137&lt;&gt;"",UPPER('TRACKER - 20220622'!M137),"")</f>
        <v/>
      </c>
      <c r="L133" t="str">
        <f>IF('TRACKER - 20220622'!N137&lt;&gt;"",UPPER('TRACKER - 20220622'!N137),"")</f>
        <v/>
      </c>
      <c r="M133" t="str">
        <f>IF('TRACKER - 20220622'!O137&lt;&gt;"",UPPER('TRACKER - 20220622'!O137),"")</f>
        <v/>
      </c>
      <c r="N133" t="str">
        <f>IF('TRACKER - 20220622'!P137&lt;&gt;"",UPPER('TRACKER - 20220622'!P137),"")</f>
        <v/>
      </c>
      <c r="O133" t="str">
        <f>IF('TRACKER - 20220622'!Q137&lt;&gt;"",UPPER('TRACKER - 20220622'!Q137),"")</f>
        <v>TREASURY</v>
      </c>
      <c r="P133" t="str">
        <f>IF('TRACKER - 20220622'!R137&lt;&gt;"",UPPER('TRACKER - 20220622'!R137),"")</f>
        <v>CLIENT</v>
      </c>
      <c r="Q133" t="str">
        <f>IF('TRACKER - 20220622'!S137&lt;&gt;"",UPPER('TRACKER - 20220622'!S137),"")</f>
        <v>GAP</v>
      </c>
      <c r="R133" t="str">
        <f>IF('TRACKER - 20220622'!T137&lt;&gt;"",UPPER('TRACKER - 20220622'!T137),"")</f>
        <v>HIGH</v>
      </c>
      <c r="S133" t="str">
        <f>IF('TRACKER - 20220622'!U137&lt;&gt;"",UPPER('TRACKER - 20220622'!U137),"")</f>
        <v>MODERATE</v>
      </c>
      <c r="T133" t="str">
        <f>IF('TRACKER - 20220622'!V137&lt;&gt;"",UPPER('TRACKER - 20220622'!V137),"")</f>
        <v/>
      </c>
      <c r="U133" t="str">
        <f>IF('TRACKER - 20220622'!W137&lt;&gt;"",UPPER('TRACKER - 20220622'!W137),"")</f>
        <v/>
      </c>
      <c r="V133" t="str">
        <f>IF('TRACKER - 20220622'!X137&lt;&gt;"",UPPER('TRACKER - 20220622'!X137),"")</f>
        <v>25/08/20 - LOADED FROM PROJECT LOGS FILES
REVIEW OPENSOURCE RISK ENGINES. INVESTIGATION, LIGHT TOUCH. HOW CAN WE PROVIDE DASHBOARDS THAT PROVIDE ADDED VALUE WITHOUT MUCH DEVELOPMENT. REVIEW "R".</v>
      </c>
      <c r="W133" t="str">
        <f>IF('TRACKER - 20220622'!Y137&lt;&gt;"",UPPER('TRACKER - 20220622'!Y137),"")</f>
        <v>0</v>
      </c>
      <c r="X133" t="str">
        <f>IF('TRACKER - 20220622'!Z137&lt;&gt;"",UPPER('TRACKER - 20220622'!Z137),"")</f>
        <v>0</v>
      </c>
      <c r="Y133" t="str">
        <f>IF('TRACKER - 20220622'!AA137&lt;&gt;"",UPPER('TRACKER - 20220622'!AA137),"")</f>
        <v>0</v>
      </c>
      <c r="Z133" t="str">
        <f>IF('TRACKER - 20220622'!AB137&lt;&gt;"",UPPER('TRACKER - 20220622'!AB137),"")</f>
        <v>0</v>
      </c>
      <c r="AA133" t="str">
        <f>IF('TRACKER - 20220622'!AC137&lt;&gt;"",UPPER('TRACKER - 20220622'!AC137),"")</f>
        <v>0</v>
      </c>
      <c r="AB133" t="str">
        <f>IF('TRACKER - 20220622'!AE137&lt;&gt;"",UPPER('TRACKER - 20220622'!AE137),"")</f>
        <v>0</v>
      </c>
      <c r="AC133" t="str">
        <f>IF('TRACKER - 20220622'!AF137&lt;&gt;"",UPPER('TRACKER - 20220622'!AF137),"")</f>
        <v>0</v>
      </c>
      <c r="AD133" t="str">
        <f>IF('TRACKER - 20220622'!AG137&lt;&gt;"",UPPER('TRACKER - 20220622'!AG137),"")</f>
        <v>0</v>
      </c>
      <c r="AE133" t="str">
        <f>IF('TRACKER - 20220622'!AH137&lt;&gt;"",UPPER('TRACKER - 20220622'!AH137),"")</f>
        <v>-150</v>
      </c>
      <c r="AF133" t="str">
        <f>IF('TRACKER - 20220622'!AI137&lt;&gt;"",UPPER('TRACKER - 20220622'!AI137),"")</f>
        <v/>
      </c>
      <c r="AG133" t="str">
        <f>IF('TRACKER - 20220622'!AJ137&lt;&gt;"",UPPER('TRACKER - 20220622'!AJ137),"")</f>
        <v>0</v>
      </c>
      <c r="AH133" t="str">
        <f>IF('TRACKER - 20220622'!AK137&lt;&gt;"",UPPER('TRACKER - 20220622'!AK137),"")</f>
        <v/>
      </c>
      <c r="AI133" t="str">
        <f>IF('TRACKER - 20220622'!AL137&lt;&gt;"",UPPER('TRACKER - 20220622'!AL137),"")</f>
        <v>0</v>
      </c>
      <c r="AJ133" t="str">
        <f>IF('TRACKER - 20220622'!AM137&lt;&gt;"",UPPER('TRACKER - 20220622'!AM137),"")</f>
        <v>0</v>
      </c>
      <c r="AK133" t="str">
        <f>IF('TRACKER - 20220622'!AN137&lt;&gt;"",UPPER('TRACKER - 20220622'!AN137),"")</f>
        <v/>
      </c>
      <c r="AL133" t="str">
        <f>IF('TRACKER - 20220622'!AO137&lt;&gt;"",UPPER('TRACKER - 20220622'!AO137),"")</f>
        <v>0</v>
      </c>
      <c r="AM133" t="str">
        <f>IF('TRACKER - 20220622'!AP137&lt;&gt;"",UPPER('TRACKER - 20220622'!AP137),"")</f>
        <v>0</v>
      </c>
      <c r="AN133" t="str">
        <f>IF('TRACKER - 20220622'!AQ137&lt;&gt;"",UPPER('TRACKER - 20220622'!AQ137),"")</f>
        <v>0</v>
      </c>
      <c r="AO133" t="str">
        <f>IF('TRACKER - 20220622'!AR137&lt;&gt;"",UPPER('TRACKER - 20220622'!AR137),"")</f>
        <v>PRD</v>
      </c>
      <c r="AP133" t="str">
        <f>IF('TRACKER - 20220622'!AS137&lt;&gt;"",UPPER('TRACKER - 20220622'!AS137),"")</f>
        <v>BLG</v>
      </c>
      <c r="AQ133" t="str">
        <f>IF('TRACKER - 20220622'!AT137&lt;&gt;"",UPPER('TRACKER - 20220622'!AT137),"")</f>
        <v>N</v>
      </c>
      <c r="AR133" t="str">
        <f>IF('TRACKER - 20220622'!AU137&lt;&gt;"",UPPER('TRACKER - 20220622'!AU137),"")</f>
        <v>-150</v>
      </c>
      <c r="AS133" t="str">
        <f>IF('TRACKER - 20220622'!AV137&lt;&gt;"",UPPER('TRACKER - 20220622'!AV137),"")</f>
        <v/>
      </c>
      <c r="AT133" t="str">
        <f>IF('TRACKER - 20220622'!AW137&lt;&gt;"",UPPER('TRACKER - 20220622'!AW137),"")</f>
        <v/>
      </c>
      <c r="AU133" t="str">
        <f>IF('TRACKER - 20220622'!AX137&lt;&gt;"",UPPER('TRACKER - 20220622'!AX137),"")</f>
        <v>REASON137</v>
      </c>
      <c r="AV133" t="str">
        <f>IF('TRACKER - 20220622'!BD154&lt;&gt;"",'TRACKER - 20220622'!BD154,"")</f>
        <v/>
      </c>
      <c r="AW133" t="str">
        <f>IF('TRACKER - 20220622'!BE154&lt;&gt;"",'TRACKER - 20220622'!BE154,"")</f>
        <v/>
      </c>
      <c r="AX133" t="str">
        <f>IF('TRACKER - 20220622'!BF154&lt;&gt;"",'TRACKER - 20220622'!BF154,"")</f>
        <v/>
      </c>
      <c r="AY133" t="str">
        <f>IF('TRACKER - 20220622'!BG154&lt;&gt;"",'TRACKER - 20220622'!BG154,"")</f>
        <v/>
      </c>
      <c r="AZ133" t="str">
        <f>IF('TRACKER - 20220622'!BH154&lt;&gt;"",'TRACKER - 20220622'!BH154,"")</f>
        <v/>
      </c>
      <c r="BA133" t="str">
        <f>IF('TRACKER - 20220622'!BI154&lt;&gt;"",'TRACKER - 20220622'!BI154,"")</f>
        <v/>
      </c>
      <c r="BB133" t="str">
        <f>IF('TRACKER - 20220622'!BJ154&lt;&gt;"",'TRACKER - 20220622'!BJ154,"")</f>
        <v/>
      </c>
      <c r="BC133" t="str">
        <f>IF('TRACKER - 20220622'!BK154&lt;&gt;"",'TRACKER - 20220622'!BK154,"")</f>
        <v/>
      </c>
      <c r="BD133" t="str">
        <f>IF('TRACKER - 20220622'!BL154&lt;&gt;"",'TRACKER - 20220622'!BL154,"")</f>
        <v/>
      </c>
      <c r="BE133" t="str">
        <f>IF('TRACKER - 20220622'!BM154&lt;&gt;"",'TRACKER - 20220622'!BM154,"")</f>
        <v/>
      </c>
      <c r="BF133" t="str">
        <f>IF('TRACKER - 20220622'!BN154&lt;&gt;"",'TRACKER - 20220622'!BN154,"")</f>
        <v/>
      </c>
      <c r="BG133" t="str">
        <f>IF('TRACKER - 20220622'!BO154&lt;&gt;"",'TRACKER - 20220622'!BO154,"")</f>
        <v/>
      </c>
    </row>
    <row r="134" spans="1:59">
      <c r="A134" t="str">
        <f>IF('TRACKER - 20220622'!A155&lt;&gt;"",UPPER('TRACKER - 20220622'!A155),"")</f>
        <v>PRODUCT BACKLOG</v>
      </c>
      <c r="B134" t="str">
        <f>IF('TRACKER - 20220622'!B155&lt;&gt;"",UPPER('TRACKER - 20220622'!B155),"")</f>
        <v>N</v>
      </c>
      <c r="C134" t="str">
        <f>IF('TRACKER - 20220622'!D138&lt;&gt;"",UPPER('TRACKER - 20220622'!D138),"")</f>
        <v>217</v>
      </c>
      <c r="D134" t="str">
        <f>IF('TRACKER - 20220622'!F155&lt;&gt;"",UPPER('TRACKER - 20220622'!F155),"")</f>
        <v>PRD-BLG-2021-00009</v>
      </c>
      <c r="E134" t="str">
        <f>IF('TRACKER - 20220622'!H155&lt;&gt;"",'TRACKER - 20220622'!H155,"")</f>
        <v>Reg Reporting - MAS (Singapore) Regs</v>
      </c>
      <c r="F134" t="str">
        <f t="shared" si="4"/>
        <v>PRD-BLG-2021-00009 Reg Reporting - MAS (Singapore) Regs</v>
      </c>
      <c r="G134" t="str">
        <f t="shared" si="5"/>
        <v>00217 - Reg Reporting - MAS (Singapore) Regs</v>
      </c>
      <c r="H134">
        <f>IF('TRACKER - 20220622'!J155&lt;&gt;"",'TRACKER - 20220622'!J155,"")</f>
        <v>0</v>
      </c>
      <c r="I134" t="str">
        <f>IF('TRACKER - 20220622'!K138&lt;&gt;"",UPPER('TRACKER - 20220622'!K138),"")</f>
        <v>43973</v>
      </c>
      <c r="J134" t="str">
        <f>IF('TRACKER - 20220622'!L138&lt;&gt;"",UPPER('TRACKER - 20220622'!L138),"")</f>
        <v>43837</v>
      </c>
      <c r="K134" t="str">
        <f>IF('TRACKER - 20220622'!M138&lt;&gt;"",UPPER('TRACKER - 20220622'!M138),"")</f>
        <v>36892</v>
      </c>
      <c r="L134" t="str">
        <f>IF('TRACKER - 20220622'!N138&lt;&gt;"",UPPER('TRACKER - 20220622'!N138),"")</f>
        <v>43921</v>
      </c>
      <c r="M134" t="str">
        <f>IF('TRACKER - 20220622'!O138&lt;&gt;"",UPPER('TRACKER - 20220622'!O138),"")</f>
        <v>43973</v>
      </c>
      <c r="N134" t="str">
        <f>IF('TRACKER - 20220622'!P138&lt;&gt;"",UPPER('TRACKER - 20220622'!P138),"")</f>
        <v/>
      </c>
      <c r="O134" t="str">
        <f>IF('TRACKER - 20220622'!Q138&lt;&gt;"",UPPER('TRACKER - 20220622'!Q138),"")</f>
        <v>SALES DESK</v>
      </c>
      <c r="P134" t="str">
        <f>IF('TRACKER - 20220622'!R138&lt;&gt;"",UPPER('TRACKER - 20220622'!R138),"")</f>
        <v>CLIENT</v>
      </c>
      <c r="Q134" t="str">
        <f>IF('TRACKER - 20220622'!S138&lt;&gt;"",UPPER('TRACKER - 20220622'!S138),"")</f>
        <v/>
      </c>
      <c r="R134" t="str">
        <f>IF('TRACKER - 20220622'!T138&lt;&gt;"",UPPER('TRACKER - 20220622'!T138),"")</f>
        <v/>
      </c>
      <c r="S134" t="str">
        <f>IF('TRACKER - 20220622'!U138&lt;&gt;"",UPPER('TRACKER - 20220622'!U138),"")</f>
        <v/>
      </c>
      <c r="T134" t="str">
        <f>IF('TRACKER - 20220622'!V138&lt;&gt;"",UPPER('TRACKER - 20220622'!V138),"")</f>
        <v/>
      </c>
      <c r="U134" t="str">
        <f>IF('TRACKER - 20220622'!W138&lt;&gt;"",UPPER('TRACKER - 20220622'!W138),"")</f>
        <v/>
      </c>
      <c r="V134" t="str">
        <f>IF('TRACKER - 20220622'!X138&lt;&gt;"",UPPER('TRACKER - 20220622'!X138),"")</f>
        <v>22/05/20 - PB APPROVED</v>
      </c>
      <c r="W134" t="str">
        <f>IF('TRACKER - 20220622'!Y138&lt;&gt;"",UPPER('TRACKER - 20220622'!Y138),"")</f>
        <v>10848.6</v>
      </c>
      <c r="X134" t="str">
        <f>IF('TRACKER - 20220622'!Z138&lt;&gt;"",UPPER('TRACKER - 20220622'!Z138),"")</f>
        <v>0</v>
      </c>
      <c r="Y134" t="str">
        <f>IF('TRACKER - 20220622'!AA138&lt;&gt;"",UPPER('TRACKER - 20220622'!AA138),"")</f>
        <v>8814.4875</v>
      </c>
      <c r="Z134" t="str">
        <f>IF('TRACKER - 20220622'!AB138&lt;&gt;"",UPPER('TRACKER - 20220622'!AB138),"")</f>
        <v>678.0375</v>
      </c>
      <c r="AA134" t="str">
        <f>IF('TRACKER - 20220622'!AC138&lt;&gt;"",UPPER('TRACKER - 20220622'!AC138),"")</f>
        <v>0</v>
      </c>
      <c r="AB134" t="str">
        <f>IF('TRACKER - 20220622'!AE138&lt;&gt;"",UPPER('TRACKER - 20220622'!AE138),"")</f>
        <v>1356.075</v>
      </c>
      <c r="AC134" t="str">
        <f>IF('TRACKER - 20220622'!AF138&lt;&gt;"",UPPER('TRACKER - 20220622'!AF138),"")</f>
        <v>10848.6</v>
      </c>
      <c r="AD134" t="str">
        <f>IF('TRACKER - 20220622'!AG138&lt;&gt;"",UPPER('TRACKER - 20220622'!AG138),"")</f>
        <v>0</v>
      </c>
      <c r="AE134" t="str">
        <f>IF('TRACKER - 20220622'!AH138&lt;&gt;"",UPPER('TRACKER - 20220622'!AH138),"")</f>
        <v>180.81</v>
      </c>
      <c r="AF134" t="str">
        <f>IF('TRACKER - 20220622'!AI138&lt;&gt;"",UPPER('TRACKER - 20220622'!AI138),"")</f>
        <v/>
      </c>
      <c r="AG134" t="str">
        <f>IF('TRACKER - 20220622'!AJ138&lt;&gt;"",UPPER('TRACKER - 20220622'!AJ138),"")</f>
        <v>0</v>
      </c>
      <c r="AH134" t="str">
        <f>IF('TRACKER - 20220622'!AK138&lt;&gt;"",UPPER('TRACKER - 20220622'!AK138),"")</f>
        <v/>
      </c>
      <c r="AI134" t="str">
        <f>IF('TRACKER - 20220622'!AL138&lt;&gt;"",UPPER('TRACKER - 20220622'!AL138),"")</f>
        <v>6.5</v>
      </c>
      <c r="AJ134" t="str">
        <f>IF('TRACKER - 20220622'!AM138&lt;&gt;"",UPPER('TRACKER - 20220622'!AM138),"")</f>
        <v>0.5</v>
      </c>
      <c r="AK134" t="str">
        <f>IF('TRACKER - 20220622'!AN138&lt;&gt;"",UPPER('TRACKER - 20220622'!AN138),"")</f>
        <v/>
      </c>
      <c r="AL134" t="str">
        <f>IF('TRACKER - 20220622'!AO138&lt;&gt;"",UPPER('TRACKER - 20220622'!AO138),"")</f>
        <v>1</v>
      </c>
      <c r="AM134" t="str">
        <f>IF('TRACKER - 20220622'!AP138&lt;&gt;"",UPPER('TRACKER - 20220622'!AP138),"")</f>
        <v>8</v>
      </c>
      <c r="AN134" t="str">
        <f>IF('TRACKER - 20220622'!AQ138&lt;&gt;"",UPPER('TRACKER - 20220622'!AQ138),"")</f>
        <v>0</v>
      </c>
      <c r="AO134" t="str">
        <f>IF('TRACKER - 20220622'!AR138&lt;&gt;"",UPPER('TRACKER - 20220622'!AR138),"")</f>
        <v>RMB</v>
      </c>
      <c r="AP134" t="str">
        <f>IF('TRACKER - 20220622'!AS138&lt;&gt;"",UPPER('TRACKER - 20220622'!AS138),"")</f>
        <v>RSC</v>
      </c>
      <c r="AQ134" t="str">
        <f>IF('TRACKER - 20220622'!AT138&lt;&gt;"",UPPER('TRACKER - 20220622'!AT138),"")</f>
        <v>Y</v>
      </c>
      <c r="AR134" t="str">
        <f>IF('TRACKER - 20220622'!AU138&lt;&gt;"",UPPER('TRACKER - 20220622'!AU138),"")</f>
        <v>180.81</v>
      </c>
      <c r="AS134" t="str">
        <f>IF('TRACKER - 20220622'!AV138&lt;&gt;"",UPPER('TRACKER - 20220622'!AV138),"")</f>
        <v/>
      </c>
      <c r="AT134" t="str">
        <f>IF('TRACKER - 20220622'!AW138&lt;&gt;"",UPPER('TRACKER - 20220622'!AW138),"")</f>
        <v/>
      </c>
      <c r="AU134" t="str">
        <f>IF('TRACKER - 20220622'!AX138&lt;&gt;"",UPPER('TRACKER - 20220622'!AX138),"")</f>
        <v>REASON138</v>
      </c>
      <c r="AV134" t="str">
        <f>IF('TRACKER - 20220622'!BD155&lt;&gt;"",'TRACKER - 20220622'!BD155,"")</f>
        <v/>
      </c>
      <c r="AW134" t="str">
        <f>IF('TRACKER - 20220622'!BE155&lt;&gt;"",'TRACKER - 20220622'!BE155,"")</f>
        <v/>
      </c>
      <c r="AX134" t="str">
        <f>IF('TRACKER - 20220622'!BF155&lt;&gt;"",'TRACKER - 20220622'!BF155,"")</f>
        <v/>
      </c>
      <c r="AY134" t="str">
        <f>IF('TRACKER - 20220622'!BG155&lt;&gt;"",'TRACKER - 20220622'!BG155,"")</f>
        <v/>
      </c>
      <c r="AZ134" t="str">
        <f>IF('TRACKER - 20220622'!BH155&lt;&gt;"",'TRACKER - 20220622'!BH155,"")</f>
        <v/>
      </c>
      <c r="BA134" t="str">
        <f>IF('TRACKER - 20220622'!BI155&lt;&gt;"",'TRACKER - 20220622'!BI155,"")</f>
        <v/>
      </c>
      <c r="BB134" t="str">
        <f>IF('TRACKER - 20220622'!BJ155&lt;&gt;"",'TRACKER - 20220622'!BJ155,"")</f>
        <v/>
      </c>
      <c r="BC134" t="str">
        <f>IF('TRACKER - 20220622'!BK155&lt;&gt;"",'TRACKER - 20220622'!BK155,"")</f>
        <v/>
      </c>
      <c r="BD134" t="str">
        <f>IF('TRACKER - 20220622'!BL155&lt;&gt;"",'TRACKER - 20220622'!BL155,"")</f>
        <v/>
      </c>
      <c r="BE134" t="str">
        <f>IF('TRACKER - 20220622'!BM155&lt;&gt;"",'TRACKER - 20220622'!BM155,"")</f>
        <v/>
      </c>
      <c r="BF134" t="str">
        <f>IF('TRACKER - 20220622'!BN155&lt;&gt;"",'TRACKER - 20220622'!BN155,"")</f>
        <v/>
      </c>
      <c r="BG134" t="str">
        <f>IF('TRACKER - 20220622'!BO155&lt;&gt;"",'TRACKER - 20220622'!BO155,"")</f>
        <v/>
      </c>
    </row>
    <row r="135" spans="1:59">
      <c r="A135" t="str">
        <f>IF('TRACKER - 20220622'!A156&lt;&gt;"",UPPER('TRACKER - 20220622'!A156),"")</f>
        <v>PRODUCT BACKLOG</v>
      </c>
      <c r="B135" t="str">
        <f>IF('TRACKER - 20220622'!B156&lt;&gt;"",UPPER('TRACKER - 20220622'!B156),"")</f>
        <v>N</v>
      </c>
      <c r="C135" t="str">
        <f>IF('TRACKER - 20220622'!D139&lt;&gt;"",UPPER('TRACKER - 20220622'!D139),"")</f>
        <v>212</v>
      </c>
      <c r="D135" t="str">
        <f>IF('TRACKER - 20220622'!F156&lt;&gt;"",UPPER('TRACKER - 20220622'!F156),"")</f>
        <v>PRD-BLG-2021-00010</v>
      </c>
      <c r="E135" t="str">
        <f>IF('TRACKER - 20220622'!H156&lt;&gt;"",'TRACKER - 20220622'!H156,"")</f>
        <v>Reg Reporting - HKMA (Hong Kong) Regs</v>
      </c>
      <c r="F135" t="str">
        <f t="shared" si="4"/>
        <v>PRD-BLG-2021-00010 Reg Reporting - HKMA (Hong Kong) Regs</v>
      </c>
      <c r="G135" t="str">
        <f t="shared" si="5"/>
        <v>00212 - Reg Reporting - HKMA (Hong Kong) Regs</v>
      </c>
      <c r="H135">
        <f>IF('TRACKER - 20220622'!J156&lt;&gt;"",'TRACKER - 20220622'!J156,"")</f>
        <v>0</v>
      </c>
      <c r="I135" t="str">
        <f>IF('TRACKER - 20220622'!K139&lt;&gt;"",UPPER('TRACKER - 20220622'!K139),"")</f>
        <v>43966</v>
      </c>
      <c r="J135" t="str">
        <f>IF('TRACKER - 20220622'!L139&lt;&gt;"",UPPER('TRACKER - 20220622'!L139),"")</f>
        <v>43803</v>
      </c>
      <c r="K135" t="str">
        <f>IF('TRACKER - 20220622'!M139&lt;&gt;"",UPPER('TRACKER - 20220622'!M139),"")</f>
        <v>43966</v>
      </c>
      <c r="L135" t="str">
        <f>IF('TRACKER - 20220622'!N139&lt;&gt;"",UPPER('TRACKER - 20220622'!N139),"")</f>
        <v>43966</v>
      </c>
      <c r="M135" t="str">
        <f>IF('TRACKER - 20220622'!O139&lt;&gt;"",UPPER('TRACKER - 20220622'!O139),"")</f>
        <v/>
      </c>
      <c r="N135" t="str">
        <f>IF('TRACKER - 20220622'!P139&lt;&gt;"",UPPER('TRACKER - 20220622'!P139),"")</f>
        <v/>
      </c>
      <c r="O135" t="str">
        <f>IF('TRACKER - 20220622'!Q139&lt;&gt;"",UPPER('TRACKER - 20220622'!Q139),"")</f>
        <v>SALES DESK</v>
      </c>
      <c r="P135" t="str">
        <f>IF('TRACKER - 20220622'!R139&lt;&gt;"",UPPER('TRACKER - 20220622'!R139),"")</f>
        <v>CLIENT</v>
      </c>
      <c r="Q135" t="str">
        <f>IF('TRACKER - 20220622'!S139&lt;&gt;"",UPPER('TRACKER - 20220622'!S139),"")</f>
        <v/>
      </c>
      <c r="R135" t="str">
        <f>IF('TRACKER - 20220622'!T139&lt;&gt;"",UPPER('TRACKER - 20220622'!T139),"")</f>
        <v/>
      </c>
      <c r="S135" t="str">
        <f>IF('TRACKER - 20220622'!U139&lt;&gt;"",UPPER('TRACKER - 20220622'!U139),"")</f>
        <v/>
      </c>
      <c r="T135" t="str">
        <f>IF('TRACKER - 20220622'!V139&lt;&gt;"",UPPER('TRACKER - 20220622'!V139),"")</f>
        <v/>
      </c>
      <c r="U135" t="str">
        <f>IF('TRACKER - 20220622'!W139&lt;&gt;"",UPPER('TRACKER - 20220622'!W139),"")</f>
        <v/>
      </c>
      <c r="V135" t="str">
        <f>IF('TRACKER - 20220622'!X139&lt;&gt;"",UPPER('TRACKER - 20220622'!X139),"")</f>
        <v>22/05/20 - PB APPROVED</v>
      </c>
      <c r="W135" t="str">
        <f>IF('TRACKER - 20220622'!Y139&lt;&gt;"",UPPER('TRACKER - 20220622'!Y139),"")</f>
        <v>21358.18125</v>
      </c>
      <c r="X135" t="str">
        <f>IF('TRACKER - 20220622'!Z139&lt;&gt;"",UPPER('TRACKER - 20220622'!Z139),"")</f>
        <v>0</v>
      </c>
      <c r="Y135" t="str">
        <f>IF('TRACKER - 20220622'!AA139&lt;&gt;"",UPPER('TRACKER - 20220622'!AA139),"")</f>
        <v>16611.91875</v>
      </c>
      <c r="Z135" t="str">
        <f>IF('TRACKER - 20220622'!AB139&lt;&gt;"",UPPER('TRACKER - 20220622'!AB139),"")</f>
        <v>1356.075</v>
      </c>
      <c r="AA135" t="str">
        <f>IF('TRACKER - 20220622'!AC139&lt;&gt;"",UPPER('TRACKER - 20220622'!AC139),"")</f>
        <v>0</v>
      </c>
      <c r="AB135" t="str">
        <f>IF('TRACKER - 20220622'!AE139&lt;&gt;"",UPPER('TRACKER - 20220622'!AE139),"")</f>
        <v>3390.1875</v>
      </c>
      <c r="AC135" t="str">
        <f>IF('TRACKER - 20220622'!AF139&lt;&gt;"",UPPER('TRACKER - 20220622'!AF139),"")</f>
        <v>21358.18125</v>
      </c>
      <c r="AD135" t="str">
        <f>IF('TRACKER - 20220622'!AG139&lt;&gt;"",UPPER('TRACKER - 20220622'!AG139),"")</f>
        <v>0</v>
      </c>
      <c r="AE135" t="str">
        <f>IF('TRACKER - 20220622'!AH139&lt;&gt;"",UPPER('TRACKER - 20220622'!AH139),"")</f>
        <v>180.81</v>
      </c>
      <c r="AF135" t="str">
        <f>IF('TRACKER - 20220622'!AI139&lt;&gt;"",UPPER('TRACKER - 20220622'!AI139),"")</f>
        <v/>
      </c>
      <c r="AG135" t="str">
        <f>IF('TRACKER - 20220622'!AJ139&lt;&gt;"",UPPER('TRACKER - 20220622'!AJ139),"")</f>
        <v>0</v>
      </c>
      <c r="AH135" t="str">
        <f>IF('TRACKER - 20220622'!AK139&lt;&gt;"",UPPER('TRACKER - 20220622'!AK139),"")</f>
        <v/>
      </c>
      <c r="AI135" t="str">
        <f>IF('TRACKER - 20220622'!AL139&lt;&gt;"",UPPER('TRACKER - 20220622'!AL139),"")</f>
        <v>12.25</v>
      </c>
      <c r="AJ135" t="str">
        <f>IF('TRACKER - 20220622'!AM139&lt;&gt;"",UPPER('TRACKER - 20220622'!AM139),"")</f>
        <v>1</v>
      </c>
      <c r="AK135" t="str">
        <f>IF('TRACKER - 20220622'!AN139&lt;&gt;"",UPPER('TRACKER - 20220622'!AN139),"")</f>
        <v/>
      </c>
      <c r="AL135" t="str">
        <f>IF('TRACKER - 20220622'!AO139&lt;&gt;"",UPPER('TRACKER - 20220622'!AO139),"")</f>
        <v>2.5</v>
      </c>
      <c r="AM135" t="str">
        <f>IF('TRACKER - 20220622'!AP139&lt;&gt;"",UPPER('TRACKER - 20220622'!AP139),"")</f>
        <v>15.75</v>
      </c>
      <c r="AN135" t="str">
        <f>IF('TRACKER - 20220622'!AQ139&lt;&gt;"",UPPER('TRACKER - 20220622'!AQ139),"")</f>
        <v>0</v>
      </c>
      <c r="AO135" t="str">
        <f>IF('TRACKER - 20220622'!AR139&lt;&gt;"",UPPER('TRACKER - 20220622'!AR139),"")</f>
        <v>RMB</v>
      </c>
      <c r="AP135" t="str">
        <f>IF('TRACKER - 20220622'!AS139&lt;&gt;"",UPPER('TRACKER - 20220622'!AS139),"")</f>
        <v>RSC</v>
      </c>
      <c r="AQ135" t="str">
        <f>IF('TRACKER - 20220622'!AT139&lt;&gt;"",UPPER('TRACKER - 20220622'!AT139),"")</f>
        <v>Y</v>
      </c>
      <c r="AR135" t="str">
        <f>IF('TRACKER - 20220622'!AU139&lt;&gt;"",UPPER('TRACKER - 20220622'!AU139),"")</f>
        <v>180.81</v>
      </c>
      <c r="AS135" t="str">
        <f>IF('TRACKER - 20220622'!AV139&lt;&gt;"",UPPER('TRACKER - 20220622'!AV139),"")</f>
        <v/>
      </c>
      <c r="AT135" t="str">
        <f>IF('TRACKER - 20220622'!AW139&lt;&gt;"",UPPER('TRACKER - 20220622'!AW139),"")</f>
        <v/>
      </c>
      <c r="AU135" t="str">
        <f>IF('TRACKER - 20220622'!AX139&lt;&gt;"",UPPER('TRACKER - 20220622'!AX139),"")</f>
        <v>REASON139</v>
      </c>
      <c r="AV135" t="str">
        <f>IF('TRACKER - 20220622'!BD156&lt;&gt;"",'TRACKER - 20220622'!BD156,"")</f>
        <v/>
      </c>
      <c r="AW135" t="str">
        <f>IF('TRACKER - 20220622'!BE156&lt;&gt;"",'TRACKER - 20220622'!BE156,"")</f>
        <v/>
      </c>
      <c r="AX135" t="str">
        <f>IF('TRACKER - 20220622'!BF156&lt;&gt;"",'TRACKER - 20220622'!BF156,"")</f>
        <v/>
      </c>
      <c r="AY135" t="str">
        <f>IF('TRACKER - 20220622'!BG156&lt;&gt;"",'TRACKER - 20220622'!BG156,"")</f>
        <v/>
      </c>
      <c r="AZ135" t="str">
        <f>IF('TRACKER - 20220622'!BH156&lt;&gt;"",'TRACKER - 20220622'!BH156,"")</f>
        <v/>
      </c>
      <c r="BA135" t="str">
        <f>IF('TRACKER - 20220622'!BI156&lt;&gt;"",'TRACKER - 20220622'!BI156,"")</f>
        <v/>
      </c>
      <c r="BB135" t="str">
        <f>IF('TRACKER - 20220622'!BJ156&lt;&gt;"",'TRACKER - 20220622'!BJ156,"")</f>
        <v/>
      </c>
      <c r="BC135" t="str">
        <f>IF('TRACKER - 20220622'!BK156&lt;&gt;"",'TRACKER - 20220622'!BK156,"")</f>
        <v/>
      </c>
      <c r="BD135" t="str">
        <f>IF('TRACKER - 20220622'!BL156&lt;&gt;"",'TRACKER - 20220622'!BL156,"")</f>
        <v/>
      </c>
      <c r="BE135" t="str">
        <f>IF('TRACKER - 20220622'!BM156&lt;&gt;"",'TRACKER - 20220622'!BM156,"")</f>
        <v/>
      </c>
      <c r="BF135" t="str">
        <f>IF('TRACKER - 20220622'!BN156&lt;&gt;"",'TRACKER - 20220622'!BN156,"")</f>
        <v/>
      </c>
      <c r="BG135" t="str">
        <f>IF('TRACKER - 20220622'!BO156&lt;&gt;"",'TRACKER - 20220622'!BO156,"")</f>
        <v/>
      </c>
    </row>
    <row r="136" spans="1:59">
      <c r="A136" t="str">
        <f>IF('TRACKER - 20220622'!A157&lt;&gt;"",UPPER('TRACKER - 20220622'!A157),"")</f>
        <v>PRODUCT BACKLOG</v>
      </c>
      <c r="B136" t="str">
        <f>IF('TRACKER - 20220622'!B157&lt;&gt;"",UPPER('TRACKER - 20220622'!B157),"")</f>
        <v>N</v>
      </c>
      <c r="C136" t="str">
        <f>IF('TRACKER - 20220622'!D140&lt;&gt;"",UPPER('TRACKER - 20220622'!D140),"")</f>
        <v>211</v>
      </c>
      <c r="D136" t="str">
        <f>IF('TRACKER - 20220622'!F157&lt;&gt;"",UPPER('TRACKER - 20220622'!F157),"")</f>
        <v>PRD-BLG-2021-00011</v>
      </c>
      <c r="E136" t="str">
        <f>IF('TRACKER - 20220622'!H157&lt;&gt;"",'TRACKER - 20220622'!H157,"")</f>
        <v>Reg Reporting - Equities</v>
      </c>
      <c r="F136" t="str">
        <f t="shared" si="4"/>
        <v>PRD-BLG-2021-00011 Reg Reporting - Equities</v>
      </c>
      <c r="G136" t="str">
        <f t="shared" si="5"/>
        <v>3.500211 - Reg Reporting - Equities</v>
      </c>
      <c r="H136">
        <f>IF('TRACKER - 20220622'!J157&lt;&gt;"",'TRACKER - 20220622'!J157,"")</f>
        <v>0</v>
      </c>
      <c r="I136" t="str">
        <f>IF('TRACKER - 20220622'!K140&lt;&gt;"",UPPER('TRACKER - 20220622'!K140),"")</f>
        <v>43973</v>
      </c>
      <c r="J136" t="str">
        <f>IF('TRACKER - 20220622'!L140&lt;&gt;"",UPPER('TRACKER - 20220622'!L140),"")</f>
        <v>43801</v>
      </c>
      <c r="K136" t="str">
        <f>IF('TRACKER - 20220622'!M140&lt;&gt;"",UPPER('TRACKER - 20220622'!M140),"")</f>
        <v>43966</v>
      </c>
      <c r="L136" t="str">
        <f>IF('TRACKER - 20220622'!N140&lt;&gt;"",UPPER('TRACKER - 20220622'!N140),"")</f>
        <v>43966</v>
      </c>
      <c r="M136" t="str">
        <f>IF('TRACKER - 20220622'!O140&lt;&gt;"",UPPER('TRACKER - 20220622'!O140),"")</f>
        <v>43973</v>
      </c>
      <c r="N136" t="str">
        <f>IF('TRACKER - 20220622'!P140&lt;&gt;"",UPPER('TRACKER - 20220622'!P140),"")</f>
        <v/>
      </c>
      <c r="O136" t="str">
        <f>IF('TRACKER - 20220622'!Q140&lt;&gt;"",UPPER('TRACKER - 20220622'!Q140),"")</f>
        <v>SALES DESK</v>
      </c>
      <c r="P136" t="str">
        <f>IF('TRACKER - 20220622'!R140&lt;&gt;"",UPPER('TRACKER - 20220622'!R140),"")</f>
        <v>CLIENT</v>
      </c>
      <c r="Q136" t="str">
        <f>IF('TRACKER - 20220622'!S140&lt;&gt;"",UPPER('TRACKER - 20220622'!S140),"")</f>
        <v/>
      </c>
      <c r="R136" t="str">
        <f>IF('TRACKER - 20220622'!T140&lt;&gt;"",UPPER('TRACKER - 20220622'!T140),"")</f>
        <v/>
      </c>
      <c r="S136" t="str">
        <f>IF('TRACKER - 20220622'!U140&lt;&gt;"",UPPER('TRACKER - 20220622'!U140),"")</f>
        <v/>
      </c>
      <c r="T136" t="str">
        <f>IF('TRACKER - 20220622'!V140&lt;&gt;"",UPPER('TRACKER - 20220622'!V140),"")</f>
        <v/>
      </c>
      <c r="U136" t="str">
        <f>IF('TRACKER - 20220622'!W140&lt;&gt;"",UPPER('TRACKER - 20220622'!W140),"")</f>
        <v/>
      </c>
      <c r="V136" t="str">
        <f>IF('TRACKER - 20220622'!X140&lt;&gt;"",UPPER('TRACKER - 20220622'!X140),"")</f>
        <v>22/05/20 - PB APPROVED</v>
      </c>
      <c r="W136" t="str">
        <f>IF('TRACKER - 20220622'!Y140&lt;&gt;"",UPPER('TRACKER - 20220622'!Y140),"")</f>
        <v>17628.975</v>
      </c>
      <c r="X136" t="str">
        <f>IF('TRACKER - 20220622'!Z140&lt;&gt;"",UPPER('TRACKER - 20220622'!Z140),"")</f>
        <v>0</v>
      </c>
      <c r="Y136" t="str">
        <f>IF('TRACKER - 20220622'!AA140&lt;&gt;"",UPPER('TRACKER - 20220622'!AA140),"")</f>
        <v>8136.45</v>
      </c>
      <c r="Z136" t="str">
        <f>IF('TRACKER - 20220622'!AB140&lt;&gt;"",UPPER('TRACKER - 20220622'!AB140),"")</f>
        <v>1356.075</v>
      </c>
      <c r="AA136" t="str">
        <f>IF('TRACKER - 20220622'!AC140&lt;&gt;"",UPPER('TRACKER - 20220622'!AC140),"")</f>
        <v>4746.2625</v>
      </c>
      <c r="AB136" t="str">
        <f>IF('TRACKER - 20220622'!AE140&lt;&gt;"",UPPER('TRACKER - 20220622'!AE140),"")</f>
        <v>3390.1875</v>
      </c>
      <c r="AC136" t="str">
        <f>IF('TRACKER - 20220622'!AF140&lt;&gt;"",UPPER('TRACKER - 20220622'!AF140),"")</f>
        <v>17628.975</v>
      </c>
      <c r="AD136" t="str">
        <f>IF('TRACKER - 20220622'!AG140&lt;&gt;"",UPPER('TRACKER - 20220622'!AG140),"")</f>
        <v>0</v>
      </c>
      <c r="AE136" t="str">
        <f>IF('TRACKER - 20220622'!AH140&lt;&gt;"",UPPER('TRACKER - 20220622'!AH140),"")</f>
        <v>180.81</v>
      </c>
      <c r="AF136" t="str">
        <f>IF('TRACKER - 20220622'!AI140&lt;&gt;"",UPPER('TRACKER - 20220622'!AI140),"")</f>
        <v/>
      </c>
      <c r="AG136" t="str">
        <f>IF('TRACKER - 20220622'!AJ140&lt;&gt;"",UPPER('TRACKER - 20220622'!AJ140),"")</f>
        <v>0</v>
      </c>
      <c r="AH136" t="str">
        <f>IF('TRACKER - 20220622'!AK140&lt;&gt;"",UPPER('TRACKER - 20220622'!AK140),"")</f>
        <v/>
      </c>
      <c r="AI136" t="str">
        <f>IF('TRACKER - 20220622'!AL140&lt;&gt;"",UPPER('TRACKER - 20220622'!AL140),"")</f>
        <v>6</v>
      </c>
      <c r="AJ136" t="str">
        <f>IF('TRACKER - 20220622'!AM140&lt;&gt;"",UPPER('TRACKER - 20220622'!AM140),"")</f>
        <v>1</v>
      </c>
      <c r="AK136" t="str">
        <f>IF('TRACKER - 20220622'!AN140&lt;&gt;"",UPPER('TRACKER - 20220622'!AN140),"")</f>
        <v>3.5</v>
      </c>
      <c r="AL136" t="str">
        <f>IF('TRACKER - 20220622'!AO140&lt;&gt;"",UPPER('TRACKER - 20220622'!AO140),"")</f>
        <v>2.5</v>
      </c>
      <c r="AM136" t="str">
        <f>IF('TRACKER - 20220622'!AP140&lt;&gt;"",UPPER('TRACKER - 20220622'!AP140),"")</f>
        <v>13</v>
      </c>
      <c r="AN136" t="str">
        <f>IF('TRACKER - 20220622'!AQ140&lt;&gt;"",UPPER('TRACKER - 20220622'!AQ140),"")</f>
        <v>0</v>
      </c>
      <c r="AO136" t="str">
        <f>IF('TRACKER - 20220622'!AR140&lt;&gt;"",UPPER('TRACKER - 20220622'!AR140),"")</f>
        <v>RMB</v>
      </c>
      <c r="AP136" t="str">
        <f>IF('TRACKER - 20220622'!AS140&lt;&gt;"",UPPER('TRACKER - 20220622'!AS140),"")</f>
        <v>RSC</v>
      </c>
      <c r="AQ136" t="str">
        <f>IF('TRACKER - 20220622'!AT140&lt;&gt;"",UPPER('TRACKER - 20220622'!AT140),"")</f>
        <v>Y</v>
      </c>
      <c r="AR136" t="str">
        <f>IF('TRACKER - 20220622'!AU140&lt;&gt;"",UPPER('TRACKER - 20220622'!AU140),"")</f>
        <v>180.81</v>
      </c>
      <c r="AS136" t="str">
        <f>IF('TRACKER - 20220622'!AV140&lt;&gt;"",UPPER('TRACKER - 20220622'!AV140),"")</f>
        <v/>
      </c>
      <c r="AT136" t="str">
        <f>IF('TRACKER - 20220622'!AW140&lt;&gt;"",UPPER('TRACKER - 20220622'!AW140),"")</f>
        <v/>
      </c>
      <c r="AU136" t="str">
        <f>IF('TRACKER - 20220622'!AX140&lt;&gt;"",UPPER('TRACKER - 20220622'!AX140),"")</f>
        <v>REASON140</v>
      </c>
      <c r="AV136" t="str">
        <f>IF('TRACKER - 20220622'!BD157&lt;&gt;"",'TRACKER - 20220622'!BD157,"")</f>
        <v/>
      </c>
      <c r="AW136" t="str">
        <f>IF('TRACKER - 20220622'!BE157&lt;&gt;"",'TRACKER - 20220622'!BE157,"")</f>
        <v/>
      </c>
      <c r="AX136" t="str">
        <f>IF('TRACKER - 20220622'!BF157&lt;&gt;"",'TRACKER - 20220622'!BF157,"")</f>
        <v/>
      </c>
      <c r="AY136" t="str">
        <f>IF('TRACKER - 20220622'!BG157&lt;&gt;"",'TRACKER - 20220622'!BG157,"")</f>
        <v/>
      </c>
      <c r="AZ136" t="str">
        <f>IF('TRACKER - 20220622'!BH157&lt;&gt;"",'TRACKER - 20220622'!BH157,"")</f>
        <v/>
      </c>
      <c r="BA136" t="str">
        <f>IF('TRACKER - 20220622'!BI157&lt;&gt;"",'TRACKER - 20220622'!BI157,"")</f>
        <v/>
      </c>
      <c r="BB136" t="str">
        <f>IF('TRACKER - 20220622'!BJ157&lt;&gt;"",'TRACKER - 20220622'!BJ157,"")</f>
        <v/>
      </c>
      <c r="BC136" t="str">
        <f>IF('TRACKER - 20220622'!BK157&lt;&gt;"",'TRACKER - 20220622'!BK157,"")</f>
        <v/>
      </c>
      <c r="BD136" t="str">
        <f>IF('TRACKER - 20220622'!BL157&lt;&gt;"",'TRACKER - 20220622'!BL157,"")</f>
        <v/>
      </c>
      <c r="BE136" t="str">
        <f>IF('TRACKER - 20220622'!BM157&lt;&gt;"",'TRACKER - 20220622'!BM157,"")</f>
        <v/>
      </c>
      <c r="BF136" t="str">
        <f>IF('TRACKER - 20220622'!BN157&lt;&gt;"",'TRACKER - 20220622'!BN157,"")</f>
        <v/>
      </c>
      <c r="BG136" t="str">
        <f>IF('TRACKER - 20220622'!BO157&lt;&gt;"",'TRACKER - 20220622'!BO157,"")</f>
        <v/>
      </c>
    </row>
    <row r="137" spans="1:59">
      <c r="A137" t="str">
        <f>IF('TRACKER - 20220622'!A158&lt;&gt;"",UPPER('TRACKER - 20220622'!A158),"")</f>
        <v>PRODUCT BACKLOG</v>
      </c>
      <c r="B137" t="str">
        <f>IF('TRACKER - 20220622'!B158&lt;&gt;"",UPPER('TRACKER - 20220622'!B158),"")</f>
        <v>N</v>
      </c>
      <c r="C137" t="str">
        <f>IF('TRACKER - 20220622'!D141&lt;&gt;"",UPPER('TRACKER - 20220622'!D141),"")</f>
        <v>210</v>
      </c>
      <c r="D137" t="str">
        <f>IF('TRACKER - 20220622'!F158&lt;&gt;"",UPPER('TRACKER - 20220622'!F158),"")</f>
        <v>PRD-BLG-2021-00012</v>
      </c>
      <c r="E137" t="str">
        <f>IF('TRACKER - 20220622'!H158&lt;&gt;"",'TRACKER - 20220622'!H158,"")</f>
        <v>Reg Reporting - Structured Products</v>
      </c>
      <c r="F137" t="str">
        <f t="shared" si="4"/>
        <v>PRD-BLG-2021-00012 Reg Reporting - Structured Products</v>
      </c>
      <c r="G137" t="str">
        <f t="shared" si="5"/>
        <v>00210 - Reg Reporting - Structured Products</v>
      </c>
      <c r="H137">
        <f>IF('TRACKER - 20220622'!J158&lt;&gt;"",'TRACKER - 20220622'!J158,"")</f>
        <v>0</v>
      </c>
      <c r="I137" t="str">
        <f>IF('TRACKER - 20220622'!K141&lt;&gt;"",UPPER('TRACKER - 20220622'!K141),"")</f>
        <v>43973</v>
      </c>
      <c r="J137" t="str">
        <f>IF('TRACKER - 20220622'!L141&lt;&gt;"",UPPER('TRACKER - 20220622'!L141),"")</f>
        <v>43771</v>
      </c>
      <c r="K137" t="str">
        <f>IF('TRACKER - 20220622'!M141&lt;&gt;"",UPPER('TRACKER - 20220622'!M141),"")</f>
        <v>43801</v>
      </c>
      <c r="L137" t="str">
        <f>IF('TRACKER - 20220622'!N141&lt;&gt;"",UPPER('TRACKER - 20220622'!N141),"")</f>
        <v>43971</v>
      </c>
      <c r="M137" t="str">
        <f>IF('TRACKER - 20220622'!O141&lt;&gt;"",UPPER('TRACKER - 20220622'!O141),"")</f>
        <v>43973</v>
      </c>
      <c r="N137" t="str">
        <f>IF('TRACKER - 20220622'!P141&lt;&gt;"",UPPER('TRACKER - 20220622'!P141),"")</f>
        <v/>
      </c>
      <c r="O137" t="str">
        <f>IF('TRACKER - 20220622'!Q141&lt;&gt;"",UPPER('TRACKER - 20220622'!Q141),"")</f>
        <v>SALES DESK</v>
      </c>
      <c r="P137" t="str">
        <f>IF('TRACKER - 20220622'!R141&lt;&gt;"",UPPER('TRACKER - 20220622'!R141),"")</f>
        <v>CLIENT</v>
      </c>
      <c r="Q137" t="str">
        <f>IF('TRACKER - 20220622'!S141&lt;&gt;"",UPPER('TRACKER - 20220622'!S141),"")</f>
        <v/>
      </c>
      <c r="R137" t="str">
        <f>IF('TRACKER - 20220622'!T141&lt;&gt;"",UPPER('TRACKER - 20220622'!T141),"")</f>
        <v/>
      </c>
      <c r="S137" t="str">
        <f>IF('TRACKER - 20220622'!U141&lt;&gt;"",UPPER('TRACKER - 20220622'!U141),"")</f>
        <v/>
      </c>
      <c r="T137" t="str">
        <f>IF('TRACKER - 20220622'!V141&lt;&gt;"",UPPER('TRACKER - 20220622'!V141),"")</f>
        <v/>
      </c>
      <c r="U137" t="str">
        <f>IF('TRACKER - 20220622'!W141&lt;&gt;"",UPPER('TRACKER - 20220622'!W141),"")</f>
        <v/>
      </c>
      <c r="V137" t="str">
        <f>IF('TRACKER - 20220622'!X141&lt;&gt;"",UPPER('TRACKER - 20220622'!X141),"")</f>
        <v>22/05/20 - PB APPROVED</v>
      </c>
      <c r="W137" t="str">
        <f>IF('TRACKER - 20220622'!Y141&lt;&gt;"",UPPER('TRACKER - 20220622'!Y141),"")</f>
        <v>17289.95625</v>
      </c>
      <c r="X137" t="str">
        <f>IF('TRACKER - 20220622'!Z141&lt;&gt;"",UPPER('TRACKER - 20220622'!Z141),"")</f>
        <v>0</v>
      </c>
      <c r="Y137" t="str">
        <f>IF('TRACKER - 20220622'!AA141&lt;&gt;"",UPPER('TRACKER - 20220622'!AA141),"")</f>
        <v>12882.7125</v>
      </c>
      <c r="Z137" t="str">
        <f>IF('TRACKER - 20220622'!AB141&lt;&gt;"",UPPER('TRACKER - 20220622'!AB141),"")</f>
        <v>1356.075</v>
      </c>
      <c r="AA137" t="str">
        <f>IF('TRACKER - 20220622'!AC141&lt;&gt;"",UPPER('TRACKER - 20220622'!AC141),"")</f>
        <v>0</v>
      </c>
      <c r="AB137" t="str">
        <f>IF('TRACKER - 20220622'!AE141&lt;&gt;"",UPPER('TRACKER - 20220622'!AE141),"")</f>
        <v>3051.16875</v>
      </c>
      <c r="AC137" t="str">
        <f>IF('TRACKER - 20220622'!AF141&lt;&gt;"",UPPER('TRACKER - 20220622'!AF141),"")</f>
        <v>17289.95625</v>
      </c>
      <c r="AD137" t="str">
        <f>IF('TRACKER - 20220622'!AG141&lt;&gt;"",UPPER('TRACKER - 20220622'!AG141),"")</f>
        <v>0</v>
      </c>
      <c r="AE137" t="str">
        <f>IF('TRACKER - 20220622'!AH141&lt;&gt;"",UPPER('TRACKER - 20220622'!AH141),"")</f>
        <v>180.81</v>
      </c>
      <c r="AF137" t="str">
        <f>IF('TRACKER - 20220622'!AI141&lt;&gt;"",UPPER('TRACKER - 20220622'!AI141),"")</f>
        <v/>
      </c>
      <c r="AG137" t="str">
        <f>IF('TRACKER - 20220622'!AJ141&lt;&gt;"",UPPER('TRACKER - 20220622'!AJ141),"")</f>
        <v>0</v>
      </c>
      <c r="AH137" t="str">
        <f>IF('TRACKER - 20220622'!AK141&lt;&gt;"",UPPER('TRACKER - 20220622'!AK141),"")</f>
        <v/>
      </c>
      <c r="AI137" t="str">
        <f>IF('TRACKER - 20220622'!AL141&lt;&gt;"",UPPER('TRACKER - 20220622'!AL141),"")</f>
        <v>9.5</v>
      </c>
      <c r="AJ137" t="str">
        <f>IF('TRACKER - 20220622'!AM141&lt;&gt;"",UPPER('TRACKER - 20220622'!AM141),"")</f>
        <v>1</v>
      </c>
      <c r="AK137" t="str">
        <f>IF('TRACKER - 20220622'!AN141&lt;&gt;"",UPPER('TRACKER - 20220622'!AN141),"")</f>
        <v/>
      </c>
      <c r="AL137" t="str">
        <f>IF('TRACKER - 20220622'!AO141&lt;&gt;"",UPPER('TRACKER - 20220622'!AO141),"")</f>
        <v>2.25</v>
      </c>
      <c r="AM137" t="str">
        <f>IF('TRACKER - 20220622'!AP141&lt;&gt;"",UPPER('TRACKER - 20220622'!AP141),"")</f>
        <v>12.75</v>
      </c>
      <c r="AN137" t="str">
        <f>IF('TRACKER - 20220622'!AQ141&lt;&gt;"",UPPER('TRACKER - 20220622'!AQ141),"")</f>
        <v>0</v>
      </c>
      <c r="AO137" t="str">
        <f>IF('TRACKER - 20220622'!AR141&lt;&gt;"",UPPER('TRACKER - 20220622'!AR141),"")</f>
        <v>RMB</v>
      </c>
      <c r="AP137" t="str">
        <f>IF('TRACKER - 20220622'!AS141&lt;&gt;"",UPPER('TRACKER - 20220622'!AS141),"")</f>
        <v>RSC</v>
      </c>
      <c r="AQ137" t="str">
        <f>IF('TRACKER - 20220622'!AT141&lt;&gt;"",UPPER('TRACKER - 20220622'!AT141),"")</f>
        <v>Y</v>
      </c>
      <c r="AR137" t="str">
        <f>IF('TRACKER - 20220622'!AU141&lt;&gt;"",UPPER('TRACKER - 20220622'!AU141),"")</f>
        <v>180.81</v>
      </c>
      <c r="AS137" t="str">
        <f>IF('TRACKER - 20220622'!AV141&lt;&gt;"",UPPER('TRACKER - 20220622'!AV141),"")</f>
        <v/>
      </c>
      <c r="AT137" t="str">
        <f>IF('TRACKER - 20220622'!AW141&lt;&gt;"",UPPER('TRACKER - 20220622'!AW141),"")</f>
        <v/>
      </c>
      <c r="AU137" t="str">
        <f>IF('TRACKER - 20220622'!AX141&lt;&gt;"",UPPER('TRACKER - 20220622'!AX141),"")</f>
        <v>REASON141</v>
      </c>
      <c r="AV137" t="str">
        <f>IF('TRACKER - 20220622'!BD158&lt;&gt;"",'TRACKER - 20220622'!BD158,"")</f>
        <v/>
      </c>
      <c r="AW137" t="str">
        <f>IF('TRACKER - 20220622'!BE158&lt;&gt;"",'TRACKER - 20220622'!BE158,"")</f>
        <v/>
      </c>
      <c r="AX137" t="str">
        <f>IF('TRACKER - 20220622'!BF158&lt;&gt;"",'TRACKER - 20220622'!BF158,"")</f>
        <v/>
      </c>
      <c r="AY137" t="str">
        <f>IF('TRACKER - 20220622'!BG158&lt;&gt;"",'TRACKER - 20220622'!BG158,"")</f>
        <v/>
      </c>
      <c r="AZ137" t="str">
        <f>IF('TRACKER - 20220622'!BH158&lt;&gt;"",'TRACKER - 20220622'!BH158,"")</f>
        <v/>
      </c>
      <c r="BA137" t="str">
        <f>IF('TRACKER - 20220622'!BI158&lt;&gt;"",'TRACKER - 20220622'!BI158,"")</f>
        <v/>
      </c>
      <c r="BB137" t="str">
        <f>IF('TRACKER - 20220622'!BJ158&lt;&gt;"",'TRACKER - 20220622'!BJ158,"")</f>
        <v/>
      </c>
      <c r="BC137" t="str">
        <f>IF('TRACKER - 20220622'!BK158&lt;&gt;"",'TRACKER - 20220622'!BK158,"")</f>
        <v/>
      </c>
      <c r="BD137" t="str">
        <f>IF('TRACKER - 20220622'!BL158&lt;&gt;"",'TRACKER - 20220622'!BL158,"")</f>
        <v/>
      </c>
      <c r="BE137" t="str">
        <f>IF('TRACKER - 20220622'!BM158&lt;&gt;"",'TRACKER - 20220622'!BM158,"")</f>
        <v/>
      </c>
      <c r="BF137" t="str">
        <f>IF('TRACKER - 20220622'!BN158&lt;&gt;"",'TRACKER - 20220622'!BN158,"")</f>
        <v/>
      </c>
      <c r="BG137" t="str">
        <f>IF('TRACKER - 20220622'!BO158&lt;&gt;"",'TRACKER - 20220622'!BO158,"")</f>
        <v/>
      </c>
    </row>
    <row r="138" spans="1:59">
      <c r="A138" t="str">
        <f>IF('TRACKER - 20220622'!A159&lt;&gt;"",UPPER('TRACKER - 20220622'!A159),"")</f>
        <v>PRODUCT BACKLOG</v>
      </c>
      <c r="B138" t="str">
        <f>IF('TRACKER - 20220622'!B159&lt;&gt;"",UPPER('TRACKER - 20220622'!B159),"")</f>
        <v>N</v>
      </c>
      <c r="C138" t="str">
        <f>IF('TRACKER - 20220622'!D142&lt;&gt;"",UPPER('TRACKER - 20220622'!D142),"")</f>
        <v>204</v>
      </c>
      <c r="D138" t="str">
        <f>IF('TRACKER - 20220622'!F159&lt;&gt;"",UPPER('TRACKER - 20220622'!F159),"")</f>
        <v>PRD-BLG-2021-00013</v>
      </c>
      <c r="E138" t="str">
        <f>IF('TRACKER - 20220622'!H159&lt;&gt;"",'TRACKER - 20220622'!H159,"")</f>
        <v>Reg Reporting - Multi Entity</v>
      </c>
      <c r="F138" t="str">
        <f t="shared" si="4"/>
        <v>PRD-BLG-2021-00013 Reg Reporting - Multi Entity</v>
      </c>
      <c r="G138" t="str">
        <f t="shared" si="5"/>
        <v>00204 - Reg Reporting - Multi Entity</v>
      </c>
      <c r="H138">
        <f>IF('TRACKER - 20220622'!J159&lt;&gt;"",'TRACKER - 20220622'!J159,"")</f>
        <v>0</v>
      </c>
      <c r="I138" t="str">
        <f>IF('TRACKER - 20220622'!K142&lt;&gt;"",UPPER('TRACKER - 20220622'!K142),"")</f>
        <v>44068</v>
      </c>
      <c r="J138" t="str">
        <f>IF('TRACKER - 20220622'!L142&lt;&gt;"",UPPER('TRACKER - 20220622'!L142),"")</f>
        <v>44068</v>
      </c>
      <c r="K138" t="str">
        <f>IF('TRACKER - 20220622'!M142&lt;&gt;"",UPPER('TRACKER - 20220622'!M142),"")</f>
        <v/>
      </c>
      <c r="L138" t="str">
        <f>IF('TRACKER - 20220622'!N142&lt;&gt;"",UPPER('TRACKER - 20220622'!N142),"")</f>
        <v/>
      </c>
      <c r="M138" t="str">
        <f>IF('TRACKER - 20220622'!O142&lt;&gt;"",UPPER('TRACKER - 20220622'!O142),"")</f>
        <v/>
      </c>
      <c r="N138" t="str">
        <f>IF('TRACKER - 20220622'!P142&lt;&gt;"",UPPER('TRACKER - 20220622'!P142),"")</f>
        <v/>
      </c>
      <c r="O138" t="str">
        <f>IF('TRACKER - 20220622'!Q142&lt;&gt;"",UPPER('TRACKER - 20220622'!Q142),"")</f>
        <v>ETRADER</v>
      </c>
      <c r="P138" t="str">
        <f>IF('TRACKER - 20220622'!R142&lt;&gt;"",UPPER('TRACKER - 20220622'!R142),"")</f>
        <v>CLIENT</v>
      </c>
      <c r="Q138" t="str">
        <f>IF('TRACKER - 20220622'!S142&lt;&gt;"",UPPER('TRACKER - 20220622'!S142),"")</f>
        <v/>
      </c>
      <c r="R138" t="str">
        <f>IF('TRACKER - 20220622'!T142&lt;&gt;"",UPPER('TRACKER - 20220622'!T142),"")</f>
        <v/>
      </c>
      <c r="S138" t="str">
        <f>IF('TRACKER - 20220622'!U142&lt;&gt;"",UPPER('TRACKER - 20220622'!U142),"")</f>
        <v/>
      </c>
      <c r="T138" t="str">
        <f>IF('TRACKER - 20220622'!V142&lt;&gt;"",UPPER('TRACKER - 20220622'!V142),"")</f>
        <v/>
      </c>
      <c r="U138" t="str">
        <f>IF('TRACKER - 20220622'!W142&lt;&gt;"",UPPER('TRACKER - 20220622'!W142),"")</f>
        <v/>
      </c>
      <c r="V138" t="str">
        <f>IF('TRACKER - 20220622'!X142&lt;&gt;"",UPPER('TRACKER - 20220622'!X142),"")</f>
        <v>25/08/20 - LOADED FROM PROJECT LOGS FILES</v>
      </c>
      <c r="W138" t="str">
        <f>IF('TRACKER - 20220622'!Y142&lt;&gt;"",UPPER('TRACKER - 20220622'!Y142),"")</f>
        <v>0</v>
      </c>
      <c r="X138" t="str">
        <f>IF('TRACKER - 20220622'!Z142&lt;&gt;"",UPPER('TRACKER - 20220622'!Z142),"")</f>
        <v>0</v>
      </c>
      <c r="Y138" t="str">
        <f>IF('TRACKER - 20220622'!AA142&lt;&gt;"",UPPER('TRACKER - 20220622'!AA142),"")</f>
        <v>0</v>
      </c>
      <c r="Z138" t="str">
        <f>IF('TRACKER - 20220622'!AB142&lt;&gt;"",UPPER('TRACKER - 20220622'!AB142),"")</f>
        <v>0</v>
      </c>
      <c r="AA138" t="str">
        <f>IF('TRACKER - 20220622'!AC142&lt;&gt;"",UPPER('TRACKER - 20220622'!AC142),"")</f>
        <v>0</v>
      </c>
      <c r="AB138" t="str">
        <f>IF('TRACKER - 20220622'!AE142&lt;&gt;"",UPPER('TRACKER - 20220622'!AE142),"")</f>
        <v>0</v>
      </c>
      <c r="AC138" t="str">
        <f>IF('TRACKER - 20220622'!AF142&lt;&gt;"",UPPER('TRACKER - 20220622'!AF142),"")</f>
        <v>0</v>
      </c>
      <c r="AD138" t="str">
        <f>IF('TRACKER - 20220622'!AG142&lt;&gt;"",UPPER('TRACKER - 20220622'!AG142),"")</f>
        <v>0</v>
      </c>
      <c r="AE138" t="str">
        <f>IF('TRACKER - 20220622'!AH142&lt;&gt;"",UPPER('TRACKER - 20220622'!AH142),"")</f>
        <v>180.81</v>
      </c>
      <c r="AF138" t="str">
        <f>IF('TRACKER - 20220622'!AI142&lt;&gt;"",UPPER('TRACKER - 20220622'!AI142),"")</f>
        <v/>
      </c>
      <c r="AG138" t="str">
        <f>IF('TRACKER - 20220622'!AJ142&lt;&gt;"",UPPER('TRACKER - 20220622'!AJ142),"")</f>
        <v>0</v>
      </c>
      <c r="AH138" t="str">
        <f>IF('TRACKER - 20220622'!AK142&lt;&gt;"",UPPER('TRACKER - 20220622'!AK142),"")</f>
        <v/>
      </c>
      <c r="AI138" t="str">
        <f>IF('TRACKER - 20220622'!AL142&lt;&gt;"",UPPER('TRACKER - 20220622'!AL142),"")</f>
        <v>0</v>
      </c>
      <c r="AJ138" t="str">
        <f>IF('TRACKER - 20220622'!AM142&lt;&gt;"",UPPER('TRACKER - 20220622'!AM142),"")</f>
        <v>0</v>
      </c>
      <c r="AK138" t="str">
        <f>IF('TRACKER - 20220622'!AN142&lt;&gt;"",UPPER('TRACKER - 20220622'!AN142),"")</f>
        <v/>
      </c>
      <c r="AL138" t="str">
        <f>IF('TRACKER - 20220622'!AO142&lt;&gt;"",UPPER('TRACKER - 20220622'!AO142),"")</f>
        <v>0</v>
      </c>
      <c r="AM138" t="str">
        <f>IF('TRACKER - 20220622'!AP142&lt;&gt;"",UPPER('TRACKER - 20220622'!AP142),"")</f>
        <v>0</v>
      </c>
      <c r="AN138" t="str">
        <f>IF('TRACKER - 20220622'!AQ142&lt;&gt;"",UPPER('TRACKER - 20220622'!AQ142),"")</f>
        <v>0</v>
      </c>
      <c r="AO138" t="str">
        <f>IF('TRACKER - 20220622'!AR142&lt;&gt;"",UPPER('TRACKER - 20220622'!AR142),"")</f>
        <v>RMB</v>
      </c>
      <c r="AP138" t="str">
        <f>IF('TRACKER - 20220622'!AS142&lt;&gt;"",UPPER('TRACKER - 20220622'!AS142),"")</f>
        <v>RSC</v>
      </c>
      <c r="AQ138" t="str">
        <f>IF('TRACKER - 20220622'!AT142&lt;&gt;"",UPPER('TRACKER - 20220622'!AT142),"")</f>
        <v>Y</v>
      </c>
      <c r="AR138" t="str">
        <f>IF('TRACKER - 20220622'!AU142&lt;&gt;"",UPPER('TRACKER - 20220622'!AU142),"")</f>
        <v>180.81</v>
      </c>
      <c r="AS138" t="str">
        <f>IF('TRACKER - 20220622'!AV142&lt;&gt;"",UPPER('TRACKER - 20220622'!AV142),"")</f>
        <v/>
      </c>
      <c r="AT138" t="str">
        <f>IF('TRACKER - 20220622'!AW142&lt;&gt;"",UPPER('TRACKER - 20220622'!AW142),"")</f>
        <v/>
      </c>
      <c r="AU138" t="str">
        <f>IF('TRACKER - 20220622'!AX142&lt;&gt;"",UPPER('TRACKER - 20220622'!AX142),"")</f>
        <v>REASON142</v>
      </c>
      <c r="AV138" t="str">
        <f>IF('TRACKER - 20220622'!BD159&lt;&gt;"",'TRACKER - 20220622'!BD159,"")</f>
        <v/>
      </c>
      <c r="AW138" t="str">
        <f>IF('TRACKER - 20220622'!BE159&lt;&gt;"",'TRACKER - 20220622'!BE159,"")</f>
        <v/>
      </c>
      <c r="AX138" t="str">
        <f>IF('TRACKER - 20220622'!BF159&lt;&gt;"",'TRACKER - 20220622'!BF159,"")</f>
        <v/>
      </c>
      <c r="AY138" t="str">
        <f>IF('TRACKER - 20220622'!BG159&lt;&gt;"",'TRACKER - 20220622'!BG159,"")</f>
        <v/>
      </c>
      <c r="AZ138" t="str">
        <f>IF('TRACKER - 20220622'!BH159&lt;&gt;"",'TRACKER - 20220622'!BH159,"")</f>
        <v/>
      </c>
      <c r="BA138" t="str">
        <f>IF('TRACKER - 20220622'!BI159&lt;&gt;"",'TRACKER - 20220622'!BI159,"")</f>
        <v/>
      </c>
      <c r="BB138" t="str">
        <f>IF('TRACKER - 20220622'!BJ159&lt;&gt;"",'TRACKER - 20220622'!BJ159,"")</f>
        <v/>
      </c>
      <c r="BC138" t="str">
        <f>IF('TRACKER - 20220622'!BK159&lt;&gt;"",'TRACKER - 20220622'!BK159,"")</f>
        <v/>
      </c>
      <c r="BD138" t="str">
        <f>IF('TRACKER - 20220622'!BL159&lt;&gt;"",'TRACKER - 20220622'!BL159,"")</f>
        <v/>
      </c>
      <c r="BE138" t="str">
        <f>IF('TRACKER - 20220622'!BM159&lt;&gt;"",'TRACKER - 20220622'!BM159,"")</f>
        <v/>
      </c>
      <c r="BF138" t="str">
        <f>IF('TRACKER - 20220622'!BN159&lt;&gt;"",'TRACKER - 20220622'!BN159,"")</f>
        <v/>
      </c>
      <c r="BG138" t="str">
        <f>IF('TRACKER - 20220622'!BO159&lt;&gt;"",'TRACKER - 20220622'!BO159,"")</f>
        <v/>
      </c>
    </row>
    <row r="139" spans="1:59">
      <c r="A139" t="str">
        <f>IF('TRACKER - 20220622'!A160&lt;&gt;"",UPPER('TRACKER - 20220622'!A160),"")</f>
        <v>PRODUCT BACKLOG</v>
      </c>
      <c r="B139" t="str">
        <f>IF('TRACKER - 20220622'!B160&lt;&gt;"",UPPER('TRACKER - 20220622'!B160),"")</f>
        <v>N</v>
      </c>
      <c r="C139" t="str">
        <f>IF('TRACKER - 20220622'!D143&lt;&gt;"",UPPER('TRACKER - 20220622'!D143),"")</f>
        <v/>
      </c>
      <c r="D139" t="str">
        <f>IF('TRACKER - 20220622'!F160&lt;&gt;"",UPPER('TRACKER - 20220622'!F160),"")</f>
        <v>PRD-BLG-2021-00014</v>
      </c>
      <c r="E139" t="str">
        <f>IF('TRACKER - 20220622'!H160&lt;&gt;"",'TRACKER - 20220622'!H160,"")</f>
        <v>Reg Reporting - Delegated Reporting</v>
      </c>
      <c r="F139" t="str">
        <f t="shared" si="4"/>
        <v>PRD-BLG-2021-00014 Reg Reporting - Delegated Reporting</v>
      </c>
      <c r="G139" t="str">
        <f t="shared" si="5"/>
        <v xml:space="preserve"> - Reg Reporting - Delegated Reporting</v>
      </c>
      <c r="H139">
        <f>IF('TRACKER - 20220622'!J160&lt;&gt;"",'TRACKER - 20220622'!J160,"")</f>
        <v>0</v>
      </c>
      <c r="I139" t="str">
        <f>IF('TRACKER - 20220622'!K143&lt;&gt;"",UPPER('TRACKER - 20220622'!K143),"")</f>
        <v>44081</v>
      </c>
      <c r="J139" t="str">
        <f>IF('TRACKER - 20220622'!L143&lt;&gt;"",UPPER('TRACKER - 20220622'!L143),"")</f>
        <v>44081</v>
      </c>
      <c r="K139" t="str">
        <f>IF('TRACKER - 20220622'!M143&lt;&gt;"",UPPER('TRACKER - 20220622'!M143),"")</f>
        <v/>
      </c>
      <c r="L139" t="str">
        <f>IF('TRACKER - 20220622'!N143&lt;&gt;"",UPPER('TRACKER - 20220622'!N143),"")</f>
        <v/>
      </c>
      <c r="M139" t="str">
        <f>IF('TRACKER - 20220622'!O143&lt;&gt;"",UPPER('TRACKER - 20220622'!O143),"")</f>
        <v/>
      </c>
      <c r="N139" t="str">
        <f>IF('TRACKER - 20220622'!P143&lt;&gt;"",UPPER('TRACKER - 20220622'!P143),"")</f>
        <v/>
      </c>
      <c r="O139" t="str">
        <f>IF('TRACKER - 20220622'!Q143&lt;&gt;"",UPPER('TRACKER - 20220622'!Q143),"")</f>
        <v>PLATFORM</v>
      </c>
      <c r="P139" t="str">
        <f>IF('TRACKER - 20220622'!R143&lt;&gt;"",UPPER('TRACKER - 20220622'!R143),"")</f>
        <v>CLIENT</v>
      </c>
      <c r="Q139" t="str">
        <f>IF('TRACKER - 20220622'!S143&lt;&gt;"",UPPER('TRACKER - 20220622'!S143),"")</f>
        <v/>
      </c>
      <c r="R139" t="str">
        <f>IF('TRACKER - 20220622'!T143&lt;&gt;"",UPPER('TRACKER - 20220622'!T143),"")</f>
        <v/>
      </c>
      <c r="S139" t="str">
        <f>IF('TRACKER - 20220622'!U143&lt;&gt;"",UPPER('TRACKER - 20220622'!U143),"")</f>
        <v/>
      </c>
      <c r="T139" t="str">
        <f>IF('TRACKER - 20220622'!V143&lt;&gt;"",UPPER('TRACKER - 20220622'!V143),"")</f>
        <v/>
      </c>
      <c r="U139" t="str">
        <f>IF('TRACKER - 20220622'!W143&lt;&gt;"",UPPER('TRACKER - 20220622'!W143),"")</f>
        <v/>
      </c>
      <c r="V139" t="str">
        <f>IF('TRACKER - 20220622'!X143&lt;&gt;"",UPPER('TRACKER - 20220622'!X143),"")</f>
        <v/>
      </c>
      <c r="W139" t="str">
        <f>IF('TRACKER - 20220622'!Y143&lt;&gt;"",UPPER('TRACKER - 20220622'!Y143),"")</f>
        <v>0</v>
      </c>
      <c r="X139" t="str">
        <f>IF('TRACKER - 20220622'!Z143&lt;&gt;"",UPPER('TRACKER - 20220622'!Z143),"")</f>
        <v>0</v>
      </c>
      <c r="Y139" t="str">
        <f>IF('TRACKER - 20220622'!AA143&lt;&gt;"",UPPER('TRACKER - 20220622'!AA143),"")</f>
        <v>0</v>
      </c>
      <c r="Z139" t="str">
        <f>IF('TRACKER - 20220622'!AB143&lt;&gt;"",UPPER('TRACKER - 20220622'!AB143),"")</f>
        <v>0</v>
      </c>
      <c r="AA139" t="str">
        <f>IF('TRACKER - 20220622'!AC143&lt;&gt;"",UPPER('TRACKER - 20220622'!AC143),"")</f>
        <v>0</v>
      </c>
      <c r="AB139" t="str">
        <f>IF('TRACKER - 20220622'!AE143&lt;&gt;"",UPPER('TRACKER - 20220622'!AE143),"")</f>
        <v>0</v>
      </c>
      <c r="AC139" t="str">
        <f>IF('TRACKER - 20220622'!AF143&lt;&gt;"",UPPER('TRACKER - 20220622'!AF143),"")</f>
        <v>0</v>
      </c>
      <c r="AD139" t="str">
        <f>IF('TRACKER - 20220622'!AG143&lt;&gt;"",UPPER('TRACKER - 20220622'!AG143),"")</f>
        <v>0</v>
      </c>
      <c r="AE139" t="str">
        <f>IF('TRACKER - 20220622'!AH143&lt;&gt;"",UPPER('TRACKER - 20220622'!AH143),"")</f>
        <v>180.81</v>
      </c>
      <c r="AF139" t="str">
        <f>IF('TRACKER - 20220622'!AI143&lt;&gt;"",UPPER('TRACKER - 20220622'!AI143),"")</f>
        <v/>
      </c>
      <c r="AG139" t="str">
        <f>IF('TRACKER - 20220622'!AJ143&lt;&gt;"",UPPER('TRACKER - 20220622'!AJ143),"")</f>
        <v>0</v>
      </c>
      <c r="AH139" t="str">
        <f>IF('TRACKER - 20220622'!AK143&lt;&gt;"",UPPER('TRACKER - 20220622'!AK143),"")</f>
        <v/>
      </c>
      <c r="AI139" t="str">
        <f>IF('TRACKER - 20220622'!AL143&lt;&gt;"",UPPER('TRACKER - 20220622'!AL143),"")</f>
        <v>0</v>
      </c>
      <c r="AJ139" t="str">
        <f>IF('TRACKER - 20220622'!AM143&lt;&gt;"",UPPER('TRACKER - 20220622'!AM143),"")</f>
        <v>0</v>
      </c>
      <c r="AK139" t="str">
        <f>IF('TRACKER - 20220622'!AN143&lt;&gt;"",UPPER('TRACKER - 20220622'!AN143),"")</f>
        <v/>
      </c>
      <c r="AL139" t="str">
        <f>IF('TRACKER - 20220622'!AO143&lt;&gt;"",UPPER('TRACKER - 20220622'!AO143),"")</f>
        <v>0</v>
      </c>
      <c r="AM139" t="str">
        <f>IF('TRACKER - 20220622'!AP143&lt;&gt;"",UPPER('TRACKER - 20220622'!AP143),"")</f>
        <v>0</v>
      </c>
      <c r="AN139" t="str">
        <f>IF('TRACKER - 20220622'!AQ143&lt;&gt;"",UPPER('TRACKER - 20220622'!AQ143),"")</f>
        <v>0</v>
      </c>
      <c r="AO139" t="str">
        <f>IF('TRACKER - 20220622'!AR143&lt;&gt;"",UPPER('TRACKER - 20220622'!AR143),"")</f>
        <v>RMB</v>
      </c>
      <c r="AP139" t="str">
        <f>IF('TRACKER - 20220622'!AS143&lt;&gt;"",UPPER('TRACKER - 20220622'!AS143),"")</f>
        <v>RSC</v>
      </c>
      <c r="AQ139" t="str">
        <f>IF('TRACKER - 20220622'!AT143&lt;&gt;"",UPPER('TRACKER - 20220622'!AT143),"")</f>
        <v>Y</v>
      </c>
      <c r="AR139" t="str">
        <f>IF('TRACKER - 20220622'!AU143&lt;&gt;"",UPPER('TRACKER - 20220622'!AU143),"")</f>
        <v>180.81</v>
      </c>
      <c r="AS139" t="str">
        <f>IF('TRACKER - 20220622'!AV143&lt;&gt;"",UPPER('TRACKER - 20220622'!AV143),"")</f>
        <v/>
      </c>
      <c r="AT139" t="str">
        <f>IF('TRACKER - 20220622'!AW143&lt;&gt;"",UPPER('TRACKER - 20220622'!AW143),"")</f>
        <v/>
      </c>
      <c r="AU139" t="str">
        <f>IF('TRACKER - 20220622'!AX143&lt;&gt;"",UPPER('TRACKER - 20220622'!AX143),"")</f>
        <v>REASON143</v>
      </c>
      <c r="AV139" t="str">
        <f>IF('TRACKER - 20220622'!BD160&lt;&gt;"",'TRACKER - 20220622'!BD160,"")</f>
        <v/>
      </c>
      <c r="AW139" t="str">
        <f>IF('TRACKER - 20220622'!BE160&lt;&gt;"",'TRACKER - 20220622'!BE160,"")</f>
        <v/>
      </c>
      <c r="AX139" t="str">
        <f>IF('TRACKER - 20220622'!BF160&lt;&gt;"",'TRACKER - 20220622'!BF160,"")</f>
        <v/>
      </c>
      <c r="AY139" t="str">
        <f>IF('TRACKER - 20220622'!BG160&lt;&gt;"",'TRACKER - 20220622'!BG160,"")</f>
        <v/>
      </c>
      <c r="AZ139" t="str">
        <f>IF('TRACKER - 20220622'!BH160&lt;&gt;"",'TRACKER - 20220622'!BH160,"")</f>
        <v/>
      </c>
      <c r="BA139" t="str">
        <f>IF('TRACKER - 20220622'!BI160&lt;&gt;"",'TRACKER - 20220622'!BI160,"")</f>
        <v/>
      </c>
      <c r="BB139" t="str">
        <f>IF('TRACKER - 20220622'!BJ160&lt;&gt;"",'TRACKER - 20220622'!BJ160,"")</f>
        <v/>
      </c>
      <c r="BC139" t="str">
        <f>IF('TRACKER - 20220622'!BK160&lt;&gt;"",'TRACKER - 20220622'!BK160,"")</f>
        <v/>
      </c>
      <c r="BD139" t="str">
        <f>IF('TRACKER - 20220622'!BL160&lt;&gt;"",'TRACKER - 20220622'!BL160,"")</f>
        <v/>
      </c>
      <c r="BE139" t="str">
        <f>IF('TRACKER - 20220622'!BM160&lt;&gt;"",'TRACKER - 20220622'!BM160,"")</f>
        <v/>
      </c>
      <c r="BF139" t="str">
        <f>IF('TRACKER - 20220622'!BN160&lt;&gt;"",'TRACKER - 20220622'!BN160,"")</f>
        <v/>
      </c>
      <c r="BG139" t="str">
        <f>IF('TRACKER - 20220622'!BO160&lt;&gt;"",'TRACKER - 20220622'!BO160,"")</f>
        <v/>
      </c>
    </row>
    <row r="140" spans="1:59">
      <c r="A140" t="str">
        <f>IF('TRACKER - 20220622'!A161&lt;&gt;"",UPPER('TRACKER - 20220622'!A161),"")</f>
        <v>PRODUCT BACKLOG</v>
      </c>
      <c r="B140" t="str">
        <f>IF('TRACKER - 20220622'!B161&lt;&gt;"",UPPER('TRACKER - 20220622'!B161),"")</f>
        <v>N</v>
      </c>
      <c r="C140" t="str">
        <f>IF('TRACKER - 20220622'!D144&lt;&gt;"",UPPER('TRACKER - 20220622'!D144),"")</f>
        <v/>
      </c>
      <c r="D140" t="str">
        <f>IF('TRACKER - 20220622'!F161&lt;&gt;"",UPPER('TRACKER - 20220622'!F161),"")</f>
        <v>PRD-BLG-2021-00015</v>
      </c>
      <c r="E140" t="str">
        <f>IF('TRACKER - 20220622'!H161&lt;&gt;"",'TRACKER - 20220622'!H161,"")</f>
        <v>Reg Reporting - Reconciliation</v>
      </c>
      <c r="F140" t="str">
        <f t="shared" si="4"/>
        <v>PRD-BLG-2021-00015 Reg Reporting - Reconciliation</v>
      </c>
      <c r="G140" t="str">
        <f t="shared" si="5"/>
        <v xml:space="preserve"> - Reg Reporting - Reconciliation</v>
      </c>
      <c r="H140">
        <f>IF('TRACKER - 20220622'!J161&lt;&gt;"",'TRACKER - 20220622'!J161,"")</f>
        <v>0</v>
      </c>
      <c r="I140" t="str">
        <f>IF('TRACKER - 20220622'!K144&lt;&gt;"",UPPER('TRACKER - 20220622'!K144),"")</f>
        <v>44109</v>
      </c>
      <c r="J140" t="str">
        <f>IF('TRACKER - 20220622'!L144&lt;&gt;"",UPPER('TRACKER - 20220622'!L144),"")</f>
        <v>44109</v>
      </c>
      <c r="K140" t="str">
        <f>IF('TRACKER - 20220622'!M144&lt;&gt;"",UPPER('TRACKER - 20220622'!M144),"")</f>
        <v/>
      </c>
      <c r="L140" t="str">
        <f>IF('TRACKER - 20220622'!N144&lt;&gt;"",UPPER('TRACKER - 20220622'!N144),"")</f>
        <v/>
      </c>
      <c r="M140" t="str">
        <f>IF('TRACKER - 20220622'!O144&lt;&gt;"",UPPER('TRACKER - 20220622'!O144),"")</f>
        <v/>
      </c>
      <c r="N140" t="str">
        <f>IF('TRACKER - 20220622'!P144&lt;&gt;"",UPPER('TRACKER - 20220622'!P144),"")</f>
        <v/>
      </c>
      <c r="O140" t="str">
        <f>IF('TRACKER - 20220622'!Q144&lt;&gt;"",UPPER('TRACKER - 20220622'!Q144),"")</f>
        <v>ETRADER</v>
      </c>
      <c r="P140" t="str">
        <f>IF('TRACKER - 20220622'!R144&lt;&gt;"",UPPER('TRACKER - 20220622'!R144),"")</f>
        <v>CLIENT</v>
      </c>
      <c r="Q140" t="str">
        <f>IF('TRACKER - 20220622'!S144&lt;&gt;"",UPPER('TRACKER - 20220622'!S144),"")</f>
        <v/>
      </c>
      <c r="R140" t="str">
        <f>IF('TRACKER - 20220622'!T144&lt;&gt;"",UPPER('TRACKER - 20220622'!T144),"")</f>
        <v/>
      </c>
      <c r="S140" t="str">
        <f>IF('TRACKER - 20220622'!U144&lt;&gt;"",UPPER('TRACKER - 20220622'!U144),"")</f>
        <v/>
      </c>
      <c r="T140" t="str">
        <f>IF('TRACKER - 20220622'!V144&lt;&gt;"",UPPER('TRACKER - 20220622'!V144),"")</f>
        <v/>
      </c>
      <c r="U140" t="str">
        <f>IF('TRACKER - 20220622'!W144&lt;&gt;"",UPPER('TRACKER - 20220622'!W144),"")</f>
        <v/>
      </c>
      <c r="V140" t="str">
        <f>IF('TRACKER - 20220622'!X144&lt;&gt;"",UPPER('TRACKER - 20220622'!X144),"")</f>
        <v/>
      </c>
      <c r="W140" t="str">
        <f>IF('TRACKER - 20220622'!Y144&lt;&gt;"",UPPER('TRACKER - 20220622'!Y144),"")</f>
        <v>0</v>
      </c>
      <c r="X140" t="str">
        <f>IF('TRACKER - 20220622'!Z144&lt;&gt;"",UPPER('TRACKER - 20220622'!Z144),"")</f>
        <v>0</v>
      </c>
      <c r="Y140" t="str">
        <f>IF('TRACKER - 20220622'!AA144&lt;&gt;"",UPPER('TRACKER - 20220622'!AA144),"")</f>
        <v>0</v>
      </c>
      <c r="Z140" t="str">
        <f>IF('TRACKER - 20220622'!AB144&lt;&gt;"",UPPER('TRACKER - 20220622'!AB144),"")</f>
        <v>0</v>
      </c>
      <c r="AA140" t="str">
        <f>IF('TRACKER - 20220622'!AC144&lt;&gt;"",UPPER('TRACKER - 20220622'!AC144),"")</f>
        <v>0</v>
      </c>
      <c r="AB140" t="str">
        <f>IF('TRACKER - 20220622'!AE144&lt;&gt;"",UPPER('TRACKER - 20220622'!AE144),"")</f>
        <v>0</v>
      </c>
      <c r="AC140" t="str">
        <f>IF('TRACKER - 20220622'!AF144&lt;&gt;"",UPPER('TRACKER - 20220622'!AF144),"")</f>
        <v>0</v>
      </c>
      <c r="AD140" t="str">
        <f>IF('TRACKER - 20220622'!AG144&lt;&gt;"",UPPER('TRACKER - 20220622'!AG144),"")</f>
        <v>0</v>
      </c>
      <c r="AE140" t="str">
        <f>IF('TRACKER - 20220622'!AH144&lt;&gt;"",UPPER('TRACKER - 20220622'!AH144),"")</f>
        <v>180.81</v>
      </c>
      <c r="AF140" t="str">
        <f>IF('TRACKER - 20220622'!AI144&lt;&gt;"",UPPER('TRACKER - 20220622'!AI144),"")</f>
        <v/>
      </c>
      <c r="AG140" t="str">
        <f>IF('TRACKER - 20220622'!AJ144&lt;&gt;"",UPPER('TRACKER - 20220622'!AJ144),"")</f>
        <v>0</v>
      </c>
      <c r="AH140" t="str">
        <f>IF('TRACKER - 20220622'!AK144&lt;&gt;"",UPPER('TRACKER - 20220622'!AK144),"")</f>
        <v/>
      </c>
      <c r="AI140" t="str">
        <f>IF('TRACKER - 20220622'!AL144&lt;&gt;"",UPPER('TRACKER - 20220622'!AL144),"")</f>
        <v>0</v>
      </c>
      <c r="AJ140" t="str">
        <f>IF('TRACKER - 20220622'!AM144&lt;&gt;"",UPPER('TRACKER - 20220622'!AM144),"")</f>
        <v>0</v>
      </c>
      <c r="AK140" t="str">
        <f>IF('TRACKER - 20220622'!AN144&lt;&gt;"",UPPER('TRACKER - 20220622'!AN144),"")</f>
        <v/>
      </c>
      <c r="AL140" t="str">
        <f>IF('TRACKER - 20220622'!AO144&lt;&gt;"",UPPER('TRACKER - 20220622'!AO144),"")</f>
        <v>0</v>
      </c>
      <c r="AM140" t="str">
        <f>IF('TRACKER - 20220622'!AP144&lt;&gt;"",UPPER('TRACKER - 20220622'!AP144),"")</f>
        <v>0</v>
      </c>
      <c r="AN140" t="str">
        <f>IF('TRACKER - 20220622'!AQ144&lt;&gt;"",UPPER('TRACKER - 20220622'!AQ144),"")</f>
        <v>0</v>
      </c>
      <c r="AO140" t="str">
        <f>IF('TRACKER - 20220622'!AR144&lt;&gt;"",UPPER('TRACKER - 20220622'!AR144),"")</f>
        <v>RMB</v>
      </c>
      <c r="AP140" t="str">
        <f>IF('TRACKER - 20220622'!AS144&lt;&gt;"",UPPER('TRACKER - 20220622'!AS144),"")</f>
        <v>RSC</v>
      </c>
      <c r="AQ140" t="str">
        <f>IF('TRACKER - 20220622'!AT144&lt;&gt;"",UPPER('TRACKER - 20220622'!AT144),"")</f>
        <v>Y</v>
      </c>
      <c r="AR140" t="str">
        <f>IF('TRACKER - 20220622'!AU144&lt;&gt;"",UPPER('TRACKER - 20220622'!AU144),"")</f>
        <v>180.81</v>
      </c>
      <c r="AS140" t="str">
        <f>IF('TRACKER - 20220622'!AV144&lt;&gt;"",UPPER('TRACKER - 20220622'!AV144),"")</f>
        <v/>
      </c>
      <c r="AT140" t="str">
        <f>IF('TRACKER - 20220622'!AW144&lt;&gt;"",UPPER('TRACKER - 20220622'!AW144),"")</f>
        <v/>
      </c>
      <c r="AU140" t="str">
        <f>IF('TRACKER - 20220622'!AX144&lt;&gt;"",UPPER('TRACKER - 20220622'!AX144),"")</f>
        <v>REASON144</v>
      </c>
      <c r="AV140" t="str">
        <f>IF('TRACKER - 20220622'!BD161&lt;&gt;"",'TRACKER - 20220622'!BD161,"")</f>
        <v/>
      </c>
      <c r="AW140" t="str">
        <f>IF('TRACKER - 20220622'!BE161&lt;&gt;"",'TRACKER - 20220622'!BE161,"")</f>
        <v/>
      </c>
      <c r="AX140" t="str">
        <f>IF('TRACKER - 20220622'!BF161&lt;&gt;"",'TRACKER - 20220622'!BF161,"")</f>
        <v/>
      </c>
      <c r="AY140" t="str">
        <f>IF('TRACKER - 20220622'!BG161&lt;&gt;"",'TRACKER - 20220622'!BG161,"")</f>
        <v/>
      </c>
      <c r="AZ140" t="str">
        <f>IF('TRACKER - 20220622'!BH161&lt;&gt;"",'TRACKER - 20220622'!BH161,"")</f>
        <v/>
      </c>
      <c r="BA140" t="str">
        <f>IF('TRACKER - 20220622'!BI161&lt;&gt;"",'TRACKER - 20220622'!BI161,"")</f>
        <v/>
      </c>
      <c r="BB140" t="str">
        <f>IF('TRACKER - 20220622'!BJ161&lt;&gt;"",'TRACKER - 20220622'!BJ161,"")</f>
        <v/>
      </c>
      <c r="BC140" t="str">
        <f>IF('TRACKER - 20220622'!BK161&lt;&gt;"",'TRACKER - 20220622'!BK161,"")</f>
        <v/>
      </c>
      <c r="BD140" t="str">
        <f>IF('TRACKER - 20220622'!BL161&lt;&gt;"",'TRACKER - 20220622'!BL161,"")</f>
        <v/>
      </c>
      <c r="BE140" t="str">
        <f>IF('TRACKER - 20220622'!BM161&lt;&gt;"",'TRACKER - 20220622'!BM161,"")</f>
        <v/>
      </c>
      <c r="BF140" t="str">
        <f>IF('TRACKER - 20220622'!BN161&lt;&gt;"",'TRACKER - 20220622'!BN161,"")</f>
        <v/>
      </c>
      <c r="BG140" t="str">
        <f>IF('TRACKER - 20220622'!BO161&lt;&gt;"",'TRACKER - 20220622'!BO161,"")</f>
        <v/>
      </c>
    </row>
    <row r="141" spans="1:59">
      <c r="A141" t="str">
        <f>IF('TRACKER - 20220622'!A162&lt;&gt;"",UPPER('TRACKER - 20220622'!A162),"")</f>
        <v>PRODUCT ROADMAP</v>
      </c>
      <c r="B141" t="str">
        <f>IF('TRACKER - 20220622'!B162&lt;&gt;"",UPPER('TRACKER - 20220622'!B162),"")</f>
        <v>N</v>
      </c>
      <c r="C141" t="str">
        <f>IF('TRACKER - 20220622'!D145&lt;&gt;"",UPPER('TRACKER - 20220622'!D145),"")</f>
        <v>218</v>
      </c>
      <c r="D141" t="str">
        <f>IF('TRACKER - 20220622'!F162&lt;&gt;"",UPPER('TRACKER - 20220622'!F162),"")</f>
        <v>PRD-REQ-2021-00016</v>
      </c>
      <c r="E141" t="str">
        <f>IF('TRACKER - 20220622'!H162&lt;&gt;"",'TRACKER - 20220622'!H162,"")</f>
        <v>Reg Reporting - EMIR 3.0</v>
      </c>
      <c r="F141" t="str">
        <f t="shared" si="4"/>
        <v>PRD-REQ-2021-00016 Reg Reporting - EMIR 3.0</v>
      </c>
      <c r="G141" t="str">
        <f t="shared" si="5"/>
        <v>00218 - Reg Reporting - EMIR 3.0</v>
      </c>
      <c r="H141">
        <f>IF('TRACKER - 20220622'!J162&lt;&gt;"",'TRACKER - 20220622'!J162,"")</f>
        <v>0</v>
      </c>
      <c r="I141" t="str">
        <f>IF('TRACKER - 20220622'!K145&lt;&gt;"",UPPER('TRACKER - 20220622'!K145),"")</f>
        <v>44034</v>
      </c>
      <c r="J141" t="str">
        <f>IF('TRACKER - 20220622'!L145&lt;&gt;"",UPPER('TRACKER - 20220622'!L145),"")</f>
        <v>43885</v>
      </c>
      <c r="K141" t="str">
        <f>IF('TRACKER - 20220622'!M145&lt;&gt;"",UPPER('TRACKER - 20220622'!M145),"")</f>
        <v>44028</v>
      </c>
      <c r="L141" t="str">
        <f>IF('TRACKER - 20220622'!N145&lt;&gt;"",UPPER('TRACKER - 20220622'!N145),"")</f>
        <v>44034</v>
      </c>
      <c r="M141" t="str">
        <f>IF('TRACKER - 20220622'!O145&lt;&gt;"",UPPER('TRACKER - 20220622'!O145),"")</f>
        <v>43973</v>
      </c>
      <c r="N141" t="str">
        <f>IF('TRACKER - 20220622'!P145&lt;&gt;"",UPPER('TRACKER - 20220622'!P145),"")</f>
        <v>43973</v>
      </c>
      <c r="O141" t="str">
        <f>IF('TRACKER - 20220622'!Q145&lt;&gt;"",UPPER('TRACKER - 20220622'!Q145),"")</f>
        <v>N/A</v>
      </c>
      <c r="P141" t="str">
        <f>IF('TRACKER - 20220622'!R145&lt;&gt;"",UPPER('TRACKER - 20220622'!R145),"")</f>
        <v>CLIENT</v>
      </c>
      <c r="Q141" t="str">
        <f>IF('TRACKER - 20220622'!S145&lt;&gt;"",UPPER('TRACKER - 20220622'!S145),"")</f>
        <v/>
      </c>
      <c r="R141" t="str">
        <f>IF('TRACKER - 20220622'!T145&lt;&gt;"",UPPER('TRACKER - 20220622'!T145),"")</f>
        <v/>
      </c>
      <c r="S141" t="str">
        <f>IF('TRACKER - 20220622'!U145&lt;&gt;"",UPPER('TRACKER - 20220622'!U145),"")</f>
        <v/>
      </c>
      <c r="T141" t="str">
        <f>IF('TRACKER - 20220622'!V145&lt;&gt;"",UPPER('TRACKER - 20220622'!V145),"")</f>
        <v/>
      </c>
      <c r="U141" t="str">
        <f>IF('TRACKER - 20220622'!W145&lt;&gt;"",UPPER('TRACKER - 20220622'!W145),"")</f>
        <v/>
      </c>
      <c r="V141" t="str">
        <f>IF('TRACKER - 20220622'!X145&lt;&gt;"",UPPER('TRACKER - 20220622'!X145),"")</f>
        <v>08/09/20 - JL HAS AGREED TO PROCEED AT-RISK BASED ON VERBAL CONFIRMATION FROM GV.</v>
      </c>
      <c r="W141" t="str">
        <f>IF('TRACKER - 20220622'!Y145&lt;&gt;"",UPPER('TRACKER - 20220622'!Y145),"")</f>
        <v>85365</v>
      </c>
      <c r="X141" t="str">
        <f>IF('TRACKER - 20220622'!Z145&lt;&gt;"",UPPER('TRACKER - 20220622'!Z145),"")</f>
        <v>0</v>
      </c>
      <c r="Y141" t="str">
        <f>IF('TRACKER - 20220622'!AA145&lt;&gt;"",UPPER('TRACKER - 20220622'!AA145),"")</f>
        <v>0</v>
      </c>
      <c r="Z141" t="str">
        <f>IF('TRACKER - 20220622'!AB145&lt;&gt;"",UPPER('TRACKER - 20220622'!AB145),"")</f>
        <v>0</v>
      </c>
      <c r="AA141" t="str">
        <f>IF('TRACKER - 20220622'!AC145&lt;&gt;"",UPPER('TRACKER - 20220622'!AC145),"")</f>
        <v>0</v>
      </c>
      <c r="AB141" t="str">
        <f>IF('TRACKER - 20220622'!AE145&lt;&gt;"",UPPER('TRACKER - 20220622'!AE145),"")</f>
        <v>0</v>
      </c>
      <c r="AC141" t="str">
        <f>IF('TRACKER - 20220622'!AF145&lt;&gt;"",UPPER('TRACKER - 20220622'!AF145),"")</f>
        <v>85365</v>
      </c>
      <c r="AD141" t="str">
        <f>IF('TRACKER - 20220622'!AG145&lt;&gt;"",UPPER('TRACKER - 20220622'!AG145),"")</f>
        <v>0</v>
      </c>
      <c r="AE141" t="str">
        <f>IF('TRACKER - 20220622'!AH145&lt;&gt;"",UPPER('TRACKER - 20220622'!AH145),"")</f>
        <v>180.81</v>
      </c>
      <c r="AF141" t="str">
        <f>IF('TRACKER - 20220622'!AI145&lt;&gt;"",UPPER('TRACKER - 20220622'!AI145),"")</f>
        <v/>
      </c>
      <c r="AG141" t="str">
        <f>IF('TRACKER - 20220622'!AJ145&lt;&gt;"",UPPER('TRACKER - 20220622'!AJ145),"")</f>
        <v>0</v>
      </c>
      <c r="AH141" t="str">
        <f>IF('TRACKER - 20220622'!AK145&lt;&gt;"",UPPER('TRACKER - 20220622'!AK145),"")</f>
        <v/>
      </c>
      <c r="AI141" t="str">
        <f>IF('TRACKER - 20220622'!AL145&lt;&gt;"",UPPER('TRACKER - 20220622'!AL145),"")</f>
        <v>0</v>
      </c>
      <c r="AJ141" t="str">
        <f>IF('TRACKER - 20220622'!AM145&lt;&gt;"",UPPER('TRACKER - 20220622'!AM145),"")</f>
        <v>0</v>
      </c>
      <c r="AK141" t="str">
        <f>IF('TRACKER - 20220622'!AN145&lt;&gt;"",UPPER('TRACKER - 20220622'!AN145),"")</f>
        <v/>
      </c>
      <c r="AL141" t="str">
        <f>IF('TRACKER - 20220622'!AO145&lt;&gt;"",UPPER('TRACKER - 20220622'!AO145),"")</f>
        <v>0</v>
      </c>
      <c r="AM141" t="str">
        <f>IF('TRACKER - 20220622'!AP145&lt;&gt;"",UPPER('TRACKER - 20220622'!AP145),"")</f>
        <v>0</v>
      </c>
      <c r="AN141" t="str">
        <f>IF('TRACKER - 20220622'!AQ145&lt;&gt;"",UPPER('TRACKER - 20220622'!AQ145),"")</f>
        <v>0</v>
      </c>
      <c r="AO141" t="str">
        <f>IF('TRACKER - 20220622'!AR145&lt;&gt;"",UPPER('TRACKER - 20220622'!AR145),"")</f>
        <v>RMB</v>
      </c>
      <c r="AP141" t="str">
        <f>IF('TRACKER - 20220622'!AS145&lt;&gt;"",UPPER('TRACKER - 20220622'!AS145),"")</f>
        <v>RSC</v>
      </c>
      <c r="AQ141" t="str">
        <f>IF('TRACKER - 20220622'!AT145&lt;&gt;"",UPPER('TRACKER - 20220622'!AT145),"")</f>
        <v>Y</v>
      </c>
      <c r="AR141" t="str">
        <f>IF('TRACKER - 20220622'!AU145&lt;&gt;"",UPPER('TRACKER - 20220622'!AU145),"")</f>
        <v>180.81</v>
      </c>
      <c r="AS141" t="str">
        <f>IF('TRACKER - 20220622'!AV145&lt;&gt;"",UPPER('TRACKER - 20220622'!AV145),"")</f>
        <v/>
      </c>
      <c r="AT141" t="str">
        <f>IF('TRACKER - 20220622'!AW145&lt;&gt;"",UPPER('TRACKER - 20220622'!AW145),"")</f>
        <v/>
      </c>
      <c r="AU141" t="str">
        <f>IF('TRACKER - 20220622'!AX145&lt;&gt;"",UPPER('TRACKER - 20220622'!AX145),"")</f>
        <v>REASON145</v>
      </c>
      <c r="AV141" t="str">
        <f>IF('TRACKER - 20220622'!BD162&lt;&gt;"",'TRACKER - 20220622'!BD162,"")</f>
        <v/>
      </c>
      <c r="AW141" t="str">
        <f>IF('TRACKER - 20220622'!BE162&lt;&gt;"",'TRACKER - 20220622'!BE162,"")</f>
        <v/>
      </c>
      <c r="AX141" t="str">
        <f>IF('TRACKER - 20220622'!BF162&lt;&gt;"",'TRACKER - 20220622'!BF162,"")</f>
        <v/>
      </c>
      <c r="AY141" t="str">
        <f>IF('TRACKER - 20220622'!BG162&lt;&gt;"",'TRACKER - 20220622'!BG162,"")</f>
        <v/>
      </c>
      <c r="AZ141" t="str">
        <f>IF('TRACKER - 20220622'!BH162&lt;&gt;"",'TRACKER - 20220622'!BH162,"")</f>
        <v/>
      </c>
      <c r="BA141" t="str">
        <f>IF('TRACKER - 20220622'!BI162&lt;&gt;"",'TRACKER - 20220622'!BI162,"")</f>
        <v/>
      </c>
      <c r="BB141" t="str">
        <f>IF('TRACKER - 20220622'!BJ162&lt;&gt;"",'TRACKER - 20220622'!BJ162,"")</f>
        <v/>
      </c>
      <c r="BC141" t="str">
        <f>IF('TRACKER - 20220622'!BK162&lt;&gt;"",'TRACKER - 20220622'!BK162,"")</f>
        <v/>
      </c>
      <c r="BD141" t="str">
        <f>IF('TRACKER - 20220622'!BL162&lt;&gt;"",'TRACKER - 20220622'!BL162,"")</f>
        <v/>
      </c>
      <c r="BE141" t="str">
        <f>IF('TRACKER - 20220622'!BM162&lt;&gt;"",'TRACKER - 20220622'!BM162,"")</f>
        <v/>
      </c>
      <c r="BF141" t="str">
        <f>IF('TRACKER - 20220622'!BN162&lt;&gt;"",'TRACKER - 20220622'!BN162,"")</f>
        <v/>
      </c>
      <c r="BG141" t="str">
        <f>IF('TRACKER - 20220622'!BO162&lt;&gt;"",'TRACKER - 20220622'!BO162,"")</f>
        <v/>
      </c>
    </row>
    <row r="142" spans="1:59">
      <c r="A142" t="str">
        <f>IF('TRACKER - 20220622'!A163&lt;&gt;"",UPPER('TRACKER - 20220622'!A163),"")</f>
        <v>PRODUCT BACKLOG</v>
      </c>
      <c r="B142" t="str">
        <f>IF('TRACKER - 20220622'!B163&lt;&gt;"",UPPER('TRACKER - 20220622'!B163),"")</f>
        <v>N</v>
      </c>
      <c r="C142" t="str">
        <f>IF('TRACKER - 20220622'!D146&lt;&gt;"",UPPER('TRACKER - 20220622'!D146),"")</f>
        <v>219</v>
      </c>
      <c r="D142" t="str">
        <f>IF('TRACKER - 20220622'!F163&lt;&gt;"",UPPER('TRACKER - 20220622'!F163),"")</f>
        <v>PRD-BLG-2021-00017</v>
      </c>
      <c r="E142" t="str">
        <f>IF('TRACKER - 20220622'!H163&lt;&gt;"",'TRACKER - 20220622'!H163,"")</f>
        <v xml:space="preserve">Load inhouse yield to create reval curve for lesser traded currencies. </v>
      </c>
      <c r="F142" t="str">
        <f t="shared" si="4"/>
        <v xml:space="preserve">PRD-BLG-2021-00017 Load inhouse yield to create reval curve for lesser traded currencies. </v>
      </c>
      <c r="G142" t="str">
        <f t="shared" si="5"/>
        <v xml:space="preserve">00219 - Load inhouse yield to create reval curve for lesser traded currencies. </v>
      </c>
      <c r="H142">
        <f>IF('TRACKER - 20220622'!J163&lt;&gt;"",'TRACKER - 20220622'!J163,"")</f>
        <v>0</v>
      </c>
      <c r="I142" t="str">
        <f>IF('TRACKER - 20220622'!K146&lt;&gt;"",UPPER('TRACKER - 20220622'!K146),"")</f>
        <v>44061</v>
      </c>
      <c r="J142" t="str">
        <f>IF('TRACKER - 20220622'!L146&lt;&gt;"",UPPER('TRACKER - 20220622'!L146),"")</f>
        <v>44042</v>
      </c>
      <c r="K142" t="str">
        <f>IF('TRACKER - 20220622'!M146&lt;&gt;"",UPPER('TRACKER - 20220622'!M146),"")</f>
        <v>44029</v>
      </c>
      <c r="L142" t="str">
        <f>IF('TRACKER - 20220622'!N146&lt;&gt;"",UPPER('TRACKER - 20220622'!N146),"")</f>
        <v>44030</v>
      </c>
      <c r="M142" t="str">
        <f>IF('TRACKER - 20220622'!O146&lt;&gt;"",UPPER('TRACKER - 20220622'!O146),"")</f>
        <v/>
      </c>
      <c r="N142" t="str">
        <f>IF('TRACKER - 20220622'!P146&lt;&gt;"",UPPER('TRACKER - 20220622'!P146),"")</f>
        <v>44061</v>
      </c>
      <c r="O142" t="str">
        <f>IF('TRACKER - 20220622'!Q146&lt;&gt;"",UPPER('TRACKER - 20220622'!Q146),"")</f>
        <v>SALES DESK</v>
      </c>
      <c r="P142" t="str">
        <f>IF('TRACKER - 20220622'!R146&lt;&gt;"",UPPER('TRACKER - 20220622'!R146),"")</f>
        <v>CLIENT</v>
      </c>
      <c r="Q142" t="str">
        <f>IF('TRACKER - 20220622'!S146&lt;&gt;"",UPPER('TRACKER - 20220622'!S146),"")</f>
        <v/>
      </c>
      <c r="R142" t="str">
        <f>IF('TRACKER - 20220622'!T146&lt;&gt;"",UPPER('TRACKER - 20220622'!T146),"")</f>
        <v/>
      </c>
      <c r="S142" t="str">
        <f>IF('TRACKER - 20220622'!U146&lt;&gt;"",UPPER('TRACKER - 20220622'!U146),"")</f>
        <v/>
      </c>
      <c r="T142" t="str">
        <f>IF('TRACKER - 20220622'!V146&lt;&gt;"",UPPER('TRACKER - 20220622'!V146),"")</f>
        <v/>
      </c>
      <c r="U142" t="str">
        <f>IF('TRACKER - 20220622'!W146&lt;&gt;"",UPPER('TRACKER - 20220622'!W146),"")</f>
        <v/>
      </c>
      <c r="V142" t="str">
        <f>IF('TRACKER - 20220622'!X146&lt;&gt;"",UPPER('TRACKER - 20220622'!X146),"")</f>
        <v>20/04/21 - REPORTED AS APPROVED BY CLIENT BY BS @ OPS MEETING 20/04/21</v>
      </c>
      <c r="W142" t="str">
        <f>IF('TRACKER - 20220622'!Y146&lt;&gt;"",UPPER('TRACKER - 20220622'!Y146),"")</f>
        <v>7797.43125</v>
      </c>
      <c r="X142" t="str">
        <f>IF('TRACKER - 20220622'!Z146&lt;&gt;"",UPPER('TRACKER - 20220622'!Z146),"")</f>
        <v>0</v>
      </c>
      <c r="Y142" t="str">
        <f>IF('TRACKER - 20220622'!AA146&lt;&gt;"",UPPER('TRACKER - 20220622'!AA146),"")</f>
        <v>5763.31875</v>
      </c>
      <c r="Z142" t="str">
        <f>IF('TRACKER - 20220622'!AB146&lt;&gt;"",UPPER('TRACKER - 20220622'!AB146),"")</f>
        <v>678.0375</v>
      </c>
      <c r="AA142" t="str">
        <f>IF('TRACKER - 20220622'!AC146&lt;&gt;"",UPPER('TRACKER - 20220622'!AC146),"")</f>
        <v>0</v>
      </c>
      <c r="AB142" t="str">
        <f>IF('TRACKER - 20220622'!AE146&lt;&gt;"",UPPER('TRACKER - 20220622'!AE146),"")</f>
        <v>1356.075</v>
      </c>
      <c r="AC142" t="str">
        <f>IF('TRACKER - 20220622'!AF146&lt;&gt;"",UPPER('TRACKER - 20220622'!AF146),"")</f>
        <v>7797.43125</v>
      </c>
      <c r="AD142" t="str">
        <f>IF('TRACKER - 20220622'!AG146&lt;&gt;"",UPPER('TRACKER - 20220622'!AG146),"")</f>
        <v>0</v>
      </c>
      <c r="AE142" t="str">
        <f>IF('TRACKER - 20220622'!AH146&lt;&gt;"",UPPER('TRACKER - 20220622'!AH146),"")</f>
        <v>180.81</v>
      </c>
      <c r="AF142" t="str">
        <f>IF('TRACKER - 20220622'!AI146&lt;&gt;"",UPPER('TRACKER - 20220622'!AI146),"")</f>
        <v/>
      </c>
      <c r="AG142" t="str">
        <f>IF('TRACKER - 20220622'!AJ146&lt;&gt;"",UPPER('TRACKER - 20220622'!AJ146),"")</f>
        <v>0</v>
      </c>
      <c r="AH142" t="str">
        <f>IF('TRACKER - 20220622'!AK146&lt;&gt;"",UPPER('TRACKER - 20220622'!AK146),"")</f>
        <v/>
      </c>
      <c r="AI142" t="str">
        <f>IF('TRACKER - 20220622'!AL146&lt;&gt;"",UPPER('TRACKER - 20220622'!AL146),"")</f>
        <v>4.25</v>
      </c>
      <c r="AJ142" t="str">
        <f>IF('TRACKER - 20220622'!AM146&lt;&gt;"",UPPER('TRACKER - 20220622'!AM146),"")</f>
        <v>0.5</v>
      </c>
      <c r="AK142" t="str">
        <f>IF('TRACKER - 20220622'!AN146&lt;&gt;"",UPPER('TRACKER - 20220622'!AN146),"")</f>
        <v/>
      </c>
      <c r="AL142" t="str">
        <f>IF('TRACKER - 20220622'!AO146&lt;&gt;"",UPPER('TRACKER - 20220622'!AO146),"")</f>
        <v>1</v>
      </c>
      <c r="AM142" t="str">
        <f>IF('TRACKER - 20220622'!AP146&lt;&gt;"",UPPER('TRACKER - 20220622'!AP146),"")</f>
        <v>5.75</v>
      </c>
      <c r="AN142" t="str">
        <f>IF('TRACKER - 20220622'!AQ146&lt;&gt;"",UPPER('TRACKER - 20220622'!AQ146),"")</f>
        <v>0</v>
      </c>
      <c r="AO142" t="str">
        <f>IF('TRACKER - 20220622'!AR146&lt;&gt;"",UPPER('TRACKER - 20220622'!AR146),"")</f>
        <v>RMB</v>
      </c>
      <c r="AP142" t="str">
        <f>IF('TRACKER - 20220622'!AS146&lt;&gt;"",UPPER('TRACKER - 20220622'!AS146),"")</f>
        <v>RSC</v>
      </c>
      <c r="AQ142" t="str">
        <f>IF('TRACKER - 20220622'!AT146&lt;&gt;"",UPPER('TRACKER - 20220622'!AT146),"")</f>
        <v>Y</v>
      </c>
      <c r="AR142" t="str">
        <f>IF('TRACKER - 20220622'!AU146&lt;&gt;"",UPPER('TRACKER - 20220622'!AU146),"")</f>
        <v>180.81</v>
      </c>
      <c r="AS142" t="str">
        <f>IF('TRACKER - 20220622'!AV146&lt;&gt;"",UPPER('TRACKER - 20220622'!AV146),"")</f>
        <v/>
      </c>
      <c r="AT142" t="str">
        <f>IF('TRACKER - 20220622'!AW146&lt;&gt;"",UPPER('TRACKER - 20220622'!AW146),"")</f>
        <v/>
      </c>
      <c r="AU142" t="str">
        <f>IF('TRACKER - 20220622'!AX146&lt;&gt;"",UPPER('TRACKER - 20220622'!AX146),"")</f>
        <v>REASON146</v>
      </c>
      <c r="AV142" t="str">
        <f>IF('TRACKER - 20220622'!BD163&lt;&gt;"",'TRACKER - 20220622'!BD163,"")</f>
        <v/>
      </c>
      <c r="AW142" t="str">
        <f>IF('TRACKER - 20220622'!BE163&lt;&gt;"",'TRACKER - 20220622'!BE163,"")</f>
        <v/>
      </c>
      <c r="AX142" t="str">
        <f>IF('TRACKER - 20220622'!BF163&lt;&gt;"",'TRACKER - 20220622'!BF163,"")</f>
        <v/>
      </c>
      <c r="AY142" t="str">
        <f>IF('TRACKER - 20220622'!BG163&lt;&gt;"",'TRACKER - 20220622'!BG163,"")</f>
        <v/>
      </c>
      <c r="AZ142" t="str">
        <f>IF('TRACKER - 20220622'!BH163&lt;&gt;"",'TRACKER - 20220622'!BH163,"")</f>
        <v/>
      </c>
      <c r="BA142" t="str">
        <f>IF('TRACKER - 20220622'!BI163&lt;&gt;"",'TRACKER - 20220622'!BI163,"")</f>
        <v/>
      </c>
      <c r="BB142" t="str">
        <f>IF('TRACKER - 20220622'!BJ163&lt;&gt;"",'TRACKER - 20220622'!BJ163,"")</f>
        <v/>
      </c>
      <c r="BC142" t="str">
        <f>IF('TRACKER - 20220622'!BK163&lt;&gt;"",'TRACKER - 20220622'!BK163,"")</f>
        <v/>
      </c>
      <c r="BD142" t="str">
        <f>IF('TRACKER - 20220622'!BL163&lt;&gt;"",'TRACKER - 20220622'!BL163,"")</f>
        <v/>
      </c>
      <c r="BE142" t="str">
        <f>IF('TRACKER - 20220622'!BM163&lt;&gt;"",'TRACKER - 20220622'!BM163,"")</f>
        <v/>
      </c>
      <c r="BF142" t="str">
        <f>IF('TRACKER - 20220622'!BN163&lt;&gt;"",'TRACKER - 20220622'!BN163,"")</f>
        <v/>
      </c>
      <c r="BG142" t="str">
        <f>IF('TRACKER - 20220622'!BO163&lt;&gt;"",'TRACKER - 20220622'!BO163,"")</f>
        <v/>
      </c>
    </row>
    <row r="143" spans="1:59">
      <c r="A143" t="str">
        <f>IF('TRACKER - 20220622'!A164&lt;&gt;"",UPPER('TRACKER - 20220622'!A164),"")</f>
        <v>PRODUCT BACKLOG</v>
      </c>
      <c r="B143" t="str">
        <f>IF('TRACKER - 20220622'!B164&lt;&gt;"",UPPER('TRACKER - 20220622'!B164),"")</f>
        <v>N</v>
      </c>
      <c r="C143" t="str">
        <f>IF('TRACKER - 20220622'!D147&lt;&gt;"",UPPER('TRACKER - 20220622'!D147),"")</f>
        <v>220</v>
      </c>
      <c r="D143" t="str">
        <f>IF('TRACKER - 20220622'!F164&lt;&gt;"",UPPER('TRACKER - 20220622'!F164),"")</f>
        <v>PRD-BLG-2021-00018</v>
      </c>
      <c r="E143" t="str">
        <f>IF('TRACKER - 20220622'!H164&lt;&gt;"",'TRACKER - 20220622'!H164,"")</f>
        <v>Product/Country Exposures</v>
      </c>
      <c r="F143" t="str">
        <f t="shared" si="4"/>
        <v>PRD-BLG-2021-00018 Product/Country Exposures</v>
      </c>
      <c r="G143" t="str">
        <f t="shared" si="5"/>
        <v>00220 - Product/Country Exposures</v>
      </c>
      <c r="H143">
        <f>IF('TRACKER - 20220622'!J164&lt;&gt;"",'TRACKER - 20220622'!J164,"")</f>
        <v>0</v>
      </c>
      <c r="I143" t="str">
        <f>IF('TRACKER - 20220622'!K147&lt;&gt;"",UPPER('TRACKER - 20220622'!K147),"")</f>
        <v>44292</v>
      </c>
      <c r="J143" t="str">
        <f>IF('TRACKER - 20220622'!L147&lt;&gt;"",UPPER('TRACKER - 20220622'!L147),"")</f>
        <v>44292</v>
      </c>
      <c r="K143" t="str">
        <f>IF('TRACKER - 20220622'!M147&lt;&gt;"",UPPER('TRACKER - 20220622'!M147),"")</f>
        <v>44292</v>
      </c>
      <c r="L143" t="str">
        <f>IF('TRACKER - 20220622'!N147&lt;&gt;"",UPPER('TRACKER - 20220622'!N147),"")</f>
        <v>44292</v>
      </c>
      <c r="M143" t="str">
        <f>IF('TRACKER - 20220622'!O147&lt;&gt;"",UPPER('TRACKER - 20220622'!O147),"")</f>
        <v/>
      </c>
      <c r="N143" t="str">
        <f>IF('TRACKER - 20220622'!P147&lt;&gt;"",UPPER('TRACKER - 20220622'!P147),"")</f>
        <v>44292</v>
      </c>
      <c r="O143" t="str">
        <f>IF('TRACKER - 20220622'!Q147&lt;&gt;"",UPPER('TRACKER - 20220622'!Q147),"")</f>
        <v>SALES DESK</v>
      </c>
      <c r="P143" t="str">
        <f>IF('TRACKER - 20220622'!R147&lt;&gt;"",UPPER('TRACKER - 20220622'!R147),"")</f>
        <v>CLIENT</v>
      </c>
      <c r="Q143" t="str">
        <f>IF('TRACKER - 20220622'!S147&lt;&gt;"",UPPER('TRACKER - 20220622'!S147),"")</f>
        <v/>
      </c>
      <c r="R143" t="str">
        <f>IF('TRACKER - 20220622'!T147&lt;&gt;"",UPPER('TRACKER - 20220622'!T147),"")</f>
        <v/>
      </c>
      <c r="S143" t="str">
        <f>IF('TRACKER - 20220622'!U147&lt;&gt;"",UPPER('TRACKER - 20220622'!U147),"")</f>
        <v/>
      </c>
      <c r="T143" t="str">
        <f>IF('TRACKER - 20220622'!V147&lt;&gt;"",UPPER('TRACKER - 20220622'!V147),"")</f>
        <v/>
      </c>
      <c r="U143" t="str">
        <f>IF('TRACKER - 20220622'!W147&lt;&gt;"",UPPER('TRACKER - 20220622'!W147),"")</f>
        <v/>
      </c>
      <c r="V143" t="str">
        <f>IF('TRACKER - 20220622'!X147&lt;&gt;"",UPPER('TRACKER - 20220622'!X147),"")</f>
        <v>20/04/21 - REPORTED AS APPROVED BY CLIENT BY BS @ OPS MEETING 20/04/21</v>
      </c>
      <c r="W143" t="str">
        <f>IF('TRACKER - 20220622'!Y147&lt;&gt;"",UPPER('TRACKER - 20220622'!Y147),"")</f>
        <v>10509.58125</v>
      </c>
      <c r="X143" t="str">
        <f>IF('TRACKER - 20220622'!Z147&lt;&gt;"",UPPER('TRACKER - 20220622'!Z147),"")</f>
        <v>0</v>
      </c>
      <c r="Y143" t="str">
        <f>IF('TRACKER - 20220622'!AA147&lt;&gt;"",UPPER('TRACKER - 20220622'!AA147),"")</f>
        <v>8136.45</v>
      </c>
      <c r="Z143" t="str">
        <f>IF('TRACKER - 20220622'!AB147&lt;&gt;"",UPPER('TRACKER - 20220622'!AB147),"")</f>
        <v>678.0375</v>
      </c>
      <c r="AA143" t="str">
        <f>IF('TRACKER - 20220622'!AC147&lt;&gt;"",UPPER('TRACKER - 20220622'!AC147),"")</f>
        <v>0</v>
      </c>
      <c r="AB143" t="str">
        <f>IF('TRACKER - 20220622'!AE147&lt;&gt;"",UPPER('TRACKER - 20220622'!AE147),"")</f>
        <v>1695.09375</v>
      </c>
      <c r="AC143" t="str">
        <f>IF('TRACKER - 20220622'!AF147&lt;&gt;"",UPPER('TRACKER - 20220622'!AF147),"")</f>
        <v>10509.58125</v>
      </c>
      <c r="AD143" t="str">
        <f>IF('TRACKER - 20220622'!AG147&lt;&gt;"",UPPER('TRACKER - 20220622'!AG147),"")</f>
        <v>0</v>
      </c>
      <c r="AE143" t="str">
        <f>IF('TRACKER - 20220622'!AH147&lt;&gt;"",UPPER('TRACKER - 20220622'!AH147),"")</f>
        <v>180.81</v>
      </c>
      <c r="AF143" t="str">
        <f>IF('TRACKER - 20220622'!AI147&lt;&gt;"",UPPER('TRACKER - 20220622'!AI147),"")</f>
        <v/>
      </c>
      <c r="AG143" t="str">
        <f>IF('TRACKER - 20220622'!AJ147&lt;&gt;"",UPPER('TRACKER - 20220622'!AJ147),"")</f>
        <v>0</v>
      </c>
      <c r="AH143" t="str">
        <f>IF('TRACKER - 20220622'!AK147&lt;&gt;"",UPPER('TRACKER - 20220622'!AK147),"")</f>
        <v/>
      </c>
      <c r="AI143" t="str">
        <f>IF('TRACKER - 20220622'!AL147&lt;&gt;"",UPPER('TRACKER - 20220622'!AL147),"")</f>
        <v>6</v>
      </c>
      <c r="AJ143" t="str">
        <f>IF('TRACKER - 20220622'!AM147&lt;&gt;"",UPPER('TRACKER - 20220622'!AM147),"")</f>
        <v>0.5</v>
      </c>
      <c r="AK143" t="str">
        <f>IF('TRACKER - 20220622'!AN147&lt;&gt;"",UPPER('TRACKER - 20220622'!AN147),"")</f>
        <v/>
      </c>
      <c r="AL143" t="str">
        <f>IF('TRACKER - 20220622'!AO147&lt;&gt;"",UPPER('TRACKER - 20220622'!AO147),"")</f>
        <v>1.25</v>
      </c>
      <c r="AM143" t="str">
        <f>IF('TRACKER - 20220622'!AP147&lt;&gt;"",UPPER('TRACKER - 20220622'!AP147),"")</f>
        <v>7.75</v>
      </c>
      <c r="AN143" t="str">
        <f>IF('TRACKER - 20220622'!AQ147&lt;&gt;"",UPPER('TRACKER - 20220622'!AQ147),"")</f>
        <v>0</v>
      </c>
      <c r="AO143" t="str">
        <f>IF('TRACKER - 20220622'!AR147&lt;&gt;"",UPPER('TRACKER - 20220622'!AR147),"")</f>
        <v>RMB</v>
      </c>
      <c r="AP143" t="str">
        <f>IF('TRACKER - 20220622'!AS147&lt;&gt;"",UPPER('TRACKER - 20220622'!AS147),"")</f>
        <v>RSC</v>
      </c>
      <c r="AQ143" t="str">
        <f>IF('TRACKER - 20220622'!AT147&lt;&gt;"",UPPER('TRACKER - 20220622'!AT147),"")</f>
        <v>Y</v>
      </c>
      <c r="AR143" t="str">
        <f>IF('TRACKER - 20220622'!AU147&lt;&gt;"",UPPER('TRACKER - 20220622'!AU147),"")</f>
        <v>180.81</v>
      </c>
      <c r="AS143" t="str">
        <f>IF('TRACKER - 20220622'!AV147&lt;&gt;"",UPPER('TRACKER - 20220622'!AV147),"")</f>
        <v/>
      </c>
      <c r="AT143" t="str">
        <f>IF('TRACKER - 20220622'!AW147&lt;&gt;"",UPPER('TRACKER - 20220622'!AW147),"")</f>
        <v/>
      </c>
      <c r="AU143" t="str">
        <f>IF('TRACKER - 20220622'!AX147&lt;&gt;"",UPPER('TRACKER - 20220622'!AX147),"")</f>
        <v>REASON147</v>
      </c>
      <c r="AV143" t="str">
        <f>IF('TRACKER - 20220622'!BD164&lt;&gt;"",'TRACKER - 20220622'!BD164,"")</f>
        <v/>
      </c>
      <c r="AW143" t="str">
        <f>IF('TRACKER - 20220622'!BE164&lt;&gt;"",'TRACKER - 20220622'!BE164,"")</f>
        <v/>
      </c>
      <c r="AX143" t="str">
        <f>IF('TRACKER - 20220622'!BF164&lt;&gt;"",'TRACKER - 20220622'!BF164,"")</f>
        <v/>
      </c>
      <c r="AY143" t="str">
        <f>IF('TRACKER - 20220622'!BG164&lt;&gt;"",'TRACKER - 20220622'!BG164,"")</f>
        <v/>
      </c>
      <c r="AZ143" t="str">
        <f>IF('TRACKER - 20220622'!BH164&lt;&gt;"",'TRACKER - 20220622'!BH164,"")</f>
        <v/>
      </c>
      <c r="BA143" t="str">
        <f>IF('TRACKER - 20220622'!BI164&lt;&gt;"",'TRACKER - 20220622'!BI164,"")</f>
        <v/>
      </c>
      <c r="BB143" t="str">
        <f>IF('TRACKER - 20220622'!BJ164&lt;&gt;"",'TRACKER - 20220622'!BJ164,"")</f>
        <v/>
      </c>
      <c r="BC143" t="str">
        <f>IF('TRACKER - 20220622'!BK164&lt;&gt;"",'TRACKER - 20220622'!BK164,"")</f>
        <v/>
      </c>
      <c r="BD143" t="str">
        <f>IF('TRACKER - 20220622'!BL164&lt;&gt;"",'TRACKER - 20220622'!BL164,"")</f>
        <v/>
      </c>
      <c r="BE143" t="str">
        <f>IF('TRACKER - 20220622'!BM164&lt;&gt;"",'TRACKER - 20220622'!BM164,"")</f>
        <v/>
      </c>
      <c r="BF143" t="str">
        <f>IF('TRACKER - 20220622'!BN164&lt;&gt;"",'TRACKER - 20220622'!BN164,"")</f>
        <v/>
      </c>
      <c r="BG143" t="str">
        <f>IF('TRACKER - 20220622'!BO164&lt;&gt;"",'TRACKER - 20220622'!BO164,"")</f>
        <v/>
      </c>
    </row>
    <row r="144" spans="1:59">
      <c r="A144" t="str">
        <f>IF('TRACKER - 20220622'!A165&lt;&gt;"",UPPER('TRACKER - 20220622'!A165),"")</f>
        <v>PRODUCT BACKLOG</v>
      </c>
      <c r="B144" t="str">
        <f>IF('TRACKER - 20220622'!B165&lt;&gt;"",UPPER('TRACKER - 20220622'!B165),"")</f>
        <v>N</v>
      </c>
      <c r="C144" t="str">
        <f>IF('TRACKER - 20220622'!D148&lt;&gt;"",UPPER('TRACKER - 20220622'!D148),"")</f>
        <v>18</v>
      </c>
      <c r="D144" t="str">
        <f>IF('TRACKER - 20220622'!F165&lt;&gt;"",UPPER('TRACKER - 20220622'!F165),"")</f>
        <v>PRD-BLG-2021-00019</v>
      </c>
      <c r="E144" t="str">
        <f>IF('TRACKER - 20220622'!H165&lt;&gt;"",'TRACKER - 20220622'!H165,"")</f>
        <v>AM - Additional Counterparty Data</v>
      </c>
      <c r="F144" t="str">
        <f t="shared" si="4"/>
        <v>PRD-BLG-2021-00019 AM - Additional Counterparty Data</v>
      </c>
      <c r="G144" t="str">
        <f t="shared" si="5"/>
        <v>00018 - AM - Additional Counterparty Data</v>
      </c>
      <c r="H144">
        <f>IF('TRACKER - 20220622'!J165&lt;&gt;"",'TRACKER - 20220622'!J165,"")</f>
        <v>-5625</v>
      </c>
      <c r="I144" t="str">
        <f>IF('TRACKER - 20220622'!K148&lt;&gt;"",UPPER('TRACKER - 20220622'!K148),"")</f>
        <v>44068</v>
      </c>
      <c r="J144" t="str">
        <f>IF('TRACKER - 20220622'!L148&lt;&gt;"",UPPER('TRACKER - 20220622'!L148),"")</f>
        <v>44068</v>
      </c>
      <c r="K144" t="str">
        <f>IF('TRACKER - 20220622'!M148&lt;&gt;"",UPPER('TRACKER - 20220622'!M148),"")</f>
        <v/>
      </c>
      <c r="L144" t="str">
        <f>IF('TRACKER - 20220622'!N148&lt;&gt;"",UPPER('TRACKER - 20220622'!N148),"")</f>
        <v/>
      </c>
      <c r="M144" t="str">
        <f>IF('TRACKER - 20220622'!O148&lt;&gt;"",UPPER('TRACKER - 20220622'!O148),"")</f>
        <v/>
      </c>
      <c r="N144" t="str">
        <f>IF('TRACKER - 20220622'!P148&lt;&gt;"",UPPER('TRACKER - 20220622'!P148),"")</f>
        <v/>
      </c>
      <c r="O144" t="str">
        <f>IF('TRACKER - 20220622'!Q148&lt;&gt;"",UPPER('TRACKER - 20220622'!Q148),"")</f>
        <v>ETRADER</v>
      </c>
      <c r="P144" t="str">
        <f>IF('TRACKER - 20220622'!R148&lt;&gt;"",UPPER('TRACKER - 20220622'!R148),"")</f>
        <v>CLIENT</v>
      </c>
      <c r="Q144" t="str">
        <f>IF('TRACKER - 20220622'!S148&lt;&gt;"",UPPER('TRACKER - 20220622'!S148),"")</f>
        <v/>
      </c>
      <c r="R144" t="str">
        <f>IF('TRACKER - 20220622'!T148&lt;&gt;"",UPPER('TRACKER - 20220622'!T148),"")</f>
        <v/>
      </c>
      <c r="S144" t="str">
        <f>IF('TRACKER - 20220622'!U148&lt;&gt;"",UPPER('TRACKER - 20220622'!U148),"")</f>
        <v/>
      </c>
      <c r="T144" t="str">
        <f>IF('TRACKER - 20220622'!V148&lt;&gt;"",UPPER('TRACKER - 20220622'!V148),"")</f>
        <v/>
      </c>
      <c r="U144" t="str">
        <f>IF('TRACKER - 20220622'!W148&lt;&gt;"",UPPER('TRACKER - 20220622'!W148),"")</f>
        <v/>
      </c>
      <c r="V144" t="str">
        <f>IF('TRACKER - 20220622'!X148&lt;&gt;"",UPPER('TRACKER - 20220622'!X148),"")</f>
        <v>25/08/20 - LOADED FROM PROJECT LOGS FILES</v>
      </c>
      <c r="W144" t="str">
        <f>IF('TRACKER - 20220622'!Y148&lt;&gt;"",UPPER('TRACKER - 20220622'!Y148),"")</f>
        <v>0</v>
      </c>
      <c r="X144" t="str">
        <f>IF('TRACKER - 20220622'!Z148&lt;&gt;"",UPPER('TRACKER - 20220622'!Z148),"")</f>
        <v>0</v>
      </c>
      <c r="Y144" t="str">
        <f>IF('TRACKER - 20220622'!AA148&lt;&gt;"",UPPER('TRACKER - 20220622'!AA148),"")</f>
        <v>0</v>
      </c>
      <c r="Z144" t="str">
        <f>IF('TRACKER - 20220622'!AB148&lt;&gt;"",UPPER('TRACKER - 20220622'!AB148),"")</f>
        <v>0</v>
      </c>
      <c r="AA144" t="str">
        <f>IF('TRACKER - 20220622'!AC148&lt;&gt;"",UPPER('TRACKER - 20220622'!AC148),"")</f>
        <v>0</v>
      </c>
      <c r="AB144" t="str">
        <f>IF('TRACKER - 20220622'!AE148&lt;&gt;"",UPPER('TRACKER - 20220622'!AE148),"")</f>
        <v>0</v>
      </c>
      <c r="AC144" t="str">
        <f>IF('TRACKER - 20220622'!AF148&lt;&gt;"",UPPER('TRACKER - 20220622'!AF148),"")</f>
        <v>0</v>
      </c>
      <c r="AD144" t="str">
        <f>IF('TRACKER - 20220622'!AG148&lt;&gt;"",UPPER('TRACKER - 20220622'!AG148),"")</f>
        <v>0</v>
      </c>
      <c r="AE144" t="str">
        <f>IF('TRACKER - 20220622'!AH148&lt;&gt;"",UPPER('TRACKER - 20220622'!AH148),"")</f>
        <v>0</v>
      </c>
      <c r="AF144" t="str">
        <f>IF('TRACKER - 20220622'!AI148&lt;&gt;"",UPPER('TRACKER - 20220622'!AI148),"")</f>
        <v/>
      </c>
      <c r="AG144" t="str">
        <f>IF('TRACKER - 20220622'!AJ148&lt;&gt;"",UPPER('TRACKER - 20220622'!AJ148),"")</f>
        <v>0.2</v>
      </c>
      <c r="AH144" t="str">
        <f>IF('TRACKER - 20220622'!AK148&lt;&gt;"",UPPER('TRACKER - 20220622'!AK148),"")</f>
        <v/>
      </c>
      <c r="AI144" t="str">
        <f>IF('TRACKER - 20220622'!AL148&lt;&gt;"",UPPER('TRACKER - 20220622'!AL148),"")</f>
        <v>0</v>
      </c>
      <c r="AJ144" t="str">
        <f>IF('TRACKER - 20220622'!AM148&lt;&gt;"",UPPER('TRACKER - 20220622'!AM148),"")</f>
        <v>0</v>
      </c>
      <c r="AK144" t="str">
        <f>IF('TRACKER - 20220622'!AN148&lt;&gt;"",UPPER('TRACKER - 20220622'!AN148),"")</f>
        <v/>
      </c>
      <c r="AL144" t="str">
        <f>IF('TRACKER - 20220622'!AO148&lt;&gt;"",UPPER('TRACKER - 20220622'!AO148),"")</f>
        <v>0</v>
      </c>
      <c r="AM144" t="str">
        <f>IF('TRACKER - 20220622'!AP148&lt;&gt;"",UPPER('TRACKER - 20220622'!AP148),"")</f>
        <v>0</v>
      </c>
      <c r="AN144" t="str">
        <f>IF('TRACKER - 20220622'!AQ148&lt;&gt;"",UPPER('TRACKER - 20220622'!AQ148),"")</f>
        <v>0</v>
      </c>
      <c r="AO144" t="str">
        <f>IF('TRACKER - 20220622'!AR148&lt;&gt;"",UPPER('TRACKER - 20220622'!AR148),"")</f>
        <v>RCB</v>
      </c>
      <c r="AP144" t="str">
        <f>IF('TRACKER - 20220622'!AS148&lt;&gt;"",UPPER('TRACKER - 20220622'!AS148),"")</f>
        <v>RSC</v>
      </c>
      <c r="AQ144" t="str">
        <f>IF('TRACKER - 20220622'!AT148&lt;&gt;"",UPPER('TRACKER - 20220622'!AT148),"")</f>
        <v>Y</v>
      </c>
      <c r="AR144" t="str">
        <f>IF('TRACKER - 20220622'!AU148&lt;&gt;"",UPPER('TRACKER - 20220622'!AU148),"")</f>
        <v>0</v>
      </c>
      <c r="AS144" t="str">
        <f>IF('TRACKER - 20220622'!AV148&lt;&gt;"",UPPER('TRACKER - 20220622'!AV148),"")</f>
        <v/>
      </c>
      <c r="AT144" t="str">
        <f>IF('TRACKER - 20220622'!AW148&lt;&gt;"",UPPER('TRACKER - 20220622'!AW148),"")</f>
        <v/>
      </c>
      <c r="AU144" t="str">
        <f>IF('TRACKER - 20220622'!AX148&lt;&gt;"",UPPER('TRACKER - 20220622'!AX148),"")</f>
        <v>REASON148</v>
      </c>
      <c r="AV144" t="str">
        <f>IF('TRACKER - 20220622'!BD165&lt;&gt;"",'TRACKER - 20220622'!BD165,"")</f>
        <v/>
      </c>
      <c r="AW144" t="str">
        <f>IF('TRACKER - 20220622'!BE165&lt;&gt;"",'TRACKER - 20220622'!BE165,"")</f>
        <v/>
      </c>
      <c r="AX144" t="str">
        <f>IF('TRACKER - 20220622'!BF165&lt;&gt;"",'TRACKER - 20220622'!BF165,"")</f>
        <v/>
      </c>
      <c r="AY144" t="str">
        <f>IF('TRACKER - 20220622'!BG165&lt;&gt;"",'TRACKER - 20220622'!BG165,"")</f>
        <v/>
      </c>
      <c r="AZ144" t="str">
        <f>IF('TRACKER - 20220622'!BH165&lt;&gt;"",'TRACKER - 20220622'!BH165,"")</f>
        <v/>
      </c>
      <c r="BA144" t="str">
        <f>IF('TRACKER - 20220622'!BI165&lt;&gt;"",'TRACKER - 20220622'!BI165,"")</f>
        <v/>
      </c>
      <c r="BB144" t="str">
        <f>IF('TRACKER - 20220622'!BJ165&lt;&gt;"",'TRACKER - 20220622'!BJ165,"")</f>
        <v/>
      </c>
      <c r="BC144" t="str">
        <f>IF('TRACKER - 20220622'!BK165&lt;&gt;"",'TRACKER - 20220622'!BK165,"")</f>
        <v/>
      </c>
      <c r="BD144" t="str">
        <f>IF('TRACKER - 20220622'!BL165&lt;&gt;"",'TRACKER - 20220622'!BL165,"")</f>
        <v/>
      </c>
      <c r="BE144" t="str">
        <f>IF('TRACKER - 20220622'!BM165&lt;&gt;"",'TRACKER - 20220622'!BM165,"")</f>
        <v/>
      </c>
      <c r="BF144" t="str">
        <f>IF('TRACKER - 20220622'!BN165&lt;&gt;"",'TRACKER - 20220622'!BN165,"")</f>
        <v/>
      </c>
      <c r="BG144" t="str">
        <f>IF('TRACKER - 20220622'!BO165&lt;&gt;"",'TRACKER - 20220622'!BO165,"")</f>
        <v/>
      </c>
    </row>
    <row r="145" spans="1:59">
      <c r="A145" t="str">
        <f>IF('TRACKER - 20220622'!A166&lt;&gt;"",UPPER('TRACKER - 20220622'!A166),"")</f>
        <v>PRODUCT BACKLOG</v>
      </c>
      <c r="B145" t="str">
        <f>IF('TRACKER - 20220622'!B166&lt;&gt;"",UPPER('TRACKER - 20220622'!B166),"")</f>
        <v>N</v>
      </c>
      <c r="C145" t="str">
        <f>IF('TRACKER - 20220622'!D149&lt;&gt;"",UPPER('TRACKER - 20220622'!D149),"")</f>
        <v/>
      </c>
      <c r="D145" t="str">
        <f>IF('TRACKER - 20220622'!F166&lt;&gt;"",UPPER('TRACKER - 20220622'!F166),"")</f>
        <v>PRD-BLG-2021-00020</v>
      </c>
      <c r="E145" t="str">
        <f>IF('TRACKER - 20220622'!H166&lt;&gt;"",'TRACKER - 20220622'!H166,"")</f>
        <v>AM - Display of Counterparty Name</v>
      </c>
      <c r="F145" t="str">
        <f t="shared" si="4"/>
        <v>PRD-BLG-2021-00020 AM - Display of Counterparty Name</v>
      </c>
      <c r="G145" t="str">
        <f t="shared" si="5"/>
        <v xml:space="preserve"> - AM - Display of Counterparty Name</v>
      </c>
      <c r="H145">
        <f>IF('TRACKER - 20220622'!J166&lt;&gt;"",'TRACKER - 20220622'!J166,"")</f>
        <v>-4218.75</v>
      </c>
      <c r="I145" t="str">
        <f>IF('TRACKER - 20220622'!K149&lt;&gt;"",UPPER('TRACKER - 20220622'!K149),"")</f>
        <v>43969</v>
      </c>
      <c r="J145" t="str">
        <f>IF('TRACKER - 20220622'!L149&lt;&gt;"",UPPER('TRACKER - 20220622'!L149),"")</f>
        <v>43969</v>
      </c>
      <c r="K145" t="str">
        <f>IF('TRACKER - 20220622'!M149&lt;&gt;"",UPPER('TRACKER - 20220622'!M149),"")</f>
        <v/>
      </c>
      <c r="L145" t="str">
        <f>IF('TRACKER - 20220622'!N149&lt;&gt;"",UPPER('TRACKER - 20220622'!N149),"")</f>
        <v/>
      </c>
      <c r="M145" t="str">
        <f>IF('TRACKER - 20220622'!O149&lt;&gt;"",UPPER('TRACKER - 20220622'!O149),"")</f>
        <v/>
      </c>
      <c r="N145" t="str">
        <f>IF('TRACKER - 20220622'!P149&lt;&gt;"",UPPER('TRACKER - 20220622'!P149),"")</f>
        <v/>
      </c>
      <c r="O145" t="str">
        <f>IF('TRACKER - 20220622'!Q149&lt;&gt;"",UPPER('TRACKER - 20220622'!Q149),"")</f>
        <v>TREASURY</v>
      </c>
      <c r="P145" t="str">
        <f>IF('TRACKER - 20220622'!R149&lt;&gt;"",UPPER('TRACKER - 20220622'!R149),"")</f>
        <v>CLIENT</v>
      </c>
      <c r="Q145" t="str">
        <f>IF('TRACKER - 20220622'!S149&lt;&gt;"",UPPER('TRACKER - 20220622'!S149),"")</f>
        <v/>
      </c>
      <c r="R145" t="str">
        <f>IF('TRACKER - 20220622'!T149&lt;&gt;"",UPPER('TRACKER - 20220622'!T149),"")</f>
        <v/>
      </c>
      <c r="S145" t="str">
        <f>IF('TRACKER - 20220622'!U149&lt;&gt;"",UPPER('TRACKER - 20220622'!U149),"")</f>
        <v/>
      </c>
      <c r="T145" t="str">
        <f>IF('TRACKER - 20220622'!V149&lt;&gt;"",UPPER('TRACKER - 20220622'!V149),"")</f>
        <v/>
      </c>
      <c r="U145" t="str">
        <f>IF('TRACKER - 20220622'!W149&lt;&gt;"",UPPER('TRACKER - 20220622'!W149),"")</f>
        <v/>
      </c>
      <c r="V145" t="str">
        <f>IF('TRACKER - 20220622'!X149&lt;&gt;"",UPPER('TRACKER - 20220622'!X149),"")</f>
        <v>18/05/20 - NO APPROVAL TO WRITE UP. REQUESTED BS TO ACTION. [19/05/20]-BS TO REQUEST JS FOR PERMISSION TO WRITE UP.</v>
      </c>
      <c r="W145" t="str">
        <f>IF('TRACKER - 20220622'!Y149&lt;&gt;"",UPPER('TRACKER - 20220622'!Y149),"")</f>
        <v>0</v>
      </c>
      <c r="X145" t="str">
        <f>IF('TRACKER - 20220622'!Z149&lt;&gt;"",UPPER('TRACKER - 20220622'!Z149),"")</f>
        <v>0</v>
      </c>
      <c r="Y145" t="str">
        <f>IF('TRACKER - 20220622'!AA149&lt;&gt;"",UPPER('TRACKER - 20220622'!AA149),"")</f>
        <v>0</v>
      </c>
      <c r="Z145" t="str">
        <f>IF('TRACKER - 20220622'!AB149&lt;&gt;"",UPPER('TRACKER - 20220622'!AB149),"")</f>
        <v>0</v>
      </c>
      <c r="AA145" t="str">
        <f>IF('TRACKER - 20220622'!AC149&lt;&gt;"",UPPER('TRACKER - 20220622'!AC149),"")</f>
        <v>0</v>
      </c>
      <c r="AB145" t="str">
        <f>IF('TRACKER - 20220622'!AE149&lt;&gt;"",UPPER('TRACKER - 20220622'!AE149),"")</f>
        <v>0</v>
      </c>
      <c r="AC145" t="str">
        <f>IF('TRACKER - 20220622'!AF149&lt;&gt;"",UPPER('TRACKER - 20220622'!AF149),"")</f>
        <v>0</v>
      </c>
      <c r="AD145" t="str">
        <f>IF('TRACKER - 20220622'!AG149&lt;&gt;"",UPPER('TRACKER - 20220622'!AG149),"")</f>
        <v>0</v>
      </c>
      <c r="AE145" t="str">
        <f>IF('TRACKER - 20220622'!AH149&lt;&gt;"",UPPER('TRACKER - 20220622'!AH149),"")</f>
        <v>211.3</v>
      </c>
      <c r="AF145" t="str">
        <f>IF('TRACKER - 20220622'!AI149&lt;&gt;"",UPPER('TRACKER - 20220622'!AI149),"")</f>
        <v/>
      </c>
      <c r="AG145" t="str">
        <f>IF('TRACKER - 20220622'!AJ149&lt;&gt;"",UPPER('TRACKER - 20220622'!AJ149),"")</f>
        <v>0.2</v>
      </c>
      <c r="AH145" t="str">
        <f>IF('TRACKER - 20220622'!AK149&lt;&gt;"",UPPER('TRACKER - 20220622'!AK149),"")</f>
        <v/>
      </c>
      <c r="AI145" t="str">
        <f>IF('TRACKER - 20220622'!AL149&lt;&gt;"",UPPER('TRACKER - 20220622'!AL149),"")</f>
        <v>0</v>
      </c>
      <c r="AJ145" t="str">
        <f>IF('TRACKER - 20220622'!AM149&lt;&gt;"",UPPER('TRACKER - 20220622'!AM149),"")</f>
        <v>0</v>
      </c>
      <c r="AK145" t="str">
        <f>IF('TRACKER - 20220622'!AN149&lt;&gt;"",UPPER('TRACKER - 20220622'!AN149),"")</f>
        <v/>
      </c>
      <c r="AL145" t="str">
        <f>IF('TRACKER - 20220622'!AO149&lt;&gt;"",UPPER('TRACKER - 20220622'!AO149),"")</f>
        <v>0</v>
      </c>
      <c r="AM145" t="str">
        <f>IF('TRACKER - 20220622'!AP149&lt;&gt;"",UPPER('TRACKER - 20220622'!AP149),"")</f>
        <v>0</v>
      </c>
      <c r="AN145" t="str">
        <f>IF('TRACKER - 20220622'!AQ149&lt;&gt;"",UPPER('TRACKER - 20220622'!AQ149),"")</f>
        <v>0</v>
      </c>
      <c r="AO145" t="str">
        <f>IF('TRACKER - 20220622'!AR149&lt;&gt;"",UPPER('TRACKER - 20220622'!AR149),"")</f>
        <v>ZTH</v>
      </c>
      <c r="AP145" t="str">
        <f>IF('TRACKER - 20220622'!AS149&lt;&gt;"",UPPER('TRACKER - 20220622'!AS149),"")</f>
        <v>RSC</v>
      </c>
      <c r="AQ145" t="str">
        <f>IF('TRACKER - 20220622'!AT149&lt;&gt;"",UPPER('TRACKER - 20220622'!AT149),"")</f>
        <v>Y</v>
      </c>
      <c r="AR145" t="str">
        <f>IF('TRACKER - 20220622'!AU149&lt;&gt;"",UPPER('TRACKER - 20220622'!AU149),"")</f>
        <v>211.3</v>
      </c>
      <c r="AS145" t="str">
        <f>IF('TRACKER - 20220622'!AV149&lt;&gt;"",UPPER('TRACKER - 20220622'!AV149),"")</f>
        <v/>
      </c>
      <c r="AT145" t="str">
        <f>IF('TRACKER - 20220622'!AW149&lt;&gt;"",UPPER('TRACKER - 20220622'!AW149),"")</f>
        <v/>
      </c>
      <c r="AU145" t="str">
        <f>IF('TRACKER - 20220622'!AX149&lt;&gt;"",UPPER('TRACKER - 20220622'!AX149),"")</f>
        <v>REASON149</v>
      </c>
      <c r="AV145" t="str">
        <f>IF('TRACKER - 20220622'!BD166&lt;&gt;"",'TRACKER - 20220622'!BD166,"")</f>
        <v/>
      </c>
      <c r="AW145" t="str">
        <f>IF('TRACKER - 20220622'!BE166&lt;&gt;"",'TRACKER - 20220622'!BE166,"")</f>
        <v/>
      </c>
      <c r="AX145" t="str">
        <f>IF('TRACKER - 20220622'!BF166&lt;&gt;"",'TRACKER - 20220622'!BF166,"")</f>
        <v/>
      </c>
      <c r="AY145" t="str">
        <f>IF('TRACKER - 20220622'!BG166&lt;&gt;"",'TRACKER - 20220622'!BG166,"")</f>
        <v/>
      </c>
      <c r="AZ145" t="str">
        <f>IF('TRACKER - 20220622'!BH166&lt;&gt;"",'TRACKER - 20220622'!BH166,"")</f>
        <v/>
      </c>
      <c r="BA145" t="str">
        <f>IF('TRACKER - 20220622'!BI166&lt;&gt;"",'TRACKER - 20220622'!BI166,"")</f>
        <v/>
      </c>
      <c r="BB145" t="str">
        <f>IF('TRACKER - 20220622'!BJ166&lt;&gt;"",'TRACKER - 20220622'!BJ166,"")</f>
        <v/>
      </c>
      <c r="BC145" t="str">
        <f>IF('TRACKER - 20220622'!BK166&lt;&gt;"",'TRACKER - 20220622'!BK166,"")</f>
        <v/>
      </c>
      <c r="BD145" t="str">
        <f>IF('TRACKER - 20220622'!BL166&lt;&gt;"",'TRACKER - 20220622'!BL166,"")</f>
        <v/>
      </c>
      <c r="BE145" t="str">
        <f>IF('TRACKER - 20220622'!BM166&lt;&gt;"",'TRACKER - 20220622'!BM166,"")</f>
        <v/>
      </c>
      <c r="BF145" t="str">
        <f>IF('TRACKER - 20220622'!BN166&lt;&gt;"",'TRACKER - 20220622'!BN166,"")</f>
        <v/>
      </c>
      <c r="BG145" t="str">
        <f>IF('TRACKER - 20220622'!BO166&lt;&gt;"",'TRACKER - 20220622'!BO166,"")</f>
        <v/>
      </c>
    </row>
    <row r="146" spans="1:59">
      <c r="A146" t="str">
        <f>IF('TRACKER - 20220622'!A167&lt;&gt;"",UPPER('TRACKER - 20220622'!A167),"")</f>
        <v>PRODUCT BACKLOG</v>
      </c>
      <c r="B146" t="str">
        <f>IF('TRACKER - 20220622'!B167&lt;&gt;"",UPPER('TRACKER - 20220622'!B167),"")</f>
        <v>N</v>
      </c>
      <c r="C146" t="str">
        <f>IF('TRACKER - 20220622'!D150&lt;&gt;"",UPPER('TRACKER - 20220622'!D150),"")</f>
        <v>48</v>
      </c>
      <c r="D146" t="str">
        <f>IF('TRACKER - 20220622'!F167&lt;&gt;"",UPPER('TRACKER - 20220622'!F167),"")</f>
        <v>PRD-BLG-2021-00021</v>
      </c>
      <c r="E146" t="str">
        <f>IF('TRACKER - 20220622'!H167&lt;&gt;"",'TRACKER - 20220622'!H167,"")</f>
        <v>AM - 'Memo' type of External Margin</v>
      </c>
      <c r="F146" t="str">
        <f t="shared" si="4"/>
        <v>PRD-BLG-2021-00021 AM - 'Memo' type of External Margin</v>
      </c>
      <c r="G146" t="str">
        <f t="shared" si="5"/>
        <v>00048 - AM - 'Memo' type of External Margin</v>
      </c>
      <c r="H146">
        <f>IF('TRACKER - 20220622'!J167&lt;&gt;"",'TRACKER - 20220622'!J167,"")</f>
        <v>-5625</v>
      </c>
      <c r="I146" t="str">
        <f>IF('TRACKER - 20220622'!K150&lt;&gt;"",UPPER('TRACKER - 20220622'!K150),"")</f>
        <v>43971</v>
      </c>
      <c r="J146" t="str">
        <f>IF('TRACKER - 20220622'!L150&lt;&gt;"",UPPER('TRACKER - 20220622'!L150),"")</f>
        <v>43971</v>
      </c>
      <c r="K146" t="str">
        <f>IF('TRACKER - 20220622'!M150&lt;&gt;"",UPPER('TRACKER - 20220622'!M150),"")</f>
        <v/>
      </c>
      <c r="L146" t="str">
        <f>IF('TRACKER - 20220622'!N150&lt;&gt;"",UPPER('TRACKER - 20220622'!N150),"")</f>
        <v/>
      </c>
      <c r="M146" t="str">
        <f>IF('TRACKER - 20220622'!O150&lt;&gt;"",UPPER('TRACKER - 20220622'!O150),"")</f>
        <v/>
      </c>
      <c r="N146" t="str">
        <f>IF('TRACKER - 20220622'!P150&lt;&gt;"",UPPER('TRACKER - 20220622'!P150),"")</f>
        <v/>
      </c>
      <c r="O146" t="str">
        <f>IF('TRACKER - 20220622'!Q150&lt;&gt;"",UPPER('TRACKER - 20220622'!Q150),"")</f>
        <v>TREASURY</v>
      </c>
      <c r="P146" t="str">
        <f>IF('TRACKER - 20220622'!R150&lt;&gt;"",UPPER('TRACKER - 20220622'!R150),"")</f>
        <v>CLIENT</v>
      </c>
      <c r="Q146" t="str">
        <f>IF('TRACKER - 20220622'!S150&lt;&gt;"",UPPER('TRACKER - 20220622'!S150),"")</f>
        <v/>
      </c>
      <c r="R146" t="str">
        <f>IF('TRACKER - 20220622'!T150&lt;&gt;"",UPPER('TRACKER - 20220622'!T150),"")</f>
        <v/>
      </c>
      <c r="S146" t="str">
        <f>IF('TRACKER - 20220622'!U150&lt;&gt;"",UPPER('TRACKER - 20220622'!U150),"")</f>
        <v/>
      </c>
      <c r="T146" t="str">
        <f>IF('TRACKER - 20220622'!V150&lt;&gt;"",UPPER('TRACKER - 20220622'!V150),"")</f>
        <v/>
      </c>
      <c r="U146" t="str">
        <f>IF('TRACKER - 20220622'!W150&lt;&gt;"",UPPER('TRACKER - 20220622'!W150),"")</f>
        <v/>
      </c>
      <c r="V146" t="str">
        <f>IF('TRACKER - 20220622'!X150&lt;&gt;"",UPPER('TRACKER - 20220622'!X150),"")</f>
        <v>FULL SOLUTION</v>
      </c>
      <c r="W146" t="str">
        <f>IF('TRACKER - 20220622'!Y150&lt;&gt;"",UPPER('TRACKER - 20220622'!Y150),"")</f>
        <v>31530.186</v>
      </c>
      <c r="X146" t="str">
        <f>IF('TRACKER - 20220622'!Z150&lt;&gt;"",UPPER('TRACKER - 20220622'!Z150),"")</f>
        <v>0</v>
      </c>
      <c r="Y146" t="str">
        <f>IF('TRACKER - 20220622'!AA150&lt;&gt;"",UPPER('TRACKER - 20220622'!AA150),"")</f>
        <v>22313.28</v>
      </c>
      <c r="Z146" t="str">
        <f>IF('TRACKER - 20220622'!AB150&lt;&gt;"",UPPER('TRACKER - 20220622'!AB150),"")</f>
        <v>522.9675</v>
      </c>
      <c r="AA146" t="str">
        <f>IF('TRACKER - 20220622'!AC150&lt;&gt;"",UPPER('TRACKER - 20220622'!AC150),"")</f>
        <v>0</v>
      </c>
      <c r="AB146" t="str">
        <f>IF('TRACKER - 20220622'!AE150&lt;&gt;"",UPPER('TRACKER - 20220622'!AE150),"")</f>
        <v>3438.9075</v>
      </c>
      <c r="AC146" t="str">
        <f>IF('TRACKER - 20220622'!AF150&lt;&gt;"",UPPER('TRACKER - 20220622'!AF150),"")</f>
        <v>26275.155</v>
      </c>
      <c r="AD146" t="str">
        <f>IF('TRACKER - 20220622'!AG150&lt;&gt;"",UPPER('TRACKER - 20220622'!AG150),"")</f>
        <v>5255.031</v>
      </c>
      <c r="AE146" t="str">
        <f>IF('TRACKER - 20220622'!AH150&lt;&gt;"",UPPER('TRACKER - 20220622'!AH150),"")</f>
        <v>211.3</v>
      </c>
      <c r="AF146" t="str">
        <f>IF('TRACKER - 20220622'!AI150&lt;&gt;"",UPPER('TRACKER - 20220622'!AI150),"")</f>
        <v/>
      </c>
      <c r="AG146" t="str">
        <f>IF('TRACKER - 20220622'!AJ150&lt;&gt;"",UPPER('TRACKER - 20220622'!AJ150),"")</f>
        <v>0.2</v>
      </c>
      <c r="AH146" t="str">
        <f>IF('TRACKER - 20220622'!AK150&lt;&gt;"",UPPER('TRACKER - 20220622'!AK150),"")</f>
        <v/>
      </c>
      <c r="AI146" t="str">
        <f>IF('TRACKER - 20220622'!AL150&lt;&gt;"",UPPER('TRACKER - 20220622'!AL150),"")</f>
        <v>14.08</v>
      </c>
      <c r="AJ146" t="str">
        <f>IF('TRACKER - 20220622'!AM150&lt;&gt;"",UPPER('TRACKER - 20220622'!AM150),"")</f>
        <v>0.33</v>
      </c>
      <c r="AK146" t="str">
        <f>IF('TRACKER - 20220622'!AN150&lt;&gt;"",UPPER('TRACKER - 20220622'!AN150),"")</f>
        <v/>
      </c>
      <c r="AL146" t="str">
        <f>IF('TRACKER - 20220622'!AO150&lt;&gt;"",UPPER('TRACKER - 20220622'!AO150),"")</f>
        <v>2.17</v>
      </c>
      <c r="AM146" t="str">
        <f>IF('TRACKER - 20220622'!AP150&lt;&gt;"",UPPER('TRACKER - 20220622'!AP150),"")</f>
        <v>16.58</v>
      </c>
      <c r="AN146" t="str">
        <f>IF('TRACKER - 20220622'!AQ150&lt;&gt;"",UPPER('TRACKER - 20220622'!AQ150),"")</f>
        <v>3.316</v>
      </c>
      <c r="AO146" t="str">
        <f>IF('TRACKER - 20220622'!AR150&lt;&gt;"",UPPER('TRACKER - 20220622'!AR150),"")</f>
        <v>ZTH</v>
      </c>
      <c r="AP146" t="str">
        <f>IF('TRACKER - 20220622'!AS150&lt;&gt;"",UPPER('TRACKER - 20220622'!AS150),"")</f>
        <v>RSC</v>
      </c>
      <c r="AQ146" t="str">
        <f>IF('TRACKER - 20220622'!AT150&lt;&gt;"",UPPER('TRACKER - 20220622'!AT150),"")</f>
        <v>Y</v>
      </c>
      <c r="AR146" t="str">
        <f>IF('TRACKER - 20220622'!AU150&lt;&gt;"",UPPER('TRACKER - 20220622'!AU150),"")</f>
        <v>211.3</v>
      </c>
      <c r="AS146" t="str">
        <f>IF('TRACKER - 20220622'!AV150&lt;&gt;"",UPPER('TRACKER - 20220622'!AV150),"")</f>
        <v/>
      </c>
      <c r="AT146" t="str">
        <f>IF('TRACKER - 20220622'!AW150&lt;&gt;"",UPPER('TRACKER - 20220622'!AW150),"")</f>
        <v>DESCR150</v>
      </c>
      <c r="AU146" t="str">
        <f>IF('TRACKER - 20220622'!AX150&lt;&gt;"",UPPER('TRACKER - 20220622'!AX150),"")</f>
        <v>REASON150</v>
      </c>
      <c r="AV146" t="str">
        <f>IF('TRACKER - 20220622'!BD167&lt;&gt;"",'TRACKER - 20220622'!BD167,"")</f>
        <v/>
      </c>
      <c r="AW146" t="str">
        <f>IF('TRACKER - 20220622'!BE167&lt;&gt;"",'TRACKER - 20220622'!BE167,"")</f>
        <v/>
      </c>
      <c r="AX146" t="str">
        <f>IF('TRACKER - 20220622'!BF167&lt;&gt;"",'TRACKER - 20220622'!BF167,"")</f>
        <v/>
      </c>
      <c r="AY146" t="str">
        <f>IF('TRACKER - 20220622'!BG167&lt;&gt;"",'TRACKER - 20220622'!BG167,"")</f>
        <v/>
      </c>
      <c r="AZ146" t="str">
        <f>IF('TRACKER - 20220622'!BH167&lt;&gt;"",'TRACKER - 20220622'!BH167,"")</f>
        <v/>
      </c>
      <c r="BA146" t="str">
        <f>IF('TRACKER - 20220622'!BI167&lt;&gt;"",'TRACKER - 20220622'!BI167,"")</f>
        <v/>
      </c>
      <c r="BB146" t="str">
        <f>IF('TRACKER - 20220622'!BJ167&lt;&gt;"",'TRACKER - 20220622'!BJ167,"")</f>
        <v/>
      </c>
      <c r="BC146" t="str">
        <f>IF('TRACKER - 20220622'!BK167&lt;&gt;"",'TRACKER - 20220622'!BK167,"")</f>
        <v/>
      </c>
      <c r="BD146" t="str">
        <f>IF('TRACKER - 20220622'!BL167&lt;&gt;"",'TRACKER - 20220622'!BL167,"")</f>
        <v/>
      </c>
      <c r="BE146" t="str">
        <f>IF('TRACKER - 20220622'!BM167&lt;&gt;"",'TRACKER - 20220622'!BM167,"")</f>
        <v/>
      </c>
      <c r="BF146" t="str">
        <f>IF('TRACKER - 20220622'!BN167&lt;&gt;"",'TRACKER - 20220622'!BN167,"")</f>
        <v/>
      </c>
      <c r="BG146" t="str">
        <f>IF('TRACKER - 20220622'!BO167&lt;&gt;"",'TRACKER - 20220622'!BO167,"")</f>
        <v/>
      </c>
    </row>
    <row r="147" spans="1:59">
      <c r="A147" t="str">
        <f>IF('TRACKER - 20220622'!A168&lt;&gt;"",UPPER('TRACKER - 20220622'!A168),"")</f>
        <v>PRODUCT BACKLOG</v>
      </c>
      <c r="B147" t="str">
        <f>IF('TRACKER - 20220622'!B168&lt;&gt;"",UPPER('TRACKER - 20220622'!B168),"")</f>
        <v>N</v>
      </c>
      <c r="C147" t="str">
        <f>IF('TRACKER - 20220622'!D151&lt;&gt;"",UPPER('TRACKER - 20220622'!D151),"")</f>
        <v>45</v>
      </c>
      <c r="D147" t="str">
        <f>IF('TRACKER - 20220622'!F168&lt;&gt;"",UPPER('TRACKER - 20220622'!F168),"")</f>
        <v>PRD-BLG-2021-00022</v>
      </c>
      <c r="E147" t="str">
        <f>IF('TRACKER - 20220622'!H168&lt;&gt;"",'TRACKER - 20220622'!H168,"")</f>
        <v xml:space="preserve">AM - Display list of all Posted Collateral </v>
      </c>
      <c r="F147" t="str">
        <f t="shared" si="4"/>
        <v xml:space="preserve">PRD-BLG-2021-00022 AM - Display list of all Posted Collateral </v>
      </c>
      <c r="G147" t="str">
        <f t="shared" si="5"/>
        <v xml:space="preserve">00045 - AM - Display list of all Posted Collateral </v>
      </c>
      <c r="H147">
        <f>IF('TRACKER - 20220622'!J168&lt;&gt;"",'TRACKER - 20220622'!J168,"")</f>
        <v>-2812.5</v>
      </c>
      <c r="I147" t="str">
        <f>IF('TRACKER - 20220622'!K151&lt;&gt;"",UPPER('TRACKER - 20220622'!K151),"")</f>
        <v>44068</v>
      </c>
      <c r="J147" t="str">
        <f>IF('TRACKER - 20220622'!L151&lt;&gt;"",UPPER('TRACKER - 20220622'!L151),"")</f>
        <v>44068</v>
      </c>
      <c r="K147" t="str">
        <f>IF('TRACKER - 20220622'!M151&lt;&gt;"",UPPER('TRACKER - 20220622'!M151),"")</f>
        <v/>
      </c>
      <c r="L147" t="str">
        <f>IF('TRACKER - 20220622'!N151&lt;&gt;"",UPPER('TRACKER - 20220622'!N151),"")</f>
        <v/>
      </c>
      <c r="M147" t="str">
        <f>IF('TRACKER - 20220622'!O151&lt;&gt;"",UPPER('TRACKER - 20220622'!O151),"")</f>
        <v/>
      </c>
      <c r="N147" t="str">
        <f>IF('TRACKER - 20220622'!P151&lt;&gt;"",UPPER('TRACKER - 20220622'!P151),"")</f>
        <v/>
      </c>
      <c r="O147" t="str">
        <f>IF('TRACKER - 20220622'!Q151&lt;&gt;"",UPPER('TRACKER - 20220622'!Q151),"")</f>
        <v>TREASURY</v>
      </c>
      <c r="P147" t="str">
        <f>IF('TRACKER - 20220622'!R151&lt;&gt;"",UPPER('TRACKER - 20220622'!R151),"")</f>
        <v>CLIENT</v>
      </c>
      <c r="Q147" t="str">
        <f>IF('TRACKER - 20220622'!S151&lt;&gt;"",UPPER('TRACKER - 20220622'!S151),"")</f>
        <v/>
      </c>
      <c r="R147" t="str">
        <f>IF('TRACKER - 20220622'!T151&lt;&gt;"",UPPER('TRACKER - 20220622'!T151),"")</f>
        <v/>
      </c>
      <c r="S147" t="str">
        <f>IF('TRACKER - 20220622'!U151&lt;&gt;"",UPPER('TRACKER - 20220622'!U151),"")</f>
        <v/>
      </c>
      <c r="T147" t="str">
        <f>IF('TRACKER - 20220622'!V151&lt;&gt;"",UPPER('TRACKER - 20220622'!V151),"")</f>
        <v/>
      </c>
      <c r="U147" t="str">
        <f>IF('TRACKER - 20220622'!W151&lt;&gt;"",UPPER('TRACKER - 20220622'!W151),"")</f>
        <v/>
      </c>
      <c r="V147" t="str">
        <f>IF('TRACKER - 20220622'!X151&lt;&gt;"",UPPER('TRACKER - 20220622'!X151),"")</f>
        <v>BILL TO REVIEW</v>
      </c>
      <c r="W147" t="str">
        <f>IF('TRACKER - 20220622'!Y151&lt;&gt;"",UPPER('TRACKER - 20220622'!Y151),"")</f>
        <v>0</v>
      </c>
      <c r="X147" t="str">
        <f>IF('TRACKER - 20220622'!Z151&lt;&gt;"",UPPER('TRACKER - 20220622'!Z151),"")</f>
        <v>0</v>
      </c>
      <c r="Y147" t="str">
        <f>IF('TRACKER - 20220622'!AA151&lt;&gt;"",UPPER('TRACKER - 20220622'!AA151),"")</f>
        <v>0</v>
      </c>
      <c r="Z147" t="str">
        <f>IF('TRACKER - 20220622'!AB151&lt;&gt;"",UPPER('TRACKER - 20220622'!AB151),"")</f>
        <v>0</v>
      </c>
      <c r="AA147" t="str">
        <f>IF('TRACKER - 20220622'!AC151&lt;&gt;"",UPPER('TRACKER - 20220622'!AC151),"")</f>
        <v>0</v>
      </c>
      <c r="AB147" t="str">
        <f>IF('TRACKER - 20220622'!AE151&lt;&gt;"",UPPER('TRACKER - 20220622'!AE151),"")</f>
        <v>0</v>
      </c>
      <c r="AC147" t="str">
        <f>IF('TRACKER - 20220622'!AF151&lt;&gt;"",UPPER('TRACKER - 20220622'!AF151),"")</f>
        <v>0</v>
      </c>
      <c r="AD147" t="str">
        <f>IF('TRACKER - 20220622'!AG151&lt;&gt;"",UPPER('TRACKER - 20220622'!AG151),"")</f>
        <v>0</v>
      </c>
      <c r="AE147" t="str">
        <f>IF('TRACKER - 20220622'!AH151&lt;&gt;"",UPPER('TRACKER - 20220622'!AH151),"")</f>
        <v>211.3</v>
      </c>
      <c r="AF147" t="str">
        <f>IF('TRACKER - 20220622'!AI151&lt;&gt;"",UPPER('TRACKER - 20220622'!AI151),"")</f>
        <v/>
      </c>
      <c r="AG147" t="str">
        <f>IF('TRACKER - 20220622'!AJ151&lt;&gt;"",UPPER('TRACKER - 20220622'!AJ151),"")</f>
        <v>0.2</v>
      </c>
      <c r="AH147" t="str">
        <f>IF('TRACKER - 20220622'!AK151&lt;&gt;"",UPPER('TRACKER - 20220622'!AK151),"")</f>
        <v/>
      </c>
      <c r="AI147" t="str">
        <f>IF('TRACKER - 20220622'!AL151&lt;&gt;"",UPPER('TRACKER - 20220622'!AL151),"")</f>
        <v>0</v>
      </c>
      <c r="AJ147" t="str">
        <f>IF('TRACKER - 20220622'!AM151&lt;&gt;"",UPPER('TRACKER - 20220622'!AM151),"")</f>
        <v>0</v>
      </c>
      <c r="AK147" t="str">
        <f>IF('TRACKER - 20220622'!AN151&lt;&gt;"",UPPER('TRACKER - 20220622'!AN151),"")</f>
        <v/>
      </c>
      <c r="AL147" t="str">
        <f>IF('TRACKER - 20220622'!AO151&lt;&gt;"",UPPER('TRACKER - 20220622'!AO151),"")</f>
        <v>0</v>
      </c>
      <c r="AM147" t="str">
        <f>IF('TRACKER - 20220622'!AP151&lt;&gt;"",UPPER('TRACKER - 20220622'!AP151),"")</f>
        <v>0</v>
      </c>
      <c r="AN147" t="str">
        <f>IF('TRACKER - 20220622'!AQ151&lt;&gt;"",UPPER('TRACKER - 20220622'!AQ151),"")</f>
        <v>0</v>
      </c>
      <c r="AO147" t="str">
        <f>IF('TRACKER - 20220622'!AR151&lt;&gt;"",UPPER('TRACKER - 20220622'!AR151),"")</f>
        <v>ZTH</v>
      </c>
      <c r="AP147" t="str">
        <f>IF('TRACKER - 20220622'!AS151&lt;&gt;"",UPPER('TRACKER - 20220622'!AS151),"")</f>
        <v>RSC</v>
      </c>
      <c r="AQ147" t="str">
        <f>IF('TRACKER - 20220622'!AT151&lt;&gt;"",UPPER('TRACKER - 20220622'!AT151),"")</f>
        <v>Y</v>
      </c>
      <c r="AR147" t="str">
        <f>IF('TRACKER - 20220622'!AU151&lt;&gt;"",UPPER('TRACKER - 20220622'!AU151),"")</f>
        <v>211.3</v>
      </c>
      <c r="AS147" t="str">
        <f>IF('TRACKER - 20220622'!AV151&lt;&gt;"",UPPER('TRACKER - 20220622'!AV151),"")</f>
        <v/>
      </c>
      <c r="AT147" t="str">
        <f>IF('TRACKER - 20220622'!AW151&lt;&gt;"",UPPER('TRACKER - 20220622'!AW151),"")</f>
        <v>DESCR151</v>
      </c>
      <c r="AU147" t="str">
        <f>IF('TRACKER - 20220622'!AX151&lt;&gt;"",UPPER('TRACKER - 20220622'!AX151),"")</f>
        <v>REASON151</v>
      </c>
      <c r="AV147" t="str">
        <f>IF('TRACKER - 20220622'!BD168&lt;&gt;"",'TRACKER - 20220622'!BD168,"")</f>
        <v/>
      </c>
      <c r="AW147" t="str">
        <f>IF('TRACKER - 20220622'!BE168&lt;&gt;"",'TRACKER - 20220622'!BE168,"")</f>
        <v/>
      </c>
      <c r="AX147" t="str">
        <f>IF('TRACKER - 20220622'!BF168&lt;&gt;"",'TRACKER - 20220622'!BF168,"")</f>
        <v/>
      </c>
      <c r="AY147" t="str">
        <f>IF('TRACKER - 20220622'!BG168&lt;&gt;"",'TRACKER - 20220622'!BG168,"")</f>
        <v/>
      </c>
      <c r="AZ147" t="str">
        <f>IF('TRACKER - 20220622'!BH168&lt;&gt;"",'TRACKER - 20220622'!BH168,"")</f>
        <v/>
      </c>
      <c r="BA147" t="str">
        <f>IF('TRACKER - 20220622'!BI168&lt;&gt;"",'TRACKER - 20220622'!BI168,"")</f>
        <v/>
      </c>
      <c r="BB147" t="str">
        <f>IF('TRACKER - 20220622'!BJ168&lt;&gt;"",'TRACKER - 20220622'!BJ168,"")</f>
        <v/>
      </c>
      <c r="BC147" t="str">
        <f>IF('TRACKER - 20220622'!BK168&lt;&gt;"",'TRACKER - 20220622'!BK168,"")</f>
        <v/>
      </c>
      <c r="BD147" t="str">
        <f>IF('TRACKER - 20220622'!BL168&lt;&gt;"",'TRACKER - 20220622'!BL168,"")</f>
        <v/>
      </c>
      <c r="BE147" t="str">
        <f>IF('TRACKER - 20220622'!BM168&lt;&gt;"",'TRACKER - 20220622'!BM168,"")</f>
        <v/>
      </c>
      <c r="BF147" t="str">
        <f>IF('TRACKER - 20220622'!BN168&lt;&gt;"",'TRACKER - 20220622'!BN168,"")</f>
        <v/>
      </c>
      <c r="BG147" t="str">
        <f>IF('TRACKER - 20220622'!BO168&lt;&gt;"",'TRACKER - 20220622'!BO168,"")</f>
        <v/>
      </c>
    </row>
    <row r="148" spans="1:59">
      <c r="A148" t="str">
        <f>IF('TRACKER - 20220622'!A169&lt;&gt;"",UPPER('TRACKER - 20220622'!A169),"")</f>
        <v>PRODUCT BACKLOG</v>
      </c>
      <c r="B148" t="str">
        <f>IF('TRACKER - 20220622'!B169&lt;&gt;"",UPPER('TRACKER - 20220622'!B169),"")</f>
        <v>N</v>
      </c>
      <c r="C148" t="str">
        <f>IF('TRACKER - 20220622'!D152&lt;&gt;"",UPPER('TRACKER - 20220622'!D152),"")</f>
        <v>52</v>
      </c>
      <c r="D148" t="str">
        <f>IF('TRACKER - 20220622'!F169&lt;&gt;"",UPPER('TRACKER - 20220622'!F169),"")</f>
        <v>PRD-BLG-2021-00023</v>
      </c>
      <c r="E148" t="str">
        <f>IF('TRACKER - 20220622'!H169&lt;&gt;"",'TRACKER - 20220622'!H169,"")</f>
        <v>AM - Display Utilisation as %age</v>
      </c>
      <c r="F148" t="str">
        <f t="shared" si="4"/>
        <v>PRD-BLG-2021-00023 AM - Display Utilisation as %age</v>
      </c>
      <c r="G148" t="str">
        <f t="shared" si="5"/>
        <v>00052 - AM - Display Utilisation as %age</v>
      </c>
      <c r="H148">
        <f>IF('TRACKER - 20220622'!J169&lt;&gt;"",'TRACKER - 20220622'!J169,"")</f>
        <v>-3164.0624999999995</v>
      </c>
      <c r="I148" t="str">
        <f>IF('TRACKER - 20220622'!K152&lt;&gt;"",UPPER('TRACKER - 20220622'!K152),"")</f>
        <v>44068</v>
      </c>
      <c r="J148" t="str">
        <f>IF('TRACKER - 20220622'!L152&lt;&gt;"",UPPER('TRACKER - 20220622'!L152),"")</f>
        <v>44068</v>
      </c>
      <c r="K148" t="str">
        <f>IF('TRACKER - 20220622'!M152&lt;&gt;"",UPPER('TRACKER - 20220622'!M152),"")</f>
        <v/>
      </c>
      <c r="L148" t="str">
        <f>IF('TRACKER - 20220622'!N152&lt;&gt;"",UPPER('TRACKER - 20220622'!N152),"")</f>
        <v/>
      </c>
      <c r="M148" t="str">
        <f>IF('TRACKER - 20220622'!O152&lt;&gt;"",UPPER('TRACKER - 20220622'!O152),"")</f>
        <v/>
      </c>
      <c r="N148" t="str">
        <f>IF('TRACKER - 20220622'!P152&lt;&gt;"",UPPER('TRACKER - 20220622'!P152),"")</f>
        <v/>
      </c>
      <c r="O148" t="str">
        <f>IF('TRACKER - 20220622'!Q152&lt;&gt;"",UPPER('TRACKER - 20220622'!Q152),"")</f>
        <v>PLATFORM</v>
      </c>
      <c r="P148" t="str">
        <f>IF('TRACKER - 20220622'!R152&lt;&gt;"",UPPER('TRACKER - 20220622'!R152),"")</f>
        <v>CLIENT</v>
      </c>
      <c r="Q148" t="str">
        <f>IF('TRACKER - 20220622'!S152&lt;&gt;"",UPPER('TRACKER - 20220622'!S152),"")</f>
        <v/>
      </c>
      <c r="R148" t="str">
        <f>IF('TRACKER - 20220622'!T152&lt;&gt;"",UPPER('TRACKER - 20220622'!T152),"")</f>
        <v/>
      </c>
      <c r="S148" t="str">
        <f>IF('TRACKER - 20220622'!U152&lt;&gt;"",UPPER('TRACKER - 20220622'!U152),"")</f>
        <v/>
      </c>
      <c r="T148" t="str">
        <f>IF('TRACKER - 20220622'!V152&lt;&gt;"",UPPER('TRACKER - 20220622'!V152),"")</f>
        <v/>
      </c>
      <c r="U148" t="str">
        <f>IF('TRACKER - 20220622'!W152&lt;&gt;"",UPPER('TRACKER - 20220622'!W152),"")</f>
        <v/>
      </c>
      <c r="V148" t="str">
        <f>IF('TRACKER - 20220622'!X152&lt;&gt;"",UPPER('TRACKER - 20220622'!X152),"")</f>
        <v>25/08/20 - LOADED FROM PROJECT LOGS FILES</v>
      </c>
      <c r="W148" t="str">
        <f>IF('TRACKER - 20220622'!Y152&lt;&gt;"",UPPER('TRACKER - 20220622'!Y152),"")</f>
        <v>0</v>
      </c>
      <c r="X148" t="str">
        <f>IF('TRACKER - 20220622'!Z152&lt;&gt;"",UPPER('TRACKER - 20220622'!Z152),"")</f>
        <v>0</v>
      </c>
      <c r="Y148" t="str">
        <f>IF('TRACKER - 20220622'!AA152&lt;&gt;"",UPPER('TRACKER - 20220622'!AA152),"")</f>
        <v>0</v>
      </c>
      <c r="Z148" t="str">
        <f>IF('TRACKER - 20220622'!AB152&lt;&gt;"",UPPER('TRACKER - 20220622'!AB152),"")</f>
        <v>0</v>
      </c>
      <c r="AA148" t="str">
        <f>IF('TRACKER - 20220622'!AC152&lt;&gt;"",UPPER('TRACKER - 20220622'!AC152),"")</f>
        <v>0</v>
      </c>
      <c r="AB148" t="str">
        <f>IF('TRACKER - 20220622'!AE152&lt;&gt;"",UPPER('TRACKER - 20220622'!AE152),"")</f>
        <v>0</v>
      </c>
      <c r="AC148" t="str">
        <f>IF('TRACKER - 20220622'!AF152&lt;&gt;"",UPPER('TRACKER - 20220622'!AF152),"")</f>
        <v>0</v>
      </c>
      <c r="AD148" t="str">
        <f>IF('TRACKER - 20220622'!AG152&lt;&gt;"",UPPER('TRACKER - 20220622'!AG152),"")</f>
        <v>0</v>
      </c>
      <c r="AE148" t="str">
        <f>IF('TRACKER - 20220622'!AH152&lt;&gt;"",UPPER('TRACKER - 20220622'!AH152),"")</f>
        <v>211.3</v>
      </c>
      <c r="AF148" t="str">
        <f>IF('TRACKER - 20220622'!AI152&lt;&gt;"",UPPER('TRACKER - 20220622'!AI152),"")</f>
        <v/>
      </c>
      <c r="AG148" t="str">
        <f>IF('TRACKER - 20220622'!AJ152&lt;&gt;"",UPPER('TRACKER - 20220622'!AJ152),"")</f>
        <v>0.2</v>
      </c>
      <c r="AH148" t="str">
        <f>IF('TRACKER - 20220622'!AK152&lt;&gt;"",UPPER('TRACKER - 20220622'!AK152),"")</f>
        <v/>
      </c>
      <c r="AI148" t="str">
        <f>IF('TRACKER - 20220622'!AL152&lt;&gt;"",UPPER('TRACKER - 20220622'!AL152),"")</f>
        <v>0</v>
      </c>
      <c r="AJ148" t="str">
        <f>IF('TRACKER - 20220622'!AM152&lt;&gt;"",UPPER('TRACKER - 20220622'!AM152),"")</f>
        <v>0</v>
      </c>
      <c r="AK148" t="str">
        <f>IF('TRACKER - 20220622'!AN152&lt;&gt;"",UPPER('TRACKER - 20220622'!AN152),"")</f>
        <v/>
      </c>
      <c r="AL148" t="str">
        <f>IF('TRACKER - 20220622'!AO152&lt;&gt;"",UPPER('TRACKER - 20220622'!AO152),"")</f>
        <v>0</v>
      </c>
      <c r="AM148" t="str">
        <f>IF('TRACKER - 20220622'!AP152&lt;&gt;"",UPPER('TRACKER - 20220622'!AP152),"")</f>
        <v>0</v>
      </c>
      <c r="AN148" t="str">
        <f>IF('TRACKER - 20220622'!AQ152&lt;&gt;"",UPPER('TRACKER - 20220622'!AQ152),"")</f>
        <v>0</v>
      </c>
      <c r="AO148" t="str">
        <f>IF('TRACKER - 20220622'!AR152&lt;&gt;"",UPPER('TRACKER - 20220622'!AR152),"")</f>
        <v>ZTH</v>
      </c>
      <c r="AP148" t="str">
        <f>IF('TRACKER - 20220622'!AS152&lt;&gt;"",UPPER('TRACKER - 20220622'!AS152),"")</f>
        <v>RSC</v>
      </c>
      <c r="AQ148" t="str">
        <f>IF('TRACKER - 20220622'!AT152&lt;&gt;"",UPPER('TRACKER - 20220622'!AT152),"")</f>
        <v>Y</v>
      </c>
      <c r="AR148" t="str">
        <f>IF('TRACKER - 20220622'!AU152&lt;&gt;"",UPPER('TRACKER - 20220622'!AU152),"")</f>
        <v>211.3</v>
      </c>
      <c r="AS148" t="str">
        <f>IF('TRACKER - 20220622'!AV152&lt;&gt;"",UPPER('TRACKER - 20220622'!AV152),"")</f>
        <v/>
      </c>
      <c r="AT148" t="str">
        <f>IF('TRACKER - 20220622'!AW152&lt;&gt;"",UPPER('TRACKER - 20220622'!AW152),"")</f>
        <v>DESCR152</v>
      </c>
      <c r="AU148" t="str">
        <f>IF('TRACKER - 20220622'!AX152&lt;&gt;"",UPPER('TRACKER - 20220622'!AX152),"")</f>
        <v>REASON152</v>
      </c>
      <c r="AV148" t="str">
        <f>IF('TRACKER - 20220622'!BD169&lt;&gt;"",'TRACKER - 20220622'!BD169,"")</f>
        <v/>
      </c>
      <c r="AW148" t="str">
        <f>IF('TRACKER - 20220622'!BE169&lt;&gt;"",'TRACKER - 20220622'!BE169,"")</f>
        <v/>
      </c>
      <c r="AX148" t="str">
        <f>IF('TRACKER - 20220622'!BF169&lt;&gt;"",'TRACKER - 20220622'!BF169,"")</f>
        <v/>
      </c>
      <c r="AY148" t="str">
        <f>IF('TRACKER - 20220622'!BG169&lt;&gt;"",'TRACKER - 20220622'!BG169,"")</f>
        <v/>
      </c>
      <c r="AZ148" t="str">
        <f>IF('TRACKER - 20220622'!BH169&lt;&gt;"",'TRACKER - 20220622'!BH169,"")</f>
        <v/>
      </c>
      <c r="BA148" t="str">
        <f>IF('TRACKER - 20220622'!BI169&lt;&gt;"",'TRACKER - 20220622'!BI169,"")</f>
        <v/>
      </c>
      <c r="BB148" t="str">
        <f>IF('TRACKER - 20220622'!BJ169&lt;&gt;"",'TRACKER - 20220622'!BJ169,"")</f>
        <v/>
      </c>
      <c r="BC148" t="str">
        <f>IF('TRACKER - 20220622'!BK169&lt;&gt;"",'TRACKER - 20220622'!BK169,"")</f>
        <v/>
      </c>
      <c r="BD148" t="str">
        <f>IF('TRACKER - 20220622'!BL169&lt;&gt;"",'TRACKER - 20220622'!BL169,"")</f>
        <v/>
      </c>
      <c r="BE148" t="str">
        <f>IF('TRACKER - 20220622'!BM169&lt;&gt;"",'TRACKER - 20220622'!BM169,"")</f>
        <v/>
      </c>
      <c r="BF148" t="str">
        <f>IF('TRACKER - 20220622'!BN169&lt;&gt;"",'TRACKER - 20220622'!BN169,"")</f>
        <v/>
      </c>
      <c r="BG148" t="str">
        <f>IF('TRACKER - 20220622'!BO169&lt;&gt;"",'TRACKER - 20220622'!BO169,"")</f>
        <v/>
      </c>
    </row>
    <row r="149" spans="1:59">
      <c r="A149" t="str">
        <f>IF('TRACKER - 20220622'!A170&lt;&gt;"",UPPER('TRACKER - 20220622'!A170),"")</f>
        <v>PRODUCT BACKLOG</v>
      </c>
      <c r="B149" t="str">
        <f>IF('TRACKER - 20220622'!B170&lt;&gt;"",UPPER('TRACKER - 20220622'!B170),"")</f>
        <v>N</v>
      </c>
      <c r="C149" t="str">
        <f>IF('TRACKER - 20220622'!D153&lt;&gt;"",UPPER('TRACKER - 20220622'!D153),"")</f>
        <v>53</v>
      </c>
      <c r="D149" t="str">
        <f>IF('TRACKER - 20220622'!F170&lt;&gt;"",UPPER('TRACKER - 20220622'!F170),"")</f>
        <v>PRD-BLG-2021-00024</v>
      </c>
      <c r="E149" t="str">
        <f>IF('TRACKER - 20220622'!H170&lt;&gt;"",'TRACKER - 20220622'!H170,"")</f>
        <v>AM - Netting of Initial Margin</v>
      </c>
      <c r="F149" t="str">
        <f t="shared" si="4"/>
        <v>PRD-BLG-2021-00024 AM - Netting of Initial Margin</v>
      </c>
      <c r="G149" t="str">
        <f t="shared" si="5"/>
        <v>00053 - AM - Netting of Initial Margin</v>
      </c>
      <c r="H149">
        <f>IF('TRACKER - 20220622'!J170&lt;&gt;"",'TRACKER - 20220622'!J170,"")</f>
        <v>-70312.5</v>
      </c>
      <c r="I149" t="str">
        <f>IF('TRACKER - 20220622'!K153&lt;&gt;"",UPPER('TRACKER - 20220622'!K153),"")</f>
        <v>44068</v>
      </c>
      <c r="J149" t="str">
        <f>IF('TRACKER - 20220622'!L153&lt;&gt;"",UPPER('TRACKER - 20220622'!L153),"")</f>
        <v>44068</v>
      </c>
      <c r="K149" t="str">
        <f>IF('TRACKER - 20220622'!M153&lt;&gt;"",UPPER('TRACKER - 20220622'!M153),"")</f>
        <v/>
      </c>
      <c r="L149" t="str">
        <f>IF('TRACKER - 20220622'!N153&lt;&gt;"",UPPER('TRACKER - 20220622'!N153),"")</f>
        <v/>
      </c>
      <c r="M149" t="str">
        <f>IF('TRACKER - 20220622'!O153&lt;&gt;"",UPPER('TRACKER - 20220622'!O153),"")</f>
        <v/>
      </c>
      <c r="N149" t="str">
        <f>IF('TRACKER - 20220622'!P153&lt;&gt;"",UPPER('TRACKER - 20220622'!P153),"")</f>
        <v/>
      </c>
      <c r="O149" t="str">
        <f>IF('TRACKER - 20220622'!Q153&lt;&gt;"",UPPER('TRACKER - 20220622'!Q153),"")</f>
        <v>PLATFORM</v>
      </c>
      <c r="P149" t="str">
        <f>IF('TRACKER - 20220622'!R153&lt;&gt;"",UPPER('TRACKER - 20220622'!R153),"")</f>
        <v>CLIENT</v>
      </c>
      <c r="Q149" t="str">
        <f>IF('TRACKER - 20220622'!S153&lt;&gt;"",UPPER('TRACKER - 20220622'!S153),"")</f>
        <v/>
      </c>
      <c r="R149" t="str">
        <f>IF('TRACKER - 20220622'!T153&lt;&gt;"",UPPER('TRACKER - 20220622'!T153),"")</f>
        <v/>
      </c>
      <c r="S149" t="str">
        <f>IF('TRACKER - 20220622'!U153&lt;&gt;"",UPPER('TRACKER - 20220622'!U153),"")</f>
        <v/>
      </c>
      <c r="T149" t="str">
        <f>IF('TRACKER - 20220622'!V153&lt;&gt;"",UPPER('TRACKER - 20220622'!V153),"")</f>
        <v/>
      </c>
      <c r="U149" t="str">
        <f>IF('TRACKER - 20220622'!W153&lt;&gt;"",UPPER('TRACKER - 20220622'!W153),"")</f>
        <v/>
      </c>
      <c r="V149" t="str">
        <f>IF('TRACKER - 20220622'!X153&lt;&gt;"",UPPER('TRACKER - 20220622'!X153),"")</f>
        <v>25/08/20 - LOADED FROM PROJECT LOGS FILES</v>
      </c>
      <c r="W149" t="str">
        <f>IF('TRACKER - 20220622'!Y153&lt;&gt;"",UPPER('TRACKER - 20220622'!Y153),"")</f>
        <v>0</v>
      </c>
      <c r="X149" t="str">
        <f>IF('TRACKER - 20220622'!Z153&lt;&gt;"",UPPER('TRACKER - 20220622'!Z153),"")</f>
        <v>0</v>
      </c>
      <c r="Y149" t="str">
        <f>IF('TRACKER - 20220622'!AA153&lt;&gt;"",UPPER('TRACKER - 20220622'!AA153),"")</f>
        <v>0</v>
      </c>
      <c r="Z149" t="str">
        <f>IF('TRACKER - 20220622'!AB153&lt;&gt;"",UPPER('TRACKER - 20220622'!AB153),"")</f>
        <v>0</v>
      </c>
      <c r="AA149" t="str">
        <f>IF('TRACKER - 20220622'!AC153&lt;&gt;"",UPPER('TRACKER - 20220622'!AC153),"")</f>
        <v>0</v>
      </c>
      <c r="AB149" t="str">
        <f>IF('TRACKER - 20220622'!AE153&lt;&gt;"",UPPER('TRACKER - 20220622'!AE153),"")</f>
        <v>0</v>
      </c>
      <c r="AC149" t="str">
        <f>IF('TRACKER - 20220622'!AF153&lt;&gt;"",UPPER('TRACKER - 20220622'!AF153),"")</f>
        <v>0</v>
      </c>
      <c r="AD149" t="str">
        <f>IF('TRACKER - 20220622'!AG153&lt;&gt;"",UPPER('TRACKER - 20220622'!AG153),"")</f>
        <v>0</v>
      </c>
      <c r="AE149" t="str">
        <f>IF('TRACKER - 20220622'!AH153&lt;&gt;"",UPPER('TRACKER - 20220622'!AH153),"")</f>
        <v>211.3</v>
      </c>
      <c r="AF149" t="str">
        <f>IF('TRACKER - 20220622'!AI153&lt;&gt;"",UPPER('TRACKER - 20220622'!AI153),"")</f>
        <v/>
      </c>
      <c r="AG149" t="str">
        <f>IF('TRACKER - 20220622'!AJ153&lt;&gt;"",UPPER('TRACKER - 20220622'!AJ153),"")</f>
        <v>0.2</v>
      </c>
      <c r="AH149" t="str">
        <f>IF('TRACKER - 20220622'!AK153&lt;&gt;"",UPPER('TRACKER - 20220622'!AK153),"")</f>
        <v/>
      </c>
      <c r="AI149" t="str">
        <f>IF('TRACKER - 20220622'!AL153&lt;&gt;"",UPPER('TRACKER - 20220622'!AL153),"")</f>
        <v>0</v>
      </c>
      <c r="AJ149" t="str">
        <f>IF('TRACKER - 20220622'!AM153&lt;&gt;"",UPPER('TRACKER - 20220622'!AM153),"")</f>
        <v>0</v>
      </c>
      <c r="AK149" t="str">
        <f>IF('TRACKER - 20220622'!AN153&lt;&gt;"",UPPER('TRACKER - 20220622'!AN153),"")</f>
        <v/>
      </c>
      <c r="AL149" t="str">
        <f>IF('TRACKER - 20220622'!AO153&lt;&gt;"",UPPER('TRACKER - 20220622'!AO153),"")</f>
        <v>0</v>
      </c>
      <c r="AM149" t="str">
        <f>IF('TRACKER - 20220622'!AP153&lt;&gt;"",UPPER('TRACKER - 20220622'!AP153),"")</f>
        <v>0</v>
      </c>
      <c r="AN149" t="str">
        <f>IF('TRACKER - 20220622'!AQ153&lt;&gt;"",UPPER('TRACKER - 20220622'!AQ153),"")</f>
        <v>0</v>
      </c>
      <c r="AO149" t="str">
        <f>IF('TRACKER - 20220622'!AR153&lt;&gt;"",UPPER('TRACKER - 20220622'!AR153),"")</f>
        <v>ZTH</v>
      </c>
      <c r="AP149" t="str">
        <f>IF('TRACKER - 20220622'!AS153&lt;&gt;"",UPPER('TRACKER - 20220622'!AS153),"")</f>
        <v>RSC</v>
      </c>
      <c r="AQ149" t="str">
        <f>IF('TRACKER - 20220622'!AT153&lt;&gt;"",UPPER('TRACKER - 20220622'!AT153),"")</f>
        <v>Y</v>
      </c>
      <c r="AR149" t="str">
        <f>IF('TRACKER - 20220622'!AU153&lt;&gt;"",UPPER('TRACKER - 20220622'!AU153),"")</f>
        <v>211.3</v>
      </c>
      <c r="AS149" t="str">
        <f>IF('TRACKER - 20220622'!AV153&lt;&gt;"",UPPER('TRACKER - 20220622'!AV153),"")</f>
        <v/>
      </c>
      <c r="AT149" t="str">
        <f>IF('TRACKER - 20220622'!AW153&lt;&gt;"",UPPER('TRACKER - 20220622'!AW153),"")</f>
        <v/>
      </c>
      <c r="AU149" t="str">
        <f>IF('TRACKER - 20220622'!AX153&lt;&gt;"",UPPER('TRACKER - 20220622'!AX153),"")</f>
        <v>REASON153</v>
      </c>
      <c r="AV149" t="str">
        <f>IF('TRACKER - 20220622'!BD170&lt;&gt;"",'TRACKER - 20220622'!BD170,"")</f>
        <v/>
      </c>
      <c r="AW149" t="str">
        <f>IF('TRACKER - 20220622'!BE170&lt;&gt;"",'TRACKER - 20220622'!BE170,"")</f>
        <v/>
      </c>
      <c r="AX149" t="str">
        <f>IF('TRACKER - 20220622'!BF170&lt;&gt;"",'TRACKER - 20220622'!BF170,"")</f>
        <v/>
      </c>
      <c r="AY149" t="str">
        <f>IF('TRACKER - 20220622'!BG170&lt;&gt;"",'TRACKER - 20220622'!BG170,"")</f>
        <v/>
      </c>
      <c r="AZ149" t="str">
        <f>IF('TRACKER - 20220622'!BH170&lt;&gt;"",'TRACKER - 20220622'!BH170,"")</f>
        <v/>
      </c>
      <c r="BA149" t="str">
        <f>IF('TRACKER - 20220622'!BI170&lt;&gt;"",'TRACKER - 20220622'!BI170,"")</f>
        <v/>
      </c>
      <c r="BB149" t="str">
        <f>IF('TRACKER - 20220622'!BJ170&lt;&gt;"",'TRACKER - 20220622'!BJ170,"")</f>
        <v/>
      </c>
      <c r="BC149" t="str">
        <f>IF('TRACKER - 20220622'!BK170&lt;&gt;"",'TRACKER - 20220622'!BK170,"")</f>
        <v/>
      </c>
      <c r="BD149" t="str">
        <f>IF('TRACKER - 20220622'!BL170&lt;&gt;"",'TRACKER - 20220622'!BL170,"")</f>
        <v/>
      </c>
      <c r="BE149" t="str">
        <f>IF('TRACKER - 20220622'!BM170&lt;&gt;"",'TRACKER - 20220622'!BM170,"")</f>
        <v/>
      </c>
      <c r="BF149" t="str">
        <f>IF('TRACKER - 20220622'!BN170&lt;&gt;"",'TRACKER - 20220622'!BN170,"")</f>
        <v/>
      </c>
      <c r="BG149" t="str">
        <f>IF('TRACKER - 20220622'!BO170&lt;&gt;"",'TRACKER - 20220622'!BO170,"")</f>
        <v/>
      </c>
    </row>
    <row r="150" spans="1:59">
      <c r="A150" t="str">
        <f>IF('TRACKER - 20220622'!A171&lt;&gt;"",UPPER('TRACKER - 20220622'!A171),"")</f>
        <v>PRODUCT BACKLOG</v>
      </c>
      <c r="B150" t="str">
        <f>IF('TRACKER - 20220622'!B171&lt;&gt;"",UPPER('TRACKER - 20220622'!B171),"")</f>
        <v>N</v>
      </c>
      <c r="C150" t="str">
        <f>IF('TRACKER - 20220622'!D154&lt;&gt;"",UPPER('TRACKER - 20220622'!D154),"")</f>
        <v>8</v>
      </c>
      <c r="D150" t="str">
        <f>IF('TRACKER - 20220622'!F171&lt;&gt;"",UPPER('TRACKER - 20220622'!F171),"")</f>
        <v>PRD-BLG-2021-00025</v>
      </c>
      <c r="E150" t="str">
        <f>IF('TRACKER - 20220622'!H171&lt;&gt;"",'TRACKER - 20220622'!H171,"")</f>
        <v>AM - Utilisation of Collateral for CSA</v>
      </c>
      <c r="F150" t="str">
        <f t="shared" si="4"/>
        <v>PRD-BLG-2021-00025 AM - Utilisation of Collateral for CSA</v>
      </c>
      <c r="G150" t="str">
        <f t="shared" si="5"/>
        <v>00008 - AM - Utilisation of Collateral for CSA</v>
      </c>
      <c r="H150">
        <f>IF('TRACKER - 20220622'!J171&lt;&gt;"",'TRACKER - 20220622'!J171,"")</f>
        <v>-3515.625</v>
      </c>
      <c r="I150" t="str">
        <f>IF('TRACKER - 20220622'!K154&lt;&gt;"",UPPER('TRACKER - 20220622'!K154),"")</f>
        <v>44287</v>
      </c>
      <c r="J150" t="str">
        <f>IF('TRACKER - 20220622'!L154&lt;&gt;"",UPPER('TRACKER - 20220622'!L154),"")</f>
        <v>44287</v>
      </c>
      <c r="K150" t="str">
        <f>IF('TRACKER - 20220622'!M154&lt;&gt;"",UPPER('TRACKER - 20220622'!M154),"")</f>
        <v/>
      </c>
      <c r="L150" t="str">
        <f>IF('TRACKER - 20220622'!N154&lt;&gt;"",UPPER('TRACKER - 20220622'!N154),"")</f>
        <v/>
      </c>
      <c r="M150" t="str">
        <f>IF('TRACKER - 20220622'!O154&lt;&gt;"",UPPER('TRACKER - 20220622'!O154),"")</f>
        <v/>
      </c>
      <c r="N150" t="str">
        <f>IF('TRACKER - 20220622'!P154&lt;&gt;"",UPPER('TRACKER - 20220622'!P154),"")</f>
        <v/>
      </c>
      <c r="O150" t="str">
        <f>IF('TRACKER - 20220622'!Q154&lt;&gt;"",UPPER('TRACKER - 20220622'!Q154),"")</f>
        <v>REGULATORY</v>
      </c>
      <c r="P150" t="str">
        <f>IF('TRACKER - 20220622'!R154&lt;&gt;"",UPPER('TRACKER - 20220622'!R154),"")</f>
        <v>PROSPECT</v>
      </c>
      <c r="Q150" t="str">
        <f>IF('TRACKER - 20220622'!S154&lt;&gt;"",UPPER('TRACKER - 20220622'!S154),"")</f>
        <v/>
      </c>
      <c r="R150" t="str">
        <f>IF('TRACKER - 20220622'!T154&lt;&gt;"",UPPER('TRACKER - 20220622'!T154),"")</f>
        <v/>
      </c>
      <c r="S150" t="str">
        <f>IF('TRACKER - 20220622'!U154&lt;&gt;"",UPPER('TRACKER - 20220622'!U154),"")</f>
        <v/>
      </c>
      <c r="T150" t="str">
        <f>IF('TRACKER - 20220622'!V154&lt;&gt;"",UPPER('TRACKER - 20220622'!V154),"")</f>
        <v/>
      </c>
      <c r="U150" t="str">
        <f>IF('TRACKER - 20220622'!W154&lt;&gt;"",UPPER('TRACKER - 20220622'!W154),"")</f>
        <v/>
      </c>
      <c r="V150" t="str">
        <f>IF('TRACKER - 20220622'!X154&lt;&gt;"",UPPER('TRACKER - 20220622'!X154),"")</f>
        <v>1/4/21 - SEB REG REPORTING RFI</v>
      </c>
      <c r="W150" t="str">
        <f>IF('TRACKER - 20220622'!Y154&lt;&gt;"",UPPER('TRACKER - 20220622'!Y154),"")</f>
        <v>0</v>
      </c>
      <c r="X150" t="str">
        <f>IF('TRACKER - 20220622'!Z154&lt;&gt;"",UPPER('TRACKER - 20220622'!Z154),"")</f>
        <v>0</v>
      </c>
      <c r="Y150" t="str">
        <f>IF('TRACKER - 20220622'!AA154&lt;&gt;"",UPPER('TRACKER - 20220622'!AA154),"")</f>
        <v>0</v>
      </c>
      <c r="Z150" t="str">
        <f>IF('TRACKER - 20220622'!AB154&lt;&gt;"",UPPER('TRACKER - 20220622'!AB154),"")</f>
        <v>0</v>
      </c>
      <c r="AA150" t="str">
        <f>IF('TRACKER - 20220622'!AC154&lt;&gt;"",UPPER('TRACKER - 20220622'!AC154),"")</f>
        <v>0</v>
      </c>
      <c r="AB150" t="str">
        <f>IF('TRACKER - 20220622'!AE154&lt;&gt;"",UPPER('TRACKER - 20220622'!AE154),"")</f>
        <v>0</v>
      </c>
      <c r="AC150" t="str">
        <f>IF('TRACKER - 20220622'!AF154&lt;&gt;"",UPPER('TRACKER - 20220622'!AF154),"")</f>
        <v>0</v>
      </c>
      <c r="AD150" t="str">
        <f>IF('TRACKER - 20220622'!AG154&lt;&gt;"",UPPER('TRACKER - 20220622'!AG154),"")</f>
        <v>0</v>
      </c>
      <c r="AE150" t="str">
        <f>IF('TRACKER - 20220622'!AH154&lt;&gt;"",UPPER('TRACKER - 20220622'!AH154),"")</f>
        <v>-150</v>
      </c>
      <c r="AF150" t="str">
        <f>IF('TRACKER - 20220622'!AI154&lt;&gt;"",UPPER('TRACKER - 20220622'!AI154),"")</f>
        <v/>
      </c>
      <c r="AG150" t="str">
        <f>IF('TRACKER - 20220622'!AJ154&lt;&gt;"",UPPER('TRACKER - 20220622'!AJ154),"")</f>
        <v>0</v>
      </c>
      <c r="AH150" t="str">
        <f>IF('TRACKER - 20220622'!AK154&lt;&gt;"",UPPER('TRACKER - 20220622'!AK154),"")</f>
        <v/>
      </c>
      <c r="AI150" t="str">
        <f>IF('TRACKER - 20220622'!AL154&lt;&gt;"",UPPER('TRACKER - 20220622'!AL154),"")</f>
        <v>0</v>
      </c>
      <c r="AJ150" t="str">
        <f>IF('TRACKER - 20220622'!AM154&lt;&gt;"",UPPER('TRACKER - 20220622'!AM154),"")</f>
        <v>0</v>
      </c>
      <c r="AK150" t="str">
        <f>IF('TRACKER - 20220622'!AN154&lt;&gt;"",UPPER('TRACKER - 20220622'!AN154),"")</f>
        <v/>
      </c>
      <c r="AL150" t="str">
        <f>IF('TRACKER - 20220622'!AO154&lt;&gt;"",UPPER('TRACKER - 20220622'!AO154),"")</f>
        <v>0</v>
      </c>
      <c r="AM150" t="str">
        <f>IF('TRACKER - 20220622'!AP154&lt;&gt;"",UPPER('TRACKER - 20220622'!AP154),"")</f>
        <v>0</v>
      </c>
      <c r="AN150" t="str">
        <f>IF('TRACKER - 20220622'!AQ154&lt;&gt;"",UPPER('TRACKER - 20220622'!AQ154),"")</f>
        <v>0</v>
      </c>
      <c r="AO150" t="str">
        <f>IF('TRACKER - 20220622'!AR154&lt;&gt;"",UPPER('TRACKER - 20220622'!AR154),"")</f>
        <v>PRD</v>
      </c>
      <c r="AP150" t="str">
        <f>IF('TRACKER - 20220622'!AS154&lt;&gt;"",UPPER('TRACKER - 20220622'!AS154),"")</f>
        <v>BLG</v>
      </c>
      <c r="AQ150" t="str">
        <f>IF('TRACKER - 20220622'!AT154&lt;&gt;"",UPPER('TRACKER - 20220622'!AT154),"")</f>
        <v>N</v>
      </c>
      <c r="AR150" t="str">
        <f>IF('TRACKER - 20220622'!AU154&lt;&gt;"",UPPER('TRACKER - 20220622'!AU154),"")</f>
        <v>-150</v>
      </c>
      <c r="AS150" t="str">
        <f>IF('TRACKER - 20220622'!AV154&lt;&gt;"",UPPER('TRACKER - 20220622'!AV154),"")</f>
        <v/>
      </c>
      <c r="AT150" t="str">
        <f>IF('TRACKER - 20220622'!AW154&lt;&gt;"",UPPER('TRACKER - 20220622'!AW154),"")</f>
        <v/>
      </c>
      <c r="AU150" t="str">
        <f>IF('TRACKER - 20220622'!AX154&lt;&gt;"",UPPER('TRACKER - 20220622'!AX154),"")</f>
        <v>REASON154</v>
      </c>
      <c r="AV150" t="str">
        <f>IF('TRACKER - 20220622'!BD171&lt;&gt;"",'TRACKER - 20220622'!BD171,"")</f>
        <v/>
      </c>
      <c r="AW150" t="str">
        <f>IF('TRACKER - 20220622'!BE171&lt;&gt;"",'TRACKER - 20220622'!BE171,"")</f>
        <v/>
      </c>
      <c r="AX150" t="str">
        <f>IF('TRACKER - 20220622'!BF171&lt;&gt;"",'TRACKER - 20220622'!BF171,"")</f>
        <v/>
      </c>
      <c r="AY150" t="str">
        <f>IF('TRACKER - 20220622'!BG171&lt;&gt;"",'TRACKER - 20220622'!BG171,"")</f>
        <v/>
      </c>
      <c r="AZ150" t="str">
        <f>IF('TRACKER - 20220622'!BH171&lt;&gt;"",'TRACKER - 20220622'!BH171,"")</f>
        <v/>
      </c>
      <c r="BA150" t="str">
        <f>IF('TRACKER - 20220622'!BI171&lt;&gt;"",'TRACKER - 20220622'!BI171,"")</f>
        <v/>
      </c>
      <c r="BB150" t="str">
        <f>IF('TRACKER - 20220622'!BJ171&lt;&gt;"",'TRACKER - 20220622'!BJ171,"")</f>
        <v/>
      </c>
      <c r="BC150" t="str">
        <f>IF('TRACKER - 20220622'!BK171&lt;&gt;"",'TRACKER - 20220622'!BK171,"")</f>
        <v/>
      </c>
      <c r="BD150" t="str">
        <f>IF('TRACKER - 20220622'!BL171&lt;&gt;"",'TRACKER - 20220622'!BL171,"")</f>
        <v/>
      </c>
      <c r="BE150" t="str">
        <f>IF('TRACKER - 20220622'!BM171&lt;&gt;"",'TRACKER - 20220622'!BM171,"")</f>
        <v/>
      </c>
      <c r="BF150" t="str">
        <f>IF('TRACKER - 20220622'!BN171&lt;&gt;"",'TRACKER - 20220622'!BN171,"")</f>
        <v/>
      </c>
      <c r="BG150" t="str">
        <f>IF('TRACKER - 20220622'!BO171&lt;&gt;"",'TRACKER - 20220622'!BO171,"")</f>
        <v/>
      </c>
    </row>
  </sheetData>
  <autoFilter ref="A1:BI1" xr:uid="{00000000-0001-0000-0500-000000000000}"/>
  <pageMargins left="0.7" right="0.7" top="0.75" bottom="0.75" header="0.3" footer="0.3"/>
  <pageSetup paperSize="9"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64227-874C-834D-BDF6-79D3F522B8B2}">
  <sheetPr codeName="Sheet10"/>
  <dimension ref="B2:W24"/>
  <sheetViews>
    <sheetView workbookViewId="0">
      <selection activeCell="C4" sqref="C4"/>
    </sheetView>
  </sheetViews>
  <sheetFormatPr defaultColWidth="11" defaultRowHeight="15"/>
  <cols>
    <col min="2" max="2" width="17.125" customWidth="1"/>
    <col min="3" max="3" width="18.625" customWidth="1"/>
    <col min="4" max="8" width="17.125" customWidth="1"/>
    <col min="21" max="21" width="10.375" customWidth="1"/>
    <col min="22" max="23" width="14" customWidth="1"/>
  </cols>
  <sheetData>
    <row r="2" spans="2:23" ht="18.75">
      <c r="B2" s="31" t="s">
        <v>4</v>
      </c>
      <c r="C2" s="46" t="s">
        <v>50</v>
      </c>
    </row>
    <row r="4" spans="2:23" ht="18.75">
      <c r="B4" s="31" t="s">
        <v>343</v>
      </c>
      <c r="C4" s="44">
        <v>15</v>
      </c>
      <c r="D4" s="31" t="s">
        <v>344</v>
      </c>
      <c r="E4" s="45">
        <f>ABS(INDEX(CUSTOMERS!D:D,MATCH(C2,CUSTOMERS!A:A,0)))</f>
        <v>150</v>
      </c>
      <c r="G4" s="31" t="s">
        <v>345</v>
      </c>
      <c r="H4" s="47">
        <f>ABS(INDEX(CUSTOMERS!E:E,MATCH(C2,CUSTOMERS!A:A,0)))</f>
        <v>0</v>
      </c>
    </row>
    <row r="5" spans="2:23">
      <c r="L5" t="s">
        <v>346</v>
      </c>
    </row>
    <row r="6" spans="2:23" ht="18">
      <c r="B6" s="305" t="s">
        <v>347</v>
      </c>
      <c r="C6" s="306"/>
      <c r="D6" s="306"/>
      <c r="E6" s="306"/>
      <c r="F6" s="306"/>
      <c r="G6" s="306"/>
      <c r="H6" s="307"/>
      <c r="L6" s="305" t="s">
        <v>347</v>
      </c>
      <c r="M6" s="306"/>
      <c r="N6" s="306"/>
      <c r="O6" s="306"/>
      <c r="P6" s="306"/>
      <c r="Q6" s="306"/>
      <c r="R6" s="307"/>
    </row>
    <row r="7" spans="2:23" ht="31.5">
      <c r="B7" s="31" t="s">
        <v>296</v>
      </c>
      <c r="C7" s="31" t="s">
        <v>348</v>
      </c>
      <c r="D7" s="31" t="s">
        <v>349</v>
      </c>
      <c r="E7" s="31" t="s">
        <v>350</v>
      </c>
      <c r="F7" s="32" t="s">
        <v>351</v>
      </c>
      <c r="G7" s="33" t="s">
        <v>352</v>
      </c>
      <c r="H7" s="34" t="s">
        <v>353</v>
      </c>
      <c r="L7" s="31" t="s">
        <v>296</v>
      </c>
      <c r="M7" s="31" t="s">
        <v>348</v>
      </c>
      <c r="N7" s="31" t="s">
        <v>349</v>
      </c>
      <c r="O7" s="31" t="s">
        <v>350</v>
      </c>
      <c r="P7" s="32" t="s">
        <v>351</v>
      </c>
      <c r="Q7" s="33" t="s">
        <v>352</v>
      </c>
      <c r="R7" s="34" t="s">
        <v>353</v>
      </c>
    </row>
    <row r="8" spans="2:23" ht="18.75">
      <c r="B8" s="40">
        <f>$C$4*L8</f>
        <v>1.8367346938775511</v>
      </c>
      <c r="C8" s="40">
        <f t="shared" ref="C8:F8" si="0">$C$4*M8</f>
        <v>7.0408163265306127</v>
      </c>
      <c r="D8" s="40">
        <f t="shared" si="0"/>
        <v>2.4489795918367343</v>
      </c>
      <c r="E8" s="40">
        <f t="shared" si="0"/>
        <v>1.8367346938775511</v>
      </c>
      <c r="F8" s="40">
        <f t="shared" si="0"/>
        <v>1.8367346938775511</v>
      </c>
      <c r="G8" s="35">
        <f>SUM(B8:F8)</f>
        <v>15</v>
      </c>
      <c r="H8" s="35">
        <f>G8*H4</f>
        <v>0</v>
      </c>
      <c r="L8" s="36">
        <f>L14</f>
        <v>0.12244897959183673</v>
      </c>
      <c r="M8" s="36">
        <f t="shared" ref="M8:P8" si="1">M14</f>
        <v>0.46938775510204084</v>
      </c>
      <c r="N8" s="36">
        <f t="shared" si="1"/>
        <v>0.16326530612244897</v>
      </c>
      <c r="O8" s="36">
        <f t="shared" si="1"/>
        <v>0.12244897959183673</v>
      </c>
      <c r="P8" s="36">
        <f t="shared" si="1"/>
        <v>0.12244897959183673</v>
      </c>
      <c r="Q8" s="38">
        <f>SUM(L8:P8)</f>
        <v>1</v>
      </c>
      <c r="R8" s="37">
        <v>0.2</v>
      </c>
    </row>
    <row r="9" spans="2:23" ht="18">
      <c r="B9" s="305" t="s">
        <v>354</v>
      </c>
      <c r="C9" s="306"/>
      <c r="D9" s="306"/>
      <c r="E9" s="306"/>
      <c r="F9" s="306"/>
      <c r="G9" s="306"/>
      <c r="H9" s="307"/>
    </row>
    <row r="10" spans="2:23" ht="15.75">
      <c r="B10" s="31" t="s">
        <v>296</v>
      </c>
      <c r="C10" s="31" t="s">
        <v>348</v>
      </c>
      <c r="D10" s="31" t="s">
        <v>349</v>
      </c>
      <c r="E10" s="31" t="s">
        <v>350</v>
      </c>
      <c r="F10" s="32" t="s">
        <v>351</v>
      </c>
      <c r="G10" s="33" t="s">
        <v>352</v>
      </c>
      <c r="H10" s="34" t="s">
        <v>353</v>
      </c>
    </row>
    <row r="11" spans="2:23" ht="18.75">
      <c r="B11" s="42">
        <f>(B8*7.5)*$E$4</f>
        <v>2066.3265306122448</v>
      </c>
      <c r="C11" s="42">
        <f t="shared" ref="C11:F11" si="2">(C8*7.5)*$E$4</f>
        <v>7920.9183673469388</v>
      </c>
      <c r="D11" s="42">
        <f t="shared" si="2"/>
        <v>2755.1020408163263</v>
      </c>
      <c r="E11" s="42">
        <f t="shared" si="2"/>
        <v>2066.3265306122448</v>
      </c>
      <c r="F11" s="42">
        <f t="shared" si="2"/>
        <v>2066.3265306122448</v>
      </c>
      <c r="G11" s="43">
        <f>SUM(B11:F11)</f>
        <v>16875</v>
      </c>
      <c r="H11" s="41">
        <f>(H8*7.5)*$E$4</f>
        <v>0</v>
      </c>
    </row>
    <row r="13" spans="2:23" ht="18.75">
      <c r="L13" s="30">
        <v>3</v>
      </c>
      <c r="M13" s="30">
        <v>11.5</v>
      </c>
      <c r="N13" s="30">
        <v>4</v>
      </c>
      <c r="O13" s="30">
        <v>3</v>
      </c>
      <c r="P13" s="30">
        <v>3</v>
      </c>
      <c r="Q13">
        <f>SUM(L13:P13)</f>
        <v>24.5</v>
      </c>
    </row>
    <row r="14" spans="2:23">
      <c r="L14" s="39">
        <f t="shared" ref="L14:O14" si="3">L13/$Q$13</f>
        <v>0.12244897959183673</v>
      </c>
      <c r="M14" s="39">
        <f t="shared" si="3"/>
        <v>0.46938775510204084</v>
      </c>
      <c r="N14" s="39">
        <f t="shared" si="3"/>
        <v>0.16326530612244897</v>
      </c>
      <c r="O14" s="39">
        <f t="shared" si="3"/>
        <v>0.12244897959183673</v>
      </c>
      <c r="P14" s="39">
        <f>P13/$Q$13</f>
        <v>0.12244897959183673</v>
      </c>
    </row>
    <row r="15" spans="2:23" ht="37.5" customHeight="1">
      <c r="U15" s="48"/>
      <c r="V15" s="48" t="s">
        <v>355</v>
      </c>
      <c r="W15" s="48" t="s">
        <v>356</v>
      </c>
    </row>
    <row r="16" spans="2:23" ht="18">
      <c r="U16" s="49" t="s">
        <v>296</v>
      </c>
      <c r="V16" s="54">
        <f>B8</f>
        <v>1.8367346938775511</v>
      </c>
      <c r="W16" s="57">
        <f>B11</f>
        <v>2066.3265306122448</v>
      </c>
    </row>
    <row r="17" spans="21:23" ht="18">
      <c r="U17" s="49" t="s">
        <v>348</v>
      </c>
      <c r="V17" s="54">
        <f>C8</f>
        <v>7.0408163265306127</v>
      </c>
      <c r="W17" s="57">
        <f>C11</f>
        <v>7920.9183673469388</v>
      </c>
    </row>
    <row r="18" spans="21:23" ht="18">
      <c r="U18" s="49" t="s">
        <v>349</v>
      </c>
      <c r="V18" s="54">
        <f>D8</f>
        <v>2.4489795918367343</v>
      </c>
      <c r="W18" s="57">
        <f>D11</f>
        <v>2755.1020408163263</v>
      </c>
    </row>
    <row r="19" spans="21:23" ht="18">
      <c r="U19" s="49" t="s">
        <v>350</v>
      </c>
      <c r="V19" s="54">
        <f>E8</f>
        <v>1.8367346938775511</v>
      </c>
      <c r="W19" s="57">
        <f>E11</f>
        <v>2066.3265306122448</v>
      </c>
    </row>
    <row r="20" spans="21:23" ht="18">
      <c r="U20" s="49" t="s">
        <v>351</v>
      </c>
      <c r="V20" s="54">
        <f>F8</f>
        <v>1.8367346938775511</v>
      </c>
      <c r="W20" s="57">
        <f>F11</f>
        <v>2066.3265306122448</v>
      </c>
    </row>
    <row r="21" spans="21:23" ht="18">
      <c r="U21" s="50" t="s">
        <v>357</v>
      </c>
      <c r="V21" s="55" t="str">
        <f>SUM(V16:V20) &amp; " (days)"</f>
        <v>15 (days)</v>
      </c>
      <c r="W21" s="58">
        <f>G11</f>
        <v>16875</v>
      </c>
    </row>
    <row r="22" spans="21:23" ht="18" hidden="1">
      <c r="U22" s="51" t="s">
        <v>358</v>
      </c>
      <c r="V22" s="56">
        <f>H8</f>
        <v>0</v>
      </c>
      <c r="W22" s="59">
        <f>H11</f>
        <v>0</v>
      </c>
    </row>
    <row r="23" spans="21:23" ht="18">
      <c r="U23" s="52"/>
      <c r="V23" s="52"/>
      <c r="W23" s="60"/>
    </row>
    <row r="24" spans="21:23" ht="18">
      <c r="U24" s="48" t="s">
        <v>357</v>
      </c>
      <c r="V24" s="48" t="str">
        <f>SUM(V21:V22) &amp; " (days)"</f>
        <v>0 (days)</v>
      </c>
      <c r="W24" s="53">
        <f>SUM(W21:W22)</f>
        <v>16875</v>
      </c>
    </row>
  </sheetData>
  <mergeCells count="3">
    <mergeCell ref="B6:H6"/>
    <mergeCell ref="L6:R6"/>
    <mergeCell ref="B9:H9"/>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4B7C4835-86BF-524F-AFE8-48D3D6082FEE}">
          <x14:formula1>
            <xm:f>CUSTOMERS!$A$2:$A$48</xm:f>
          </x14:formula1>
          <xm:sqref>C2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1C15-BF58-7E49-BF15-FB03BC01C666}">
  <sheetPr codeName="Sheet11"/>
  <dimension ref="A2:I24"/>
  <sheetViews>
    <sheetView workbookViewId="0">
      <selection activeCell="B3" sqref="B3"/>
    </sheetView>
  </sheetViews>
  <sheetFormatPr defaultColWidth="11" defaultRowHeight="15"/>
  <cols>
    <col min="1" max="1" width="19.375" customWidth="1"/>
    <col min="2" max="2" width="22" bestFit="1" customWidth="1"/>
    <col min="3" max="3" width="36.125" bestFit="1" customWidth="1"/>
    <col min="4" max="4" width="17.125" customWidth="1"/>
    <col min="5" max="5" width="67.375" bestFit="1" customWidth="1"/>
    <col min="6" max="6" width="13.125" customWidth="1"/>
    <col min="7" max="7" width="15.625" customWidth="1"/>
    <col min="8" max="9" width="13.125" customWidth="1"/>
    <col min="16" max="16" width="10.375" customWidth="1"/>
    <col min="17" max="18" width="14" customWidth="1"/>
  </cols>
  <sheetData>
    <row r="2" spans="1:7">
      <c r="B2" t="str">
        <f>'TRACKER - 20220622'!F2</f>
        <v>At a Glance ID</v>
      </c>
      <c r="C2" t="str">
        <f>'TRACKER - 20220622'!H2</f>
        <v>Description</v>
      </c>
    </row>
    <row r="3" spans="1:7" ht="18.75">
      <c r="A3" t="s">
        <v>359</v>
      </c>
      <c r="B3" s="46" t="s">
        <v>360</v>
      </c>
      <c r="C3" s="44" t="str">
        <f>INDEX('TRACKER - 20220622'!$1:$1048576,MATCH($B$3,'TRACKER - 20220622'!$F:$F,0),6)</f>
        <v>N26-RSC-2021-00006</v>
      </c>
    </row>
    <row r="6" spans="1:7" ht="18.75">
      <c r="D6" s="48" t="s">
        <v>361</v>
      </c>
      <c r="E6" s="44" t="str">
        <f>B3&amp;" - "&amp;C3</f>
        <v>N26-RSC-2021-00006 - N26-RSC-2021-00006</v>
      </c>
    </row>
    <row r="8" spans="1:7" ht="18">
      <c r="D8" s="48" t="s">
        <v>23</v>
      </c>
      <c r="G8" s="48" t="s">
        <v>362</v>
      </c>
    </row>
    <row r="9" spans="1:7" ht="18">
      <c r="D9" s="308">
        <f>INDEX('TRACKER - 20220622'!$1:$1048576,MATCH($B$3,'TRACKER - 20220622'!$F:$F,0),40)</f>
        <v>1</v>
      </c>
      <c r="E9" s="308"/>
      <c r="G9" s="61" t="str">
        <f>INDEX('TRACKER - 20220622'!$1:$1048576,MATCH($B$3,'TRACKER - 20220622'!$F:$F,0),8)</f>
        <v>Adding Call Money Deals to Treasury Risk Report</v>
      </c>
    </row>
    <row r="10" spans="1:7">
      <c r="D10" s="308"/>
      <c r="E10" s="308"/>
    </row>
    <row r="11" spans="1:7">
      <c r="D11" s="308"/>
      <c r="E11" s="308"/>
    </row>
    <row r="12" spans="1:7">
      <c r="D12" s="308"/>
      <c r="E12" s="308"/>
    </row>
    <row r="13" spans="1:7">
      <c r="D13" s="308"/>
      <c r="E13" s="308"/>
    </row>
    <row r="14" spans="1:7">
      <c r="D14" s="308"/>
      <c r="E14" s="308"/>
    </row>
    <row r="15" spans="1:7" ht="37.5" customHeight="1"/>
    <row r="17" spans="4:9" ht="18">
      <c r="D17" s="48" t="s">
        <v>363</v>
      </c>
      <c r="G17" s="48" t="s">
        <v>364</v>
      </c>
    </row>
    <row r="18" spans="4:9" ht="40.5" customHeight="1">
      <c r="D18" s="308">
        <f>INDEX('TRACKER - 20220622'!$1:$1048576,MATCH($B$3,'TRACKER - 20220622'!$F:$F,0),41)</f>
        <v>0</v>
      </c>
      <c r="E18" s="308"/>
      <c r="G18" s="48"/>
      <c r="H18" s="48" t="s">
        <v>355</v>
      </c>
      <c r="I18" s="48" t="s">
        <v>356</v>
      </c>
    </row>
    <row r="19" spans="4:9" ht="40.5" customHeight="1">
      <c r="D19" s="308"/>
      <c r="E19" s="308"/>
      <c r="G19" s="62" t="s">
        <v>365</v>
      </c>
      <c r="H19" s="64">
        <f>INDEX('TRACKER - 20220622'!$1:$1048576,MATCH($B$3,'TRACKER - 20220622'!$F:$F,0),27)</f>
        <v>5042.8874999999998</v>
      </c>
      <c r="I19" s="65" t="e">
        <f>ABS(INDEX('TRACKER - 20220622'!$1:$1048576,MATCH($B$3,'TRACKER - 20220622'!$F:$F,0),17))</f>
        <v>#VALUE!</v>
      </c>
    </row>
    <row r="20" spans="4:9" ht="40.5" customHeight="1">
      <c r="D20" s="308"/>
      <c r="E20" s="308"/>
      <c r="G20" s="62" t="s">
        <v>366</v>
      </c>
      <c r="H20" s="64">
        <f>INDEX('TRACKER - 20220622'!$1:$1048576,MATCH($B$3,'TRACKER - 20220622'!$F:$F,0),28)</f>
        <v>1440.825</v>
      </c>
      <c r="I20" s="65" t="e">
        <f>ABS(INDEX('TRACKER - 20220622'!$1:$1048576,MATCH($B$3,'TRACKER - 20220622'!$F:$F,0),18))</f>
        <v>#VALUE!</v>
      </c>
    </row>
    <row r="21" spans="4:9" ht="40.5" customHeight="1">
      <c r="D21" s="308"/>
      <c r="E21" s="308"/>
      <c r="G21" s="62" t="s">
        <v>367</v>
      </c>
      <c r="H21" s="64">
        <f>INDEX('TRACKER - 20220622'!$1:$1048576,MATCH($B$3,'TRACKER - 20220622'!$F:$F,0),29)</f>
        <v>1440.825</v>
      </c>
      <c r="I21" s="65">
        <f>ABS(INDEX('TRACKER - 20220622'!$1:$1048576,MATCH($B$3,'TRACKER - 20220622'!$F:$F,0),19))</f>
        <v>0</v>
      </c>
    </row>
    <row r="22" spans="4:9" ht="40.5" customHeight="1">
      <c r="D22" s="308"/>
      <c r="E22" s="308"/>
      <c r="G22" s="62" t="s">
        <v>368</v>
      </c>
      <c r="H22" s="64">
        <f>INDEX('TRACKER - 20220622'!$1:$1048576,MATCH($B$3,'TRACKER - 20220622'!$F:$F,0),30)</f>
        <v>0</v>
      </c>
      <c r="I22" s="65">
        <f>ABS(INDEX('TRACKER - 20220622'!$1:$1048576,MATCH($B$3,'TRACKER - 20220622'!$F:$F,0),20))</f>
        <v>0</v>
      </c>
    </row>
    <row r="23" spans="4:9" ht="40.5" customHeight="1">
      <c r="D23" s="308"/>
      <c r="E23" s="308"/>
      <c r="G23" s="62" t="s">
        <v>369</v>
      </c>
      <c r="H23" s="64">
        <f>INDEX('TRACKER - 20220622'!$1:$1048576,MATCH($B$3,'TRACKER - 20220622'!$F:$F,0),31)</f>
        <v>0</v>
      </c>
      <c r="I23" s="65">
        <f>ABS(INDEX('TRACKER - 20220622'!$1:$1048576,MATCH($B$3,'TRACKER - 20220622'!$F:$F,0),21))</f>
        <v>0</v>
      </c>
    </row>
    <row r="24" spans="4:9" ht="40.5" customHeight="1">
      <c r="D24" s="308"/>
      <c r="E24" s="308"/>
      <c r="G24" s="63" t="s">
        <v>370</v>
      </c>
      <c r="H24" s="66">
        <f>SUM(H19:H23)</f>
        <v>7924.5374999999995</v>
      </c>
      <c r="I24" s="67" t="e">
        <f>SUM(I19:I23)</f>
        <v>#VALUE!</v>
      </c>
    </row>
  </sheetData>
  <mergeCells count="2">
    <mergeCell ref="D9:E14"/>
    <mergeCell ref="D18:E24"/>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A46C473-E26A-BF45-B603-45E22683F062}">
          <x14:formula1>
            <xm:f>'TRACKER - 20220622'!$F:F</xm:f>
          </x14:formula1>
          <xm:sqref>B3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B5:O10"/>
  <sheetViews>
    <sheetView workbookViewId="0">
      <selection activeCell="C6" sqref="C6"/>
    </sheetView>
  </sheetViews>
  <sheetFormatPr defaultColWidth="8.625" defaultRowHeight="15"/>
  <cols>
    <col min="2" max="2" width="10.5" bestFit="1" customWidth="1"/>
    <col min="4" max="4" width="11.375" bestFit="1" customWidth="1"/>
    <col min="6" max="6" width="9.125" customWidth="1"/>
  </cols>
  <sheetData>
    <row r="5" spans="2:15" ht="16.5">
      <c r="B5" t="s">
        <v>371</v>
      </c>
      <c r="C5">
        <v>373</v>
      </c>
      <c r="D5" s="4" t="s">
        <v>372</v>
      </c>
      <c r="E5" s="3">
        <v>0.2</v>
      </c>
      <c r="F5">
        <f>C5*E5</f>
        <v>74.600000000000009</v>
      </c>
      <c r="G5" t="str">
        <f>D5</f>
        <v>Management</v>
      </c>
      <c r="K5" s="2" t="s">
        <v>296</v>
      </c>
      <c r="L5" s="2" t="s">
        <v>348</v>
      </c>
      <c r="M5" s="2" t="s">
        <v>349</v>
      </c>
      <c r="N5" s="2" t="s">
        <v>350</v>
      </c>
      <c r="O5" s="2" t="s">
        <v>351</v>
      </c>
    </row>
    <row r="6" spans="2:15">
      <c r="D6" s="4" t="s">
        <v>373</v>
      </c>
      <c r="E6" s="3">
        <v>0.15</v>
      </c>
      <c r="F6">
        <f>E6*C5</f>
        <v>55.949999999999996</v>
      </c>
      <c r="G6" t="str">
        <f t="shared" ref="G6:G8" si="0">D6</f>
        <v>Testing</v>
      </c>
      <c r="K6">
        <f>F7</f>
        <v>55.949999999999996</v>
      </c>
      <c r="L6">
        <f>F8</f>
        <v>186.5</v>
      </c>
      <c r="M6" s="5">
        <f>F6</f>
        <v>55.949999999999996</v>
      </c>
      <c r="O6" s="5">
        <f>F5</f>
        <v>74.600000000000009</v>
      </c>
    </row>
    <row r="7" spans="2:15">
      <c r="D7" s="4" t="s">
        <v>374</v>
      </c>
      <c r="E7" s="3">
        <v>0.15</v>
      </c>
      <c r="F7">
        <f>E7*C5</f>
        <v>55.949999999999996</v>
      </c>
      <c r="G7" t="str">
        <f t="shared" si="0"/>
        <v>Requirements</v>
      </c>
    </row>
    <row r="8" spans="2:15">
      <c r="D8" s="4" t="s">
        <v>375</v>
      </c>
      <c r="E8" s="3">
        <v>0.5</v>
      </c>
      <c r="F8">
        <f>C5*E8</f>
        <v>186.5</v>
      </c>
      <c r="G8" t="str">
        <f t="shared" si="0"/>
        <v>Development</v>
      </c>
    </row>
    <row r="10" spans="2:15">
      <c r="D10" t="s">
        <v>376</v>
      </c>
      <c r="F10">
        <f>SUM(F5:F8)</f>
        <v>373</v>
      </c>
    </row>
  </sheetData>
  <conditionalFormatting sqref="K5:O5">
    <cfRule type="cellIs" dxfId="680" priority="1" operator="lessThan">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B6C2D-010A-414B-A759-138CE9D10DC6}">
  <sheetPr codeName="Sheet15" filterMode="1">
    <tabColor rgb="FF00B050"/>
    <pageSetUpPr fitToPage="1"/>
  </sheetPr>
  <dimension ref="A1:AX473"/>
  <sheetViews>
    <sheetView showGridLines="0" zoomScale="50" zoomScaleNormal="50" workbookViewId="0">
      <pane xSplit="8" ySplit="2" topLeftCell="I4" activePane="bottomRight" state="frozen"/>
      <selection pane="topRight" activeCell="F1" sqref="F1"/>
      <selection pane="bottomLeft" activeCell="A3" sqref="A3"/>
      <selection pane="bottomRight"/>
    </sheetView>
  </sheetViews>
  <sheetFormatPr defaultColWidth="8.625" defaultRowHeight="21" outlineLevelCol="1"/>
  <cols>
    <col min="1" max="1" width="26.125" style="189" bestFit="1" customWidth="1"/>
    <col min="2" max="2" width="13.125" style="127" bestFit="1" customWidth="1"/>
    <col min="3" max="3" width="8.625" style="127" hidden="1" customWidth="1"/>
    <col min="4" max="4" width="18.5" style="128" bestFit="1" customWidth="1"/>
    <col min="5" max="5" width="18.5" style="128" customWidth="1"/>
    <col min="6" max="6" width="29.625" style="129" hidden="1" customWidth="1"/>
    <col min="7" max="7" width="15.5" style="130" bestFit="1" customWidth="1"/>
    <col min="8" max="8" width="53.5" style="206" customWidth="1"/>
    <col min="9" max="9" width="17.625" style="241" bestFit="1" customWidth="1"/>
    <col min="10" max="10" width="16.5" style="82" bestFit="1" customWidth="1"/>
    <col min="11" max="11" width="15.125" style="165" bestFit="1" customWidth="1"/>
    <col min="12" max="12" width="16" style="166" bestFit="1" customWidth="1"/>
    <col min="13" max="13" width="15.5" style="167" bestFit="1" customWidth="1"/>
    <col min="14" max="15" width="17.5" style="168" bestFit="1" customWidth="1"/>
    <col min="16" max="16" width="20.5" style="169" customWidth="1"/>
    <col min="17" max="17" width="15.125" style="203" bestFit="1" customWidth="1"/>
    <col min="18" max="18" width="13.625" style="205" bestFit="1" customWidth="1"/>
    <col min="19" max="19" width="12.625" style="205" customWidth="1"/>
    <col min="20" max="20" width="14.625" style="205" bestFit="1" customWidth="1"/>
    <col min="21" max="21" width="13.5" style="205" bestFit="1" customWidth="1"/>
    <col min="22" max="22" width="14.625" style="205" bestFit="1" customWidth="1"/>
    <col min="23" max="23" width="100.625" style="205" bestFit="1" customWidth="1"/>
    <col min="24" max="24" width="255.625" style="170" bestFit="1" customWidth="1"/>
    <col min="25" max="25" width="17.625" style="174" bestFit="1" customWidth="1"/>
    <col min="26" max="26" width="17.625" style="90" bestFit="1" customWidth="1" outlineLevel="1"/>
    <col min="27" max="27" width="22.125" style="90" bestFit="1" customWidth="1" outlineLevel="1"/>
    <col min="28" max="29" width="17.625" style="90" bestFit="1" customWidth="1" outlineLevel="1"/>
    <col min="30" max="30" width="17.625" style="90" customWidth="1" outlineLevel="1"/>
    <col min="31" max="31" width="17.625" style="90" bestFit="1" customWidth="1" outlineLevel="1"/>
    <col min="32" max="32" width="19.375" style="192" bestFit="1" customWidth="1" outlineLevel="1"/>
    <col min="33" max="33" width="17.625" style="192" bestFit="1" customWidth="1" outlineLevel="1"/>
    <col min="34" max="34" width="13.5" style="91" bestFit="1" customWidth="1" outlineLevel="1" collapsed="1"/>
    <col min="35" max="35" width="13.625" style="92" bestFit="1" customWidth="1" outlineLevel="1"/>
    <col min="36" max="36" width="16.5" style="93" bestFit="1" customWidth="1" outlineLevel="1"/>
    <col min="37" max="37" width="16.5" style="100" bestFit="1" customWidth="1" outlineLevel="1"/>
    <col min="38" max="41" width="16.5" style="101" bestFit="1" customWidth="1" outlineLevel="1"/>
    <col min="42" max="42" width="13.5" style="104" bestFit="1" customWidth="1" outlineLevel="1"/>
    <col min="43" max="43" width="12.375" style="105" bestFit="1" customWidth="1" outlineLevel="1"/>
    <col min="44" max="44" width="22.125" style="77" bestFit="1" customWidth="1"/>
    <col min="45" max="45" width="19.625" style="78" bestFit="1" customWidth="1"/>
    <col min="46" max="46" width="17.625" style="76" bestFit="1" customWidth="1"/>
    <col min="47" max="47" width="19.625" style="79" bestFit="1" customWidth="1"/>
    <col min="48" max="48" width="24.625" style="70" bestFit="1" customWidth="1"/>
    <col min="49" max="49" width="186.625" style="70" bestFit="1" customWidth="1"/>
    <col min="50" max="50" width="152.125" style="70" bestFit="1" customWidth="1"/>
    <col min="51" max="16384" width="8.625" style="70"/>
  </cols>
  <sheetData>
    <row r="1" spans="1:50" s="106" customFormat="1" ht="40.5" customHeight="1">
      <c r="A1" s="310" t="s">
        <v>92</v>
      </c>
      <c r="B1" s="311"/>
      <c r="C1" s="311"/>
      <c r="D1" s="311"/>
      <c r="E1" s="311"/>
      <c r="F1" s="311"/>
      <c r="G1" s="311"/>
      <c r="H1" s="311"/>
      <c r="I1" s="311"/>
      <c r="J1" s="312"/>
      <c r="K1" s="313"/>
      <c r="L1" s="131"/>
      <c r="M1" s="132" t="s">
        <v>310</v>
      </c>
      <c r="N1" s="133" t="s">
        <v>377</v>
      </c>
      <c r="O1" s="134" t="s">
        <v>378</v>
      </c>
      <c r="P1" s="193" t="s">
        <v>379</v>
      </c>
      <c r="Q1" s="314" t="s">
        <v>380</v>
      </c>
      <c r="R1" s="314"/>
      <c r="S1" s="314"/>
      <c r="T1" s="314"/>
      <c r="U1" s="314"/>
      <c r="V1" s="314"/>
      <c r="W1" s="314"/>
      <c r="X1" s="135"/>
      <c r="Y1" s="315" t="s">
        <v>381</v>
      </c>
      <c r="Z1" s="316"/>
      <c r="AA1" s="316"/>
      <c r="AB1" s="316"/>
      <c r="AC1" s="316"/>
      <c r="AD1" s="316"/>
      <c r="AE1" s="316"/>
      <c r="AF1" s="317"/>
      <c r="AG1" s="318"/>
      <c r="AH1" s="319" t="s">
        <v>382</v>
      </c>
      <c r="AI1" s="320"/>
      <c r="AJ1" s="321"/>
      <c r="AK1" s="322" t="s">
        <v>347</v>
      </c>
      <c r="AL1" s="323"/>
      <c r="AM1" s="323"/>
      <c r="AN1" s="323"/>
      <c r="AO1" s="323"/>
      <c r="AP1" s="323"/>
      <c r="AQ1" s="324"/>
      <c r="AR1" s="309" t="s">
        <v>383</v>
      </c>
      <c r="AS1" s="309"/>
      <c r="AT1" s="309"/>
      <c r="AU1" s="309"/>
      <c r="AV1" s="309"/>
    </row>
    <row r="2" spans="1:50" s="114" customFormat="1" ht="37.5" customHeight="1">
      <c r="A2" s="187" t="s">
        <v>20</v>
      </c>
      <c r="B2" s="118" t="s">
        <v>384</v>
      </c>
      <c r="C2" s="118"/>
      <c r="D2" s="119" t="s">
        <v>385</v>
      </c>
      <c r="E2" s="119" t="s">
        <v>386</v>
      </c>
      <c r="F2" s="119" t="s">
        <v>21</v>
      </c>
      <c r="G2" s="119" t="s">
        <v>22</v>
      </c>
      <c r="H2" s="119" t="s">
        <v>23</v>
      </c>
      <c r="I2" s="238" t="s">
        <v>96</v>
      </c>
      <c r="J2" s="171" t="s">
        <v>24</v>
      </c>
      <c r="K2" s="136" t="s">
        <v>98</v>
      </c>
      <c r="L2" s="136" t="s">
        <v>97</v>
      </c>
      <c r="M2" s="137" t="s">
        <v>387</v>
      </c>
      <c r="N2" s="138" t="s">
        <v>116</v>
      </c>
      <c r="O2" s="139" t="s">
        <v>116</v>
      </c>
      <c r="P2" s="140" t="s">
        <v>388</v>
      </c>
      <c r="Q2" s="198" t="s">
        <v>25</v>
      </c>
      <c r="R2" s="198" t="s">
        <v>26</v>
      </c>
      <c r="S2" s="198" t="s">
        <v>278</v>
      </c>
      <c r="T2" s="198" t="s">
        <v>389</v>
      </c>
      <c r="U2" s="198" t="s">
        <v>390</v>
      </c>
      <c r="V2" s="198" t="s">
        <v>391</v>
      </c>
      <c r="W2" s="198" t="s">
        <v>392</v>
      </c>
      <c r="X2" s="135" t="s">
        <v>393</v>
      </c>
      <c r="Y2" s="172" t="s">
        <v>394</v>
      </c>
      <c r="Z2" s="115" t="s">
        <v>296</v>
      </c>
      <c r="AA2" s="115" t="s">
        <v>348</v>
      </c>
      <c r="AB2" s="115" t="s">
        <v>349</v>
      </c>
      <c r="AC2" s="115" t="s">
        <v>350</v>
      </c>
      <c r="AD2" s="115" t="s">
        <v>395</v>
      </c>
      <c r="AE2" s="115" t="s">
        <v>351</v>
      </c>
      <c r="AF2" s="172" t="s">
        <v>376</v>
      </c>
      <c r="AG2" s="172" t="s">
        <v>353</v>
      </c>
      <c r="AH2" s="116" t="s">
        <v>396</v>
      </c>
      <c r="AI2" s="117" t="s">
        <v>397</v>
      </c>
      <c r="AJ2" s="116" t="s">
        <v>398</v>
      </c>
      <c r="AK2" s="109" t="str">
        <f>Z2</f>
        <v>REQ</v>
      </c>
      <c r="AL2" s="109" t="str">
        <f>AA2</f>
        <v>DEV</v>
      </c>
      <c r="AM2" s="109" t="str">
        <f>AB2</f>
        <v>UAT</v>
      </c>
      <c r="AN2" s="109" t="str">
        <f>AC2</f>
        <v>REL</v>
      </c>
      <c r="AO2" s="110" t="str">
        <f>AE2</f>
        <v>PM</v>
      </c>
      <c r="AP2" s="108" t="s">
        <v>352</v>
      </c>
      <c r="AQ2" s="111" t="s">
        <v>353</v>
      </c>
      <c r="AR2" s="112" t="s">
        <v>399</v>
      </c>
      <c r="AS2" s="112" t="s">
        <v>400</v>
      </c>
      <c r="AT2" s="112" t="s">
        <v>401</v>
      </c>
      <c r="AU2" s="113" t="s">
        <v>402</v>
      </c>
      <c r="AV2" s="112" t="s">
        <v>403</v>
      </c>
      <c r="AW2" s="107" t="s">
        <v>404</v>
      </c>
      <c r="AX2" s="107" t="s">
        <v>405</v>
      </c>
    </row>
    <row r="3" spans="1:50" s="71" customFormat="1" ht="40.5" hidden="1" customHeight="1">
      <c r="A3" s="120" t="s">
        <v>99</v>
      </c>
      <c r="B3" s="120" t="str">
        <f t="shared" ref="B3:B19" si="0">AT3</f>
        <v>Y</v>
      </c>
      <c r="C3" s="120"/>
      <c r="D3" s="121">
        <v>42</v>
      </c>
      <c r="E3" s="121"/>
      <c r="F3" s="122" t="str">
        <f t="shared" ref="F3:F68" si="1">IF(AS3&lt;&gt;"",_xlfn.CONCAT(AR3,"-",AS3,"-",IF(L3&lt;&gt;"",TEXT(L3,"yyyy"),"0000"),"-",REPT(0,5-LEN(D3))&amp;D3),"")</f>
        <v>BAC-RSC-2020-00042</v>
      </c>
      <c r="G3" s="123" t="s">
        <v>100</v>
      </c>
      <c r="H3" s="124" t="s">
        <v>101</v>
      </c>
      <c r="I3" s="239"/>
      <c r="J3" s="80">
        <f t="shared" ref="J3:J81" si="2">Y3</f>
        <v>0</v>
      </c>
      <c r="K3" s="177">
        <f t="shared" ref="K3:K23" si="3">MAX(L3:R3)</f>
        <v>44068</v>
      </c>
      <c r="L3" s="141">
        <v>44068</v>
      </c>
      <c r="M3" s="142"/>
      <c r="N3" s="142"/>
      <c r="O3" s="142"/>
      <c r="P3" s="142">
        <v>43637</v>
      </c>
      <c r="Q3" s="199" t="s">
        <v>16</v>
      </c>
      <c r="R3" s="199" t="s">
        <v>4</v>
      </c>
      <c r="S3" s="199"/>
      <c r="T3" s="199"/>
      <c r="U3" s="199"/>
      <c r="V3" s="199"/>
      <c r="W3" s="199"/>
      <c r="X3" s="143" t="s">
        <v>406</v>
      </c>
      <c r="Y3" s="173">
        <f t="shared" ref="Y3:Y33" si="4">IFERROR(AF3+AG3,"")</f>
        <v>0</v>
      </c>
      <c r="Z3" s="83">
        <f t="shared" ref="Z3:Z81" si="5">IFERROR((AK3*AH3)*7.5,"")</f>
        <v>0</v>
      </c>
      <c r="AA3" s="84">
        <f t="shared" ref="AA3:AA17" si="6">IFERROR((AL3*AH3)*7.5,"")</f>
        <v>0</v>
      </c>
      <c r="AB3" s="84">
        <f t="shared" ref="AB3:AB17" si="7">IFERROR((AM3*AH3)*7.5,"")</f>
        <v>0</v>
      </c>
      <c r="AC3" s="84">
        <f t="shared" ref="AC3:AC81" si="8">IFERROR((AN3*AH3)*7.5,"")</f>
        <v>0</v>
      </c>
      <c r="AD3" s="84"/>
      <c r="AE3" s="84">
        <f t="shared" ref="AE3:AE17" si="9">IFERROR((AO3*AH3)*7.5,"")</f>
        <v>0</v>
      </c>
      <c r="AF3" s="84">
        <f t="shared" ref="AF3:AF66" si="10">IFERROR(SUM(Z3:AE3),"")</f>
        <v>0</v>
      </c>
      <c r="AG3" s="94">
        <f t="shared" ref="AG3:AG17" si="11">IFERROR((AQ3*AH3)*7.5,"")</f>
        <v>0</v>
      </c>
      <c r="AH3" s="85">
        <f>IFERROR(VLOOKUP(A3,CUSTOMERS!$A:$E,4),"")</f>
        <v>211.66</v>
      </c>
      <c r="AI3" s="86" t="str">
        <f t="shared" ref="AI3:AI34" si="12">AV3</f>
        <v/>
      </c>
      <c r="AJ3" s="87">
        <f>IFERROR(VLOOKUP(A3,CUSTOMERS!$A:$F,5),"")</f>
        <v>0.2</v>
      </c>
      <c r="AK3" s="96"/>
      <c r="AL3" s="96">
        <v>0</v>
      </c>
      <c r="AM3" s="96">
        <v>0</v>
      </c>
      <c r="AN3" s="96"/>
      <c r="AO3" s="96">
        <v>0</v>
      </c>
      <c r="AP3" s="102">
        <f t="shared" ref="AP3:AP81" si="13">SUM(AK3:AO3)</f>
        <v>0</v>
      </c>
      <c r="AQ3" s="102">
        <f t="shared" ref="AQ3:AQ38" si="14">IFERROR(AP3*AJ3,"")</f>
        <v>0</v>
      </c>
      <c r="AR3" s="68" t="str">
        <f>IFERROR(VLOOKUP(A3,CUSTOMERS!$A:$B,2),"")</f>
        <v>BAC</v>
      </c>
      <c r="AS3" s="68" t="str">
        <f>IFERROR(VLOOKUP(A3,CUSTOMERS!$A:$D,3),"")</f>
        <v>RSC</v>
      </c>
      <c r="AT3" s="68" t="str">
        <f>IFERROR(VLOOKUP(A3,CUSTOMERS!$A:$F,6),"")</f>
        <v>Y</v>
      </c>
      <c r="AU3" s="69">
        <f>IFERROR(VLOOKUP(A3,CUSTOMERS!$A:$E,4),"")</f>
        <v>211.66</v>
      </c>
      <c r="AV3" s="68" t="str">
        <f t="shared" ref="AV3:AV39" si="15">IF(AH3&lt;&gt;AU3,"Y","")</f>
        <v/>
      </c>
      <c r="AW3" s="70" t="str">
        <f t="shared" ref="AW3:AW68" si="16">"descr"&amp;ROW()</f>
        <v>descr3</v>
      </c>
      <c r="AX3" s="71" t="str">
        <f>"reason"&amp;ROW()</f>
        <v>reason3</v>
      </c>
    </row>
    <row r="4" spans="1:50" s="72" customFormat="1" ht="40.5" customHeight="1">
      <c r="A4" s="120" t="s">
        <v>99</v>
      </c>
      <c r="B4" s="120" t="str">
        <f t="shared" si="0"/>
        <v>Y</v>
      </c>
      <c r="C4" s="120"/>
      <c r="D4" s="121"/>
      <c r="E4" s="121"/>
      <c r="F4" s="122" t="str">
        <f t="shared" si="1"/>
        <v>BAC-RSC-2020-00000</v>
      </c>
      <c r="G4" s="123" t="s">
        <v>35</v>
      </c>
      <c r="H4" s="124" t="s">
        <v>102</v>
      </c>
      <c r="I4" s="239"/>
      <c r="J4" s="80">
        <f t="shared" si="2"/>
        <v>0</v>
      </c>
      <c r="K4" s="177">
        <f t="shared" si="3"/>
        <v>44083</v>
      </c>
      <c r="L4" s="141">
        <v>44083</v>
      </c>
      <c r="M4" s="142"/>
      <c r="N4" s="142"/>
      <c r="O4" s="142"/>
      <c r="P4" s="142"/>
      <c r="Q4" s="199" t="s">
        <v>15</v>
      </c>
      <c r="R4" s="199" t="s">
        <v>4</v>
      </c>
      <c r="S4" s="199"/>
      <c r="T4" s="199"/>
      <c r="U4" s="199"/>
      <c r="V4" s="199"/>
      <c r="W4" s="199"/>
      <c r="X4" s="144"/>
      <c r="Y4" s="173">
        <f t="shared" si="4"/>
        <v>0</v>
      </c>
      <c r="Z4" s="83">
        <f t="shared" si="5"/>
        <v>0</v>
      </c>
      <c r="AA4" s="84">
        <f t="shared" si="6"/>
        <v>0</v>
      </c>
      <c r="AB4" s="84">
        <f t="shared" si="7"/>
        <v>0</v>
      </c>
      <c r="AC4" s="84">
        <f t="shared" si="8"/>
        <v>0</v>
      </c>
      <c r="AD4" s="84"/>
      <c r="AE4" s="84">
        <f t="shared" si="9"/>
        <v>0</v>
      </c>
      <c r="AF4" s="84">
        <f t="shared" si="10"/>
        <v>0</v>
      </c>
      <c r="AG4" s="94">
        <f t="shared" si="11"/>
        <v>0</v>
      </c>
      <c r="AH4" s="85">
        <f>IFERROR(VLOOKUP(A4,CUSTOMERS!$A:$E,4),"")</f>
        <v>211.66</v>
      </c>
      <c r="AI4" s="86" t="str">
        <f t="shared" si="12"/>
        <v/>
      </c>
      <c r="AJ4" s="87">
        <f>IFERROR(VLOOKUP(A4,CUSTOMERS!$A:$F,5),"")</f>
        <v>0.2</v>
      </c>
      <c r="AK4" s="96"/>
      <c r="AL4" s="96">
        <v>0</v>
      </c>
      <c r="AM4" s="96">
        <v>0</v>
      </c>
      <c r="AN4" s="96"/>
      <c r="AO4" s="96">
        <v>0</v>
      </c>
      <c r="AP4" s="102">
        <f t="shared" si="13"/>
        <v>0</v>
      </c>
      <c r="AQ4" s="102">
        <f t="shared" si="14"/>
        <v>0</v>
      </c>
      <c r="AR4" s="68" t="str">
        <f>IFERROR(VLOOKUP(A4,CUSTOMERS!$A:$B,2),"")</f>
        <v>BAC</v>
      </c>
      <c r="AS4" s="68" t="str">
        <f>IFERROR(VLOOKUP(A4,CUSTOMERS!$A:$D,3),"")</f>
        <v>RSC</v>
      </c>
      <c r="AT4" s="68" t="str">
        <f>IFERROR(VLOOKUP(A4,CUSTOMERS!$A:$F,6),"")</f>
        <v>Y</v>
      </c>
      <c r="AU4" s="69">
        <f>IFERROR(VLOOKUP(A4,CUSTOMERS!$A:$E,4),"")</f>
        <v>211.66</v>
      </c>
      <c r="AV4" s="68" t="str">
        <f t="shared" si="15"/>
        <v/>
      </c>
      <c r="AW4" s="70" t="str">
        <f t="shared" si="16"/>
        <v>descr4</v>
      </c>
      <c r="AX4" s="71" t="str">
        <f t="shared" ref="AX4:AX81" si="17">"reason"&amp;ROW()</f>
        <v>reason4</v>
      </c>
    </row>
    <row r="5" spans="1:50" s="72" customFormat="1" ht="40.5" hidden="1" customHeight="1">
      <c r="A5" s="120" t="s">
        <v>99</v>
      </c>
      <c r="B5" s="120" t="str">
        <f t="shared" si="0"/>
        <v>Y</v>
      </c>
      <c r="C5" s="120"/>
      <c r="D5" s="121">
        <v>0</v>
      </c>
      <c r="E5" s="121"/>
      <c r="F5" s="122" t="str">
        <f t="shared" si="1"/>
        <v>BAC-RSC-2020-00000</v>
      </c>
      <c r="G5" s="123" t="s">
        <v>339</v>
      </c>
      <c r="H5" s="124" t="s">
        <v>407</v>
      </c>
      <c r="I5" s="239"/>
      <c r="J5" s="81">
        <f t="shared" si="2"/>
        <v>0</v>
      </c>
      <c r="K5" s="177">
        <f t="shared" si="3"/>
        <v>43926</v>
      </c>
      <c r="L5" s="141">
        <v>43926</v>
      </c>
      <c r="M5" s="142"/>
      <c r="N5" s="142"/>
      <c r="O5" s="142"/>
      <c r="P5" s="142"/>
      <c r="Q5" s="199" t="s">
        <v>18</v>
      </c>
      <c r="R5" s="199" t="s">
        <v>4</v>
      </c>
      <c r="S5" s="199"/>
      <c r="T5" s="199"/>
      <c r="U5" s="199"/>
      <c r="V5" s="199"/>
      <c r="W5" s="199"/>
      <c r="X5" s="143" t="s">
        <v>408</v>
      </c>
      <c r="Y5" s="173">
        <f t="shared" si="4"/>
        <v>0</v>
      </c>
      <c r="Z5" s="83">
        <f t="shared" si="5"/>
        <v>0</v>
      </c>
      <c r="AA5" s="84">
        <f t="shared" si="6"/>
        <v>0</v>
      </c>
      <c r="AB5" s="84">
        <f t="shared" si="7"/>
        <v>0</v>
      </c>
      <c r="AC5" s="84">
        <f t="shared" si="8"/>
        <v>0</v>
      </c>
      <c r="AD5" s="84"/>
      <c r="AE5" s="84">
        <f t="shared" si="9"/>
        <v>0</v>
      </c>
      <c r="AF5" s="89">
        <f t="shared" si="10"/>
        <v>0</v>
      </c>
      <c r="AG5" s="94">
        <f t="shared" si="11"/>
        <v>0</v>
      </c>
      <c r="AH5" s="85">
        <f>IFERROR(VLOOKUP(A5,CUSTOMERS!$A:$E,4),"")</f>
        <v>211.66</v>
      </c>
      <c r="AI5" s="86" t="str">
        <f t="shared" si="12"/>
        <v/>
      </c>
      <c r="AJ5" s="87">
        <f>IFERROR(VLOOKUP(A5,CUSTOMERS!$A:$F,5),"")</f>
        <v>0.2</v>
      </c>
      <c r="AK5" s="96">
        <v>0</v>
      </c>
      <c r="AL5" s="96">
        <v>0</v>
      </c>
      <c r="AM5" s="96">
        <v>0</v>
      </c>
      <c r="AN5" s="96">
        <v>0</v>
      </c>
      <c r="AO5" s="96">
        <v>0</v>
      </c>
      <c r="AP5" s="102">
        <f t="shared" si="13"/>
        <v>0</v>
      </c>
      <c r="AQ5" s="102">
        <f t="shared" si="14"/>
        <v>0</v>
      </c>
      <c r="AR5" s="68" t="str">
        <f>IFERROR(VLOOKUP(A5,CUSTOMERS!$A:$B,2),"")</f>
        <v>BAC</v>
      </c>
      <c r="AS5" s="68" t="str">
        <f>IFERROR(VLOOKUP(A5,CUSTOMERS!$A:$D,3),"")</f>
        <v>RSC</v>
      </c>
      <c r="AT5" s="68" t="str">
        <f>IFERROR(VLOOKUP(A5,CUSTOMERS!$A:$F,6),"")</f>
        <v>Y</v>
      </c>
      <c r="AU5" s="69">
        <f>IFERROR(VLOOKUP(A5,CUSTOMERS!$A:$E,4),"")</f>
        <v>211.66</v>
      </c>
      <c r="AV5" s="68" t="str">
        <f t="shared" si="15"/>
        <v/>
      </c>
      <c r="AW5" s="70" t="str">
        <f t="shared" si="16"/>
        <v>descr5</v>
      </c>
      <c r="AX5" s="71" t="str">
        <f t="shared" si="17"/>
        <v>reason5</v>
      </c>
    </row>
    <row r="6" spans="1:50" s="72" customFormat="1" ht="40.5" hidden="1" customHeight="1">
      <c r="A6" s="120" t="s">
        <v>99</v>
      </c>
      <c r="B6" s="120" t="str">
        <f t="shared" si="0"/>
        <v>Y</v>
      </c>
      <c r="C6" s="120"/>
      <c r="D6" s="121"/>
      <c r="E6" s="121"/>
      <c r="F6" s="122" t="str">
        <f t="shared" si="1"/>
        <v>BAC-RSC-2020-00000</v>
      </c>
      <c r="G6" s="207" t="s">
        <v>339</v>
      </c>
      <c r="H6" s="124" t="s">
        <v>409</v>
      </c>
      <c r="I6" s="239"/>
      <c r="J6" s="81">
        <f t="shared" si="2"/>
        <v>0</v>
      </c>
      <c r="K6" s="177">
        <f t="shared" si="3"/>
        <v>43972</v>
      </c>
      <c r="L6" s="141">
        <v>43972</v>
      </c>
      <c r="M6" s="142"/>
      <c r="N6" s="142"/>
      <c r="O6" s="142"/>
      <c r="P6" s="142"/>
      <c r="Q6" s="199" t="s">
        <v>15</v>
      </c>
      <c r="R6" s="199" t="s">
        <v>4</v>
      </c>
      <c r="S6" s="199"/>
      <c r="T6" s="199"/>
      <c r="U6" s="199"/>
      <c r="V6" s="199"/>
      <c r="W6" s="199"/>
      <c r="X6" s="143" t="s">
        <v>410</v>
      </c>
      <c r="Y6" s="173">
        <f t="shared" si="4"/>
        <v>0</v>
      </c>
      <c r="Z6" s="83">
        <f t="shared" si="5"/>
        <v>0</v>
      </c>
      <c r="AA6" s="84">
        <f t="shared" si="6"/>
        <v>0</v>
      </c>
      <c r="AB6" s="84">
        <f t="shared" si="7"/>
        <v>0</v>
      </c>
      <c r="AC6" s="84">
        <f t="shared" si="8"/>
        <v>0</v>
      </c>
      <c r="AD6" s="84"/>
      <c r="AE6" s="84">
        <f t="shared" si="9"/>
        <v>0</v>
      </c>
      <c r="AF6" s="190">
        <f t="shared" si="10"/>
        <v>0</v>
      </c>
      <c r="AG6" s="191">
        <f t="shared" si="11"/>
        <v>0</v>
      </c>
      <c r="AH6" s="85">
        <f>IFERROR(VLOOKUP(A6,CUSTOMERS!$A:$E,4),"")</f>
        <v>211.66</v>
      </c>
      <c r="AI6" s="86" t="str">
        <f t="shared" si="12"/>
        <v/>
      </c>
      <c r="AJ6" s="87">
        <f>IFERROR(VLOOKUP(A6,CUSTOMERS!$A:$F,5),"")</f>
        <v>0.2</v>
      </c>
      <c r="AK6" s="96"/>
      <c r="AL6" s="96">
        <v>0</v>
      </c>
      <c r="AM6" s="96">
        <v>0</v>
      </c>
      <c r="AN6" s="96"/>
      <c r="AO6" s="96">
        <v>0</v>
      </c>
      <c r="AP6" s="102">
        <f t="shared" si="13"/>
        <v>0</v>
      </c>
      <c r="AQ6" s="102">
        <f t="shared" si="14"/>
        <v>0</v>
      </c>
      <c r="AR6" s="68" t="str">
        <f>IFERROR(VLOOKUP(A6,CUSTOMERS!$A:$B,2),"")</f>
        <v>BAC</v>
      </c>
      <c r="AS6" s="68" t="str">
        <f>IFERROR(VLOOKUP(A6,CUSTOMERS!$A:$D,3),"")</f>
        <v>RSC</v>
      </c>
      <c r="AT6" s="68" t="str">
        <f>IFERROR(VLOOKUP(A6,CUSTOMERS!$A:$F,6),"")</f>
        <v>Y</v>
      </c>
      <c r="AU6" s="69">
        <f>IFERROR(VLOOKUP(A6,CUSTOMERS!$A:$E,4),"")</f>
        <v>211.66</v>
      </c>
      <c r="AV6" s="68" t="str">
        <f t="shared" si="15"/>
        <v/>
      </c>
      <c r="AW6" s="70" t="str">
        <f t="shared" si="16"/>
        <v>descr6</v>
      </c>
      <c r="AX6" s="71" t="str">
        <f t="shared" si="17"/>
        <v>reason6</v>
      </c>
    </row>
    <row r="7" spans="1:50" s="72" customFormat="1" ht="40.5" customHeight="1">
      <c r="A7" s="120" t="s">
        <v>99</v>
      </c>
      <c r="B7" s="120" t="str">
        <f t="shared" si="0"/>
        <v>Y</v>
      </c>
      <c r="C7" s="120"/>
      <c r="D7" s="121">
        <v>43</v>
      </c>
      <c r="E7" s="121"/>
      <c r="F7" s="122" t="str">
        <f t="shared" si="1"/>
        <v>BAC-RSC-2020-00043</v>
      </c>
      <c r="G7" s="123" t="s">
        <v>103</v>
      </c>
      <c r="H7" s="124" t="s">
        <v>104</v>
      </c>
      <c r="I7" s="239"/>
      <c r="J7" s="81">
        <f t="shared" si="2"/>
        <v>18573.165000000001</v>
      </c>
      <c r="K7" s="177">
        <f t="shared" si="3"/>
        <v>44133</v>
      </c>
      <c r="L7" s="141">
        <v>43975</v>
      </c>
      <c r="M7" s="142">
        <v>44133</v>
      </c>
      <c r="N7" s="142">
        <v>44133</v>
      </c>
      <c r="O7" s="142"/>
      <c r="P7" s="142"/>
      <c r="Q7" s="199" t="s">
        <v>18</v>
      </c>
      <c r="R7" s="199" t="s">
        <v>4</v>
      </c>
      <c r="S7" s="199"/>
      <c r="T7" s="199"/>
      <c r="U7" s="199"/>
      <c r="V7" s="199"/>
      <c r="W7" s="199"/>
      <c r="X7" s="145" t="s">
        <v>411</v>
      </c>
      <c r="Y7" s="173">
        <f t="shared" si="4"/>
        <v>18573.165000000001</v>
      </c>
      <c r="Z7" s="83">
        <f t="shared" si="5"/>
        <v>0</v>
      </c>
      <c r="AA7" s="84">
        <f t="shared" si="6"/>
        <v>12699.6</v>
      </c>
      <c r="AB7" s="84">
        <f t="shared" si="7"/>
        <v>793.72500000000002</v>
      </c>
      <c r="AC7" s="84">
        <f t="shared" si="8"/>
        <v>0</v>
      </c>
      <c r="AD7" s="84"/>
      <c r="AE7" s="84">
        <f t="shared" si="9"/>
        <v>1984.3125</v>
      </c>
      <c r="AF7" s="190">
        <f t="shared" si="10"/>
        <v>15477.637500000001</v>
      </c>
      <c r="AG7" s="191">
        <f t="shared" si="11"/>
        <v>3095.5275000000001</v>
      </c>
      <c r="AH7" s="85">
        <f>IFERROR(VLOOKUP(A7,CUSTOMERS!$A:$E,4),"")</f>
        <v>211.66</v>
      </c>
      <c r="AI7" s="86" t="str">
        <f t="shared" si="12"/>
        <v/>
      </c>
      <c r="AJ7" s="87">
        <f>IFERROR(VLOOKUP(A7,CUSTOMERS!$A:$F,5),"")</f>
        <v>0.2</v>
      </c>
      <c r="AK7" s="96"/>
      <c r="AL7" s="96">
        <v>8</v>
      </c>
      <c r="AM7" s="96">
        <v>0.5</v>
      </c>
      <c r="AN7" s="96"/>
      <c r="AO7" s="96">
        <v>1.25</v>
      </c>
      <c r="AP7" s="102">
        <f t="shared" si="13"/>
        <v>9.75</v>
      </c>
      <c r="AQ7" s="102">
        <f t="shared" si="14"/>
        <v>1.9500000000000002</v>
      </c>
      <c r="AR7" s="68" t="str">
        <f>IFERROR(VLOOKUP(A7,CUSTOMERS!$A:$B,2),"")</f>
        <v>BAC</v>
      </c>
      <c r="AS7" s="68" t="str">
        <f>IFERROR(VLOOKUP(A7,CUSTOMERS!$A:$D,3),"")</f>
        <v>RSC</v>
      </c>
      <c r="AT7" s="68" t="str">
        <f>IFERROR(VLOOKUP(A7,CUSTOMERS!$A:$F,6),"")</f>
        <v>Y</v>
      </c>
      <c r="AU7" s="69">
        <f>IFERROR(VLOOKUP(A7,CUSTOMERS!$A:$E,4),"")</f>
        <v>211.66</v>
      </c>
      <c r="AV7" s="68" t="str">
        <f t="shared" si="15"/>
        <v/>
      </c>
      <c r="AW7" s="70" t="str">
        <f t="shared" si="16"/>
        <v>descr7</v>
      </c>
      <c r="AX7" s="71" t="str">
        <f t="shared" si="17"/>
        <v>reason7</v>
      </c>
    </row>
    <row r="8" spans="1:50" s="73" customFormat="1" ht="40.5" hidden="1" customHeight="1">
      <c r="A8" s="120" t="s">
        <v>99</v>
      </c>
      <c r="B8" s="120" t="str">
        <f t="shared" si="0"/>
        <v>Y</v>
      </c>
      <c r="C8" s="120"/>
      <c r="D8" s="121"/>
      <c r="E8" s="121"/>
      <c r="F8" s="122" t="str">
        <f t="shared" si="1"/>
        <v>BAC-RSC-2020-00000</v>
      </c>
      <c r="G8" s="123" t="s">
        <v>100</v>
      </c>
      <c r="H8" s="124" t="s">
        <v>105</v>
      </c>
      <c r="I8" s="239"/>
      <c r="J8" s="80">
        <f t="shared" si="2"/>
        <v>0</v>
      </c>
      <c r="K8" s="177">
        <f t="shared" si="3"/>
        <v>44091</v>
      </c>
      <c r="L8" s="141">
        <v>44091</v>
      </c>
      <c r="M8" s="142"/>
      <c r="N8" s="142"/>
      <c r="O8" s="142"/>
      <c r="P8" s="142"/>
      <c r="Q8" s="199" t="s">
        <v>18</v>
      </c>
      <c r="R8" s="199" t="s">
        <v>4</v>
      </c>
      <c r="S8" s="199"/>
      <c r="T8" s="199"/>
      <c r="U8" s="199"/>
      <c r="V8" s="199"/>
      <c r="W8" s="199"/>
      <c r="X8" s="144" t="s">
        <v>412</v>
      </c>
      <c r="Y8" s="173">
        <f t="shared" si="4"/>
        <v>0</v>
      </c>
      <c r="Z8" s="83">
        <f t="shared" si="5"/>
        <v>0</v>
      </c>
      <c r="AA8" s="84">
        <f t="shared" si="6"/>
        <v>0</v>
      </c>
      <c r="AB8" s="84">
        <f t="shared" si="7"/>
        <v>0</v>
      </c>
      <c r="AC8" s="84">
        <f t="shared" si="8"/>
        <v>0</v>
      </c>
      <c r="AD8" s="84"/>
      <c r="AE8" s="84">
        <f t="shared" si="9"/>
        <v>0</v>
      </c>
      <c r="AF8" s="179">
        <f t="shared" si="10"/>
        <v>0</v>
      </c>
      <c r="AG8" s="191">
        <f t="shared" si="11"/>
        <v>0</v>
      </c>
      <c r="AH8" s="85">
        <f>IFERROR(VLOOKUP(A8,CUSTOMERS!$A:$E,4),"")</f>
        <v>211.66</v>
      </c>
      <c r="AI8" s="86" t="str">
        <f t="shared" si="12"/>
        <v/>
      </c>
      <c r="AJ8" s="87">
        <f>IFERROR(VLOOKUP(A8,CUSTOMERS!$A:$F,5),"")</f>
        <v>0.2</v>
      </c>
      <c r="AK8" s="96"/>
      <c r="AL8" s="96">
        <v>0</v>
      </c>
      <c r="AM8" s="96">
        <v>0</v>
      </c>
      <c r="AN8" s="96"/>
      <c r="AO8" s="96">
        <v>0</v>
      </c>
      <c r="AP8" s="102">
        <f t="shared" si="13"/>
        <v>0</v>
      </c>
      <c r="AQ8" s="102">
        <f t="shared" si="14"/>
        <v>0</v>
      </c>
      <c r="AR8" s="68" t="str">
        <f>IFERROR(VLOOKUP(A8,CUSTOMERS!$A:$B,2),"")</f>
        <v>BAC</v>
      </c>
      <c r="AS8" s="68" t="str">
        <f>IFERROR(VLOOKUP(A8,CUSTOMERS!$A:$D,3),"")</f>
        <v>RSC</v>
      </c>
      <c r="AT8" s="68" t="str">
        <f>IFERROR(VLOOKUP(A8,CUSTOMERS!$A:$F,6),"")</f>
        <v>Y</v>
      </c>
      <c r="AU8" s="69">
        <f>IFERROR(VLOOKUP(A8,CUSTOMERS!$A:$E,4),"")</f>
        <v>211.66</v>
      </c>
      <c r="AV8" s="68" t="str">
        <f t="shared" si="15"/>
        <v/>
      </c>
      <c r="AW8" s="70" t="str">
        <f t="shared" si="16"/>
        <v>descr8</v>
      </c>
      <c r="AX8" s="71" t="str">
        <f t="shared" si="17"/>
        <v>reason8</v>
      </c>
    </row>
    <row r="9" spans="1:50" s="73" customFormat="1" ht="40.5" customHeight="1">
      <c r="A9" s="120" t="s">
        <v>99</v>
      </c>
      <c r="B9" s="120" t="str">
        <f t="shared" si="0"/>
        <v>Y</v>
      </c>
      <c r="C9" s="120"/>
      <c r="D9" s="121"/>
      <c r="E9" s="121"/>
      <c r="F9" s="122" t="str">
        <f t="shared" si="1"/>
        <v>BAC-RSC-2020-00000</v>
      </c>
      <c r="G9" s="123" t="s">
        <v>106</v>
      </c>
      <c r="H9" s="124" t="s">
        <v>107</v>
      </c>
      <c r="I9" s="239"/>
      <c r="J9" s="80">
        <f t="shared" si="2"/>
        <v>0</v>
      </c>
      <c r="K9" s="177">
        <f t="shared" si="3"/>
        <v>44091</v>
      </c>
      <c r="L9" s="141">
        <v>44091</v>
      </c>
      <c r="M9" s="142"/>
      <c r="N9" s="142"/>
      <c r="O9" s="142"/>
      <c r="P9" s="142"/>
      <c r="Q9" s="199" t="s">
        <v>15</v>
      </c>
      <c r="R9" s="199" t="s">
        <v>4</v>
      </c>
      <c r="S9" s="199"/>
      <c r="T9" s="199"/>
      <c r="U9" s="199"/>
      <c r="V9" s="199"/>
      <c r="W9" s="199"/>
      <c r="X9" s="144"/>
      <c r="Y9" s="173">
        <f t="shared" si="4"/>
        <v>0</v>
      </c>
      <c r="Z9" s="83">
        <f t="shared" si="5"/>
        <v>0</v>
      </c>
      <c r="AA9" s="84">
        <f t="shared" si="6"/>
        <v>0</v>
      </c>
      <c r="AB9" s="84">
        <f t="shared" si="7"/>
        <v>0</v>
      </c>
      <c r="AC9" s="84">
        <f t="shared" si="8"/>
        <v>0</v>
      </c>
      <c r="AD9" s="84"/>
      <c r="AE9" s="84">
        <f t="shared" si="9"/>
        <v>0</v>
      </c>
      <c r="AF9" s="179">
        <f t="shared" si="10"/>
        <v>0</v>
      </c>
      <c r="AG9" s="191">
        <f t="shared" si="11"/>
        <v>0</v>
      </c>
      <c r="AH9" s="85">
        <f>IFERROR(VLOOKUP(A9,CUSTOMERS!$A:$E,4),"")</f>
        <v>211.66</v>
      </c>
      <c r="AI9" s="86" t="str">
        <f t="shared" si="12"/>
        <v/>
      </c>
      <c r="AJ9" s="87">
        <f>IFERROR(VLOOKUP(A9,CUSTOMERS!$A:$F,5),"")</f>
        <v>0.2</v>
      </c>
      <c r="AK9" s="96"/>
      <c r="AL9" s="96"/>
      <c r="AM9" s="96"/>
      <c r="AN9" s="96"/>
      <c r="AO9" s="96"/>
      <c r="AP9" s="102">
        <f t="shared" si="13"/>
        <v>0</v>
      </c>
      <c r="AQ9" s="102">
        <f t="shared" si="14"/>
        <v>0</v>
      </c>
      <c r="AR9" s="68" t="str">
        <f>IFERROR(VLOOKUP(A9,CUSTOMERS!$A:$B,2),"")</f>
        <v>BAC</v>
      </c>
      <c r="AS9" s="68" t="str">
        <f>IFERROR(VLOOKUP(A9,CUSTOMERS!$A:$D,3),"")</f>
        <v>RSC</v>
      </c>
      <c r="AT9" s="68" t="str">
        <f>IFERROR(VLOOKUP(A9,CUSTOMERS!$A:$F,6),"")</f>
        <v>Y</v>
      </c>
      <c r="AU9" s="69">
        <f>IFERROR(VLOOKUP(A9,CUSTOMERS!$A:$E,4),"")</f>
        <v>211.66</v>
      </c>
      <c r="AV9" s="68" t="str">
        <f t="shared" si="15"/>
        <v/>
      </c>
      <c r="AW9" s="70" t="str">
        <f t="shared" si="16"/>
        <v>descr9</v>
      </c>
      <c r="AX9" s="71" t="str">
        <f t="shared" si="17"/>
        <v>reason9</v>
      </c>
    </row>
    <row r="10" spans="1:50" s="73" customFormat="1" ht="40.5" customHeight="1">
      <c r="A10" s="120" t="s">
        <v>99</v>
      </c>
      <c r="B10" s="120" t="str">
        <f t="shared" si="0"/>
        <v>Y</v>
      </c>
      <c r="C10" s="120"/>
      <c r="D10" s="121">
        <v>9999</v>
      </c>
      <c r="E10" s="121"/>
      <c r="F10" s="122" t="str">
        <f t="shared" si="1"/>
        <v>BAC-RSC-2020-09999</v>
      </c>
      <c r="G10" s="123" t="s">
        <v>109</v>
      </c>
      <c r="H10" s="124" t="s">
        <v>110</v>
      </c>
      <c r="I10" s="239"/>
      <c r="J10" s="80">
        <f t="shared" si="2"/>
        <v>47623.5</v>
      </c>
      <c r="K10" s="177">
        <f t="shared" si="3"/>
        <v>44144</v>
      </c>
      <c r="L10" s="141">
        <v>44129</v>
      </c>
      <c r="M10" s="142"/>
      <c r="N10" s="142"/>
      <c r="O10" s="142">
        <v>44143</v>
      </c>
      <c r="P10" s="142">
        <v>44144</v>
      </c>
      <c r="Q10" s="199" t="s">
        <v>6</v>
      </c>
      <c r="R10" s="199" t="s">
        <v>4</v>
      </c>
      <c r="S10" s="199"/>
      <c r="T10" s="199"/>
      <c r="U10" s="199"/>
      <c r="V10" s="199"/>
      <c r="W10" s="199"/>
      <c r="X10" s="144" t="s">
        <v>413</v>
      </c>
      <c r="Y10" s="173">
        <f t="shared" si="4"/>
        <v>47623.5</v>
      </c>
      <c r="Z10" s="83">
        <f t="shared" si="5"/>
        <v>7937.25</v>
      </c>
      <c r="AA10" s="84">
        <f t="shared" si="6"/>
        <v>7937.25</v>
      </c>
      <c r="AB10" s="84">
        <f t="shared" si="7"/>
        <v>12699.6</v>
      </c>
      <c r="AC10" s="84">
        <f t="shared" si="8"/>
        <v>4762.3500000000004</v>
      </c>
      <c r="AD10" s="84"/>
      <c r="AE10" s="84">
        <f t="shared" si="9"/>
        <v>6349.8</v>
      </c>
      <c r="AF10" s="179">
        <f t="shared" si="10"/>
        <v>39686.25</v>
      </c>
      <c r="AG10" s="191">
        <f t="shared" si="11"/>
        <v>7937.25</v>
      </c>
      <c r="AH10" s="85">
        <f>IFERROR(VLOOKUP(A10,CUSTOMERS!$A:$E,4),"")</f>
        <v>211.66</v>
      </c>
      <c r="AI10" s="86" t="str">
        <f t="shared" si="12"/>
        <v/>
      </c>
      <c r="AJ10" s="87">
        <f>IFERROR(VLOOKUP(A10,CUSTOMERS!$A:$F,5),"")</f>
        <v>0.2</v>
      </c>
      <c r="AK10" s="96">
        <v>5</v>
      </c>
      <c r="AL10" s="96">
        <v>5</v>
      </c>
      <c r="AM10" s="96">
        <v>8</v>
      </c>
      <c r="AN10" s="96">
        <v>3</v>
      </c>
      <c r="AO10" s="96">
        <v>4</v>
      </c>
      <c r="AP10" s="102">
        <f t="shared" si="13"/>
        <v>25</v>
      </c>
      <c r="AQ10" s="102">
        <f t="shared" si="14"/>
        <v>5</v>
      </c>
      <c r="AR10" s="68" t="str">
        <f>IFERROR(VLOOKUP(A10,CUSTOMERS!$A:$B,2),"")</f>
        <v>BAC</v>
      </c>
      <c r="AS10" s="68" t="str">
        <f>IFERROR(VLOOKUP(A10,CUSTOMERS!$A:$D,3),"")</f>
        <v>RSC</v>
      </c>
      <c r="AT10" s="68" t="str">
        <f>IFERROR(VLOOKUP(A10,CUSTOMERS!$A:$F,6),"")</f>
        <v>Y</v>
      </c>
      <c r="AU10" s="69">
        <f>IFERROR(VLOOKUP(A10,CUSTOMERS!$A:$E,4),"")</f>
        <v>211.66</v>
      </c>
      <c r="AV10" s="68" t="str">
        <f t="shared" si="15"/>
        <v/>
      </c>
      <c r="AW10" s="70" t="str">
        <f t="shared" si="16"/>
        <v>descr10</v>
      </c>
      <c r="AX10" s="71" t="str">
        <f t="shared" si="17"/>
        <v>reason10</v>
      </c>
    </row>
    <row r="11" spans="1:50" s="73" customFormat="1" ht="40.5" customHeight="1">
      <c r="A11" s="120" t="s">
        <v>111</v>
      </c>
      <c r="B11" s="120" t="str">
        <f t="shared" si="0"/>
        <v>Y</v>
      </c>
      <c r="C11" s="120"/>
      <c r="D11" s="121">
        <v>5</v>
      </c>
      <c r="E11" s="121"/>
      <c r="F11" s="122" t="str">
        <f t="shared" si="1"/>
        <v>LEU-RSC-2020-00005</v>
      </c>
      <c r="G11" s="123" t="s">
        <v>109</v>
      </c>
      <c r="H11" s="124" t="s">
        <v>112</v>
      </c>
      <c r="I11" s="239"/>
      <c r="J11" s="80">
        <f t="shared" si="2"/>
        <v>9492.119999999999</v>
      </c>
      <c r="K11" s="177">
        <f t="shared" si="3"/>
        <v>44110</v>
      </c>
      <c r="L11" s="141">
        <v>44110</v>
      </c>
      <c r="M11" s="142">
        <v>44110</v>
      </c>
      <c r="N11" s="142">
        <v>44110</v>
      </c>
      <c r="O11" s="142"/>
      <c r="P11" s="142">
        <v>44110</v>
      </c>
      <c r="Q11" s="199" t="s">
        <v>18</v>
      </c>
      <c r="R11" s="199" t="s">
        <v>4</v>
      </c>
      <c r="S11" s="199"/>
      <c r="T11" s="199"/>
      <c r="U11" s="199"/>
      <c r="V11" s="199"/>
      <c r="W11" s="199"/>
      <c r="X11" s="144" t="s">
        <v>414</v>
      </c>
      <c r="Y11" s="173">
        <f t="shared" si="4"/>
        <v>9492.119999999999</v>
      </c>
      <c r="Z11" s="83">
        <f t="shared" si="5"/>
        <v>0</v>
      </c>
      <c r="AA11" s="84">
        <f t="shared" si="6"/>
        <v>4314.5999999999995</v>
      </c>
      <c r="AB11" s="84">
        <f t="shared" si="7"/>
        <v>719.09999999999991</v>
      </c>
      <c r="AC11" s="84">
        <f t="shared" si="8"/>
        <v>1438.1999999999998</v>
      </c>
      <c r="AD11" s="84"/>
      <c r="AE11" s="84">
        <f t="shared" si="9"/>
        <v>1438.1999999999998</v>
      </c>
      <c r="AF11" s="179">
        <f t="shared" si="10"/>
        <v>7910.0999999999985</v>
      </c>
      <c r="AG11" s="191">
        <f t="shared" si="11"/>
        <v>1582.02</v>
      </c>
      <c r="AH11" s="85">
        <f>IFERROR(VLOOKUP(A11,CUSTOMERS!$A:$E,4),"")</f>
        <v>191.76</v>
      </c>
      <c r="AI11" s="86" t="str">
        <f t="shared" si="12"/>
        <v/>
      </c>
      <c r="AJ11" s="87">
        <f>IFERROR(VLOOKUP(A11,CUSTOMERS!$A:$F,5),"")</f>
        <v>0.2</v>
      </c>
      <c r="AK11" s="96"/>
      <c r="AL11" s="96">
        <v>3</v>
      </c>
      <c r="AM11" s="96">
        <v>0.5</v>
      </c>
      <c r="AN11" s="96">
        <v>1</v>
      </c>
      <c r="AO11" s="96">
        <v>1</v>
      </c>
      <c r="AP11" s="102">
        <f t="shared" si="13"/>
        <v>5.5</v>
      </c>
      <c r="AQ11" s="102">
        <f t="shared" si="14"/>
        <v>1.1000000000000001</v>
      </c>
      <c r="AR11" s="68" t="str">
        <f>IFERROR(VLOOKUP(A11,CUSTOMERS!$A:$B,2),"")</f>
        <v>LEU</v>
      </c>
      <c r="AS11" s="68" t="str">
        <f>IFERROR(VLOOKUP(A11,CUSTOMERS!$A:$D,3),"")</f>
        <v>RSC</v>
      </c>
      <c r="AT11" s="68" t="str">
        <f>IFERROR(VLOOKUP(A11,CUSTOMERS!$A:$F,6),"")</f>
        <v>Y</v>
      </c>
      <c r="AU11" s="69">
        <f>IFERROR(VLOOKUP(A11,CUSTOMERS!$A:$E,4),"")</f>
        <v>191.76</v>
      </c>
      <c r="AV11" s="68" t="str">
        <f t="shared" si="15"/>
        <v/>
      </c>
      <c r="AW11" s="70" t="str">
        <f t="shared" si="16"/>
        <v>descr11</v>
      </c>
      <c r="AX11" s="71" t="str">
        <f t="shared" si="17"/>
        <v>reason11</v>
      </c>
    </row>
    <row r="12" spans="1:50" s="73" customFormat="1" ht="40.5" customHeight="1">
      <c r="A12" s="120" t="s">
        <v>111</v>
      </c>
      <c r="B12" s="120" t="str">
        <f t="shared" si="0"/>
        <v>Y</v>
      </c>
      <c r="C12" s="120"/>
      <c r="D12" s="121">
        <v>6</v>
      </c>
      <c r="E12" s="121"/>
      <c r="F12" s="122" t="str">
        <f t="shared" si="1"/>
        <v>LEU-RSC-2020-00006</v>
      </c>
      <c r="G12" s="123" t="s">
        <v>109</v>
      </c>
      <c r="H12" s="124" t="s">
        <v>113</v>
      </c>
      <c r="I12" s="239"/>
      <c r="J12" s="80">
        <f t="shared" si="2"/>
        <v>7766.28</v>
      </c>
      <c r="K12" s="177">
        <f t="shared" si="3"/>
        <v>44111</v>
      </c>
      <c r="L12" s="141">
        <v>44111</v>
      </c>
      <c r="M12" s="142">
        <v>44111</v>
      </c>
      <c r="N12" s="142">
        <v>44111</v>
      </c>
      <c r="O12" s="142"/>
      <c r="P12" s="142"/>
      <c r="Q12" s="199" t="s">
        <v>6</v>
      </c>
      <c r="R12" s="199" t="s">
        <v>4</v>
      </c>
      <c r="S12" s="199"/>
      <c r="T12" s="199"/>
      <c r="U12" s="199"/>
      <c r="V12" s="199"/>
      <c r="W12" s="199"/>
      <c r="X12" s="144" t="s">
        <v>414</v>
      </c>
      <c r="Y12" s="173">
        <f t="shared" si="4"/>
        <v>7766.28</v>
      </c>
      <c r="Z12" s="83">
        <f t="shared" si="5"/>
        <v>0</v>
      </c>
      <c r="AA12" s="84">
        <f t="shared" si="6"/>
        <v>2516.85</v>
      </c>
      <c r="AB12" s="84">
        <f t="shared" si="7"/>
        <v>1438.1999999999998</v>
      </c>
      <c r="AC12" s="84">
        <f t="shared" si="8"/>
        <v>1438.1999999999998</v>
      </c>
      <c r="AD12" s="84"/>
      <c r="AE12" s="84">
        <f t="shared" si="9"/>
        <v>1078.6499999999999</v>
      </c>
      <c r="AF12" s="179">
        <f t="shared" si="10"/>
        <v>6471.9</v>
      </c>
      <c r="AG12" s="191">
        <f t="shared" si="11"/>
        <v>1294.3800000000001</v>
      </c>
      <c r="AH12" s="85">
        <f>IFERROR(VLOOKUP(A12,CUSTOMERS!$A:$E,4),"")</f>
        <v>191.76</v>
      </c>
      <c r="AI12" s="86" t="str">
        <f t="shared" si="12"/>
        <v/>
      </c>
      <c r="AJ12" s="87">
        <f>IFERROR(VLOOKUP(A12,CUSTOMERS!$A:$F,5),"")</f>
        <v>0.2</v>
      </c>
      <c r="AK12" s="96"/>
      <c r="AL12" s="96">
        <v>1.75</v>
      </c>
      <c r="AM12" s="96">
        <v>1</v>
      </c>
      <c r="AN12" s="96">
        <v>1</v>
      </c>
      <c r="AO12" s="96">
        <v>0.75</v>
      </c>
      <c r="AP12" s="102">
        <f t="shared" si="13"/>
        <v>4.5</v>
      </c>
      <c r="AQ12" s="102">
        <f t="shared" si="14"/>
        <v>0.9</v>
      </c>
      <c r="AR12" s="68" t="str">
        <f>IFERROR(VLOOKUP(A12,CUSTOMERS!$A:$B,2),"")</f>
        <v>LEU</v>
      </c>
      <c r="AS12" s="68" t="str">
        <f>IFERROR(VLOOKUP(A12,CUSTOMERS!$A:$D,3),"")</f>
        <v>RSC</v>
      </c>
      <c r="AT12" s="68" t="str">
        <f>IFERROR(VLOOKUP(A12,CUSTOMERS!$A:$F,6),"")</f>
        <v>Y</v>
      </c>
      <c r="AU12" s="69">
        <f>IFERROR(VLOOKUP(A12,CUSTOMERS!$A:$E,4),"")</f>
        <v>191.76</v>
      </c>
      <c r="AV12" s="68" t="str">
        <f t="shared" si="15"/>
        <v/>
      </c>
      <c r="AW12" s="70" t="str">
        <f t="shared" si="16"/>
        <v>descr12</v>
      </c>
      <c r="AX12" s="71" t="str">
        <f t="shared" si="17"/>
        <v>reason12</v>
      </c>
    </row>
    <row r="13" spans="1:50" s="73" customFormat="1" ht="40.5" hidden="1" customHeight="1">
      <c r="A13" s="120" t="s">
        <v>114</v>
      </c>
      <c r="B13" s="120" t="str">
        <f t="shared" si="0"/>
        <v>Y</v>
      </c>
      <c r="C13" s="120"/>
      <c r="D13" s="121">
        <v>639</v>
      </c>
      <c r="E13" s="121"/>
      <c r="F13" s="122" t="str">
        <f t="shared" si="1"/>
        <v>BOI-RSC-2020-00639</v>
      </c>
      <c r="G13" s="123" t="s">
        <v>100</v>
      </c>
      <c r="H13" s="124" t="s">
        <v>115</v>
      </c>
      <c r="I13" s="239"/>
      <c r="J13" s="81">
        <f t="shared" si="2"/>
        <v>0</v>
      </c>
      <c r="K13" s="177">
        <f t="shared" si="3"/>
        <v>43972</v>
      </c>
      <c r="L13" s="141">
        <v>43972</v>
      </c>
      <c r="M13" s="142"/>
      <c r="N13" s="142"/>
      <c r="O13" s="142"/>
      <c r="P13" s="142">
        <v>43950</v>
      </c>
      <c r="Q13" s="199" t="s">
        <v>13</v>
      </c>
      <c r="R13" s="199" t="s">
        <v>4</v>
      </c>
      <c r="S13" s="199"/>
      <c r="T13" s="199"/>
      <c r="U13" s="199"/>
      <c r="V13" s="199"/>
      <c r="W13" s="199"/>
      <c r="X13" s="143" t="s">
        <v>415</v>
      </c>
      <c r="Y13" s="173">
        <f t="shared" si="4"/>
        <v>0</v>
      </c>
      <c r="Z13" s="83">
        <f t="shared" si="5"/>
        <v>0</v>
      </c>
      <c r="AA13" s="84">
        <f t="shared" si="6"/>
        <v>0</v>
      </c>
      <c r="AB13" s="84">
        <f t="shared" si="7"/>
        <v>0</v>
      </c>
      <c r="AC13" s="84">
        <f t="shared" si="8"/>
        <v>0</v>
      </c>
      <c r="AD13" s="84"/>
      <c r="AE13" s="84">
        <f t="shared" si="9"/>
        <v>0</v>
      </c>
      <c r="AF13" s="89">
        <f t="shared" si="10"/>
        <v>0</v>
      </c>
      <c r="AG13" s="94">
        <f t="shared" si="11"/>
        <v>0</v>
      </c>
      <c r="AH13" s="85">
        <f>IFERROR(VLOOKUP(A13,CUSTOMERS!$A:$E,4),"")</f>
        <v>197.7</v>
      </c>
      <c r="AI13" s="86" t="str">
        <f t="shared" si="12"/>
        <v/>
      </c>
      <c r="AJ13" s="87">
        <f>IFERROR(VLOOKUP(A13,CUSTOMERS!$A:$F,5),"")</f>
        <v>0.2</v>
      </c>
      <c r="AK13" s="96"/>
      <c r="AL13" s="96">
        <v>0</v>
      </c>
      <c r="AM13" s="96">
        <v>0</v>
      </c>
      <c r="AN13" s="96"/>
      <c r="AO13" s="96">
        <v>0</v>
      </c>
      <c r="AP13" s="102">
        <f t="shared" si="13"/>
        <v>0</v>
      </c>
      <c r="AQ13" s="102">
        <f t="shared" si="14"/>
        <v>0</v>
      </c>
      <c r="AR13" s="68" t="str">
        <f>IFERROR(VLOOKUP(A13,CUSTOMERS!$A:$B,2),"")</f>
        <v>BOI</v>
      </c>
      <c r="AS13" s="68" t="str">
        <f>IFERROR(VLOOKUP(A13,CUSTOMERS!$A:$D,3),"")</f>
        <v>RSC</v>
      </c>
      <c r="AT13" s="68" t="str">
        <f>IFERROR(VLOOKUP(A13,CUSTOMERS!$A:$F,6),"")</f>
        <v>Y</v>
      </c>
      <c r="AU13" s="69">
        <f>IFERROR(VLOOKUP(A13,CUSTOMERS!$A:$E,4),"")</f>
        <v>197.7</v>
      </c>
      <c r="AV13" s="68" t="str">
        <f t="shared" si="15"/>
        <v/>
      </c>
      <c r="AW13" s="70" t="str">
        <f t="shared" si="16"/>
        <v>descr13</v>
      </c>
      <c r="AX13" s="71" t="str">
        <f t="shared" si="17"/>
        <v>reason13</v>
      </c>
    </row>
    <row r="14" spans="1:50" s="73" customFormat="1" ht="40.5" customHeight="1">
      <c r="A14" s="120" t="s">
        <v>114</v>
      </c>
      <c r="B14" s="120" t="str">
        <f t="shared" si="0"/>
        <v>Y</v>
      </c>
      <c r="C14" s="120"/>
      <c r="D14" s="121">
        <v>636</v>
      </c>
      <c r="E14" s="121"/>
      <c r="F14" s="122" t="str">
        <f t="shared" si="1"/>
        <v>BOI-RSC-2020-00636</v>
      </c>
      <c r="G14" s="123" t="s">
        <v>116</v>
      </c>
      <c r="H14" s="124" t="s">
        <v>117</v>
      </c>
      <c r="I14" s="239"/>
      <c r="J14" s="81">
        <f t="shared" si="2"/>
        <v>0</v>
      </c>
      <c r="K14" s="177">
        <f t="shared" si="3"/>
        <v>43966</v>
      </c>
      <c r="L14" s="141">
        <v>43966</v>
      </c>
      <c r="M14" s="142"/>
      <c r="N14" s="142"/>
      <c r="O14" s="142"/>
      <c r="P14" s="142"/>
      <c r="Q14" s="199" t="s">
        <v>13</v>
      </c>
      <c r="R14" s="199" t="s">
        <v>4</v>
      </c>
      <c r="S14" s="199"/>
      <c r="T14" s="199"/>
      <c r="U14" s="199"/>
      <c r="V14" s="199"/>
      <c r="W14" s="199"/>
      <c r="X14" s="145" t="s">
        <v>416</v>
      </c>
      <c r="Y14" s="173">
        <f t="shared" si="4"/>
        <v>0</v>
      </c>
      <c r="Z14" s="83">
        <f t="shared" si="5"/>
        <v>0</v>
      </c>
      <c r="AA14" s="84">
        <f t="shared" si="6"/>
        <v>0</v>
      </c>
      <c r="AB14" s="84">
        <f t="shared" si="7"/>
        <v>0</v>
      </c>
      <c r="AC14" s="84">
        <f t="shared" si="8"/>
        <v>0</v>
      </c>
      <c r="AD14" s="84"/>
      <c r="AE14" s="84">
        <f t="shared" si="9"/>
        <v>0</v>
      </c>
      <c r="AF14" s="190">
        <f t="shared" si="10"/>
        <v>0</v>
      </c>
      <c r="AG14" s="191">
        <f t="shared" si="11"/>
        <v>0</v>
      </c>
      <c r="AH14" s="85">
        <f>IFERROR(VLOOKUP(A14,CUSTOMERS!$A:$E,4),"")</f>
        <v>197.7</v>
      </c>
      <c r="AI14" s="86" t="str">
        <f t="shared" si="12"/>
        <v/>
      </c>
      <c r="AJ14" s="87">
        <f>IFERROR(VLOOKUP(A14,CUSTOMERS!$A:$F,5),"")</f>
        <v>0.2</v>
      </c>
      <c r="AK14" s="96"/>
      <c r="AL14" s="96">
        <v>0</v>
      </c>
      <c r="AM14" s="96">
        <v>0</v>
      </c>
      <c r="AN14" s="96"/>
      <c r="AO14" s="96">
        <v>0</v>
      </c>
      <c r="AP14" s="102">
        <f t="shared" si="13"/>
        <v>0</v>
      </c>
      <c r="AQ14" s="102">
        <f t="shared" si="14"/>
        <v>0</v>
      </c>
      <c r="AR14" s="68" t="str">
        <f>IFERROR(VLOOKUP(A14,CUSTOMERS!$A:$B,2),"")</f>
        <v>BOI</v>
      </c>
      <c r="AS14" s="68" t="str">
        <f>IFERROR(VLOOKUP(A14,CUSTOMERS!$A:$D,3),"")</f>
        <v>RSC</v>
      </c>
      <c r="AT14" s="68" t="str">
        <f>IFERROR(VLOOKUP(A14,CUSTOMERS!$A:$F,6),"")</f>
        <v>Y</v>
      </c>
      <c r="AU14" s="69">
        <f>IFERROR(VLOOKUP(A14,CUSTOMERS!$A:$E,4),"")</f>
        <v>197.7</v>
      </c>
      <c r="AV14" s="68" t="str">
        <f t="shared" si="15"/>
        <v/>
      </c>
      <c r="AW14" s="70" t="str">
        <f t="shared" si="16"/>
        <v>descr14</v>
      </c>
      <c r="AX14" s="71" t="str">
        <f t="shared" si="17"/>
        <v>reason14</v>
      </c>
    </row>
    <row r="15" spans="1:50" s="73" customFormat="1" ht="40.5" hidden="1" customHeight="1">
      <c r="A15" s="120" t="s">
        <v>114</v>
      </c>
      <c r="B15" s="120" t="str">
        <f t="shared" si="0"/>
        <v>Y</v>
      </c>
      <c r="C15" s="120"/>
      <c r="D15" s="121"/>
      <c r="E15" s="121"/>
      <c r="F15" s="122" t="str">
        <f t="shared" si="1"/>
        <v>BOI-RSC-2020-00000</v>
      </c>
      <c r="G15" s="123" t="s">
        <v>339</v>
      </c>
      <c r="H15" s="124" t="s">
        <v>417</v>
      </c>
      <c r="I15" s="239"/>
      <c r="J15" s="81">
        <f t="shared" si="2"/>
        <v>0</v>
      </c>
      <c r="K15" s="177">
        <f t="shared" si="3"/>
        <v>43966</v>
      </c>
      <c r="L15" s="141">
        <v>43966</v>
      </c>
      <c r="M15" s="142"/>
      <c r="N15" s="142"/>
      <c r="O15" s="142"/>
      <c r="P15" s="142"/>
      <c r="Q15" s="199" t="s">
        <v>15</v>
      </c>
      <c r="R15" s="199" t="s">
        <v>4</v>
      </c>
      <c r="S15" s="199"/>
      <c r="T15" s="199"/>
      <c r="U15" s="199"/>
      <c r="V15" s="199"/>
      <c r="W15" s="199"/>
      <c r="X15" s="143" t="s">
        <v>418</v>
      </c>
      <c r="Y15" s="173">
        <f t="shared" si="4"/>
        <v>0</v>
      </c>
      <c r="Z15" s="83">
        <f t="shared" si="5"/>
        <v>0</v>
      </c>
      <c r="AA15" s="84">
        <f t="shared" si="6"/>
        <v>0</v>
      </c>
      <c r="AB15" s="84">
        <f t="shared" si="7"/>
        <v>0</v>
      </c>
      <c r="AC15" s="84">
        <f t="shared" si="8"/>
        <v>0</v>
      </c>
      <c r="AD15" s="84"/>
      <c r="AE15" s="84">
        <f t="shared" si="9"/>
        <v>0</v>
      </c>
      <c r="AF15" s="89">
        <f t="shared" si="10"/>
        <v>0</v>
      </c>
      <c r="AG15" s="94">
        <f t="shared" si="11"/>
        <v>0</v>
      </c>
      <c r="AH15" s="85">
        <f>IFERROR(VLOOKUP(A15,CUSTOMERS!$A:$E,4),"")</f>
        <v>197.7</v>
      </c>
      <c r="AI15" s="86" t="str">
        <f t="shared" si="12"/>
        <v/>
      </c>
      <c r="AJ15" s="87">
        <f>IFERROR(VLOOKUP(A15,CUSTOMERS!$A:$F,5),"")</f>
        <v>0.2</v>
      </c>
      <c r="AK15" s="96"/>
      <c r="AL15" s="96">
        <v>0</v>
      </c>
      <c r="AM15" s="96">
        <v>0</v>
      </c>
      <c r="AN15" s="96"/>
      <c r="AO15" s="96">
        <v>0</v>
      </c>
      <c r="AP15" s="102">
        <f t="shared" si="13"/>
        <v>0</v>
      </c>
      <c r="AQ15" s="102">
        <f t="shared" si="14"/>
        <v>0</v>
      </c>
      <c r="AR15" s="68" t="str">
        <f>IFERROR(VLOOKUP(A15,CUSTOMERS!$A:$B,2),"")</f>
        <v>BOI</v>
      </c>
      <c r="AS15" s="68" t="str">
        <f>IFERROR(VLOOKUP(A15,CUSTOMERS!$A:$D,3),"")</f>
        <v>RSC</v>
      </c>
      <c r="AT15" s="68" t="str">
        <f>IFERROR(VLOOKUP(A15,CUSTOMERS!$A:$F,6),"")</f>
        <v>Y</v>
      </c>
      <c r="AU15" s="69">
        <f>IFERROR(VLOOKUP(A15,CUSTOMERS!$A:$E,4),"")</f>
        <v>197.7</v>
      </c>
      <c r="AV15" s="68" t="str">
        <f t="shared" si="15"/>
        <v/>
      </c>
      <c r="AW15" s="70" t="str">
        <f t="shared" si="16"/>
        <v>descr15</v>
      </c>
      <c r="AX15" s="71" t="str">
        <f t="shared" si="17"/>
        <v>reason15</v>
      </c>
    </row>
    <row r="16" spans="1:50" s="73" customFormat="1" ht="40.5" customHeight="1">
      <c r="A16" s="120" t="s">
        <v>114</v>
      </c>
      <c r="B16" s="120" t="str">
        <f t="shared" si="0"/>
        <v>Y</v>
      </c>
      <c r="C16" s="120"/>
      <c r="D16" s="121">
        <v>646</v>
      </c>
      <c r="E16" s="121"/>
      <c r="F16" s="122" t="str">
        <f t="shared" si="1"/>
        <v>BOI-RSC-2020-00646</v>
      </c>
      <c r="G16" s="123" t="s">
        <v>106</v>
      </c>
      <c r="H16" s="124" t="s">
        <v>118</v>
      </c>
      <c r="I16" s="239"/>
      <c r="J16" s="81">
        <f t="shared" si="2"/>
        <v>0</v>
      </c>
      <c r="K16" s="177">
        <f t="shared" si="3"/>
        <v>43966</v>
      </c>
      <c r="L16" s="141">
        <v>43966</v>
      </c>
      <c r="M16" s="142"/>
      <c r="N16" s="142"/>
      <c r="O16" s="142"/>
      <c r="P16" s="142"/>
      <c r="Q16" s="199" t="s">
        <v>6</v>
      </c>
      <c r="R16" s="199" t="s">
        <v>4</v>
      </c>
      <c r="S16" s="199"/>
      <c r="T16" s="199"/>
      <c r="U16" s="199"/>
      <c r="V16" s="199"/>
      <c r="W16" s="199"/>
      <c r="X16" s="143" t="s">
        <v>418</v>
      </c>
      <c r="Y16" s="173">
        <f t="shared" si="4"/>
        <v>0</v>
      </c>
      <c r="Z16" s="83">
        <f t="shared" si="5"/>
        <v>0</v>
      </c>
      <c r="AA16" s="84">
        <f t="shared" si="6"/>
        <v>0</v>
      </c>
      <c r="AB16" s="84">
        <f t="shared" si="7"/>
        <v>0</v>
      </c>
      <c r="AC16" s="84">
        <f t="shared" si="8"/>
        <v>0</v>
      </c>
      <c r="AD16" s="84"/>
      <c r="AE16" s="84">
        <f t="shared" si="9"/>
        <v>0</v>
      </c>
      <c r="AF16" s="190">
        <f t="shared" si="10"/>
        <v>0</v>
      </c>
      <c r="AG16" s="191">
        <f t="shared" si="11"/>
        <v>0</v>
      </c>
      <c r="AH16" s="85">
        <f>IFERROR(VLOOKUP(A16,CUSTOMERS!$A:$E,4),"")</f>
        <v>197.7</v>
      </c>
      <c r="AI16" s="86" t="str">
        <f t="shared" si="12"/>
        <v/>
      </c>
      <c r="AJ16" s="87">
        <f>IFERROR(VLOOKUP(A16,CUSTOMERS!$A:$F,5),"")</f>
        <v>0.2</v>
      </c>
      <c r="AK16" s="96"/>
      <c r="AL16" s="96">
        <v>0</v>
      </c>
      <c r="AM16" s="96">
        <v>0</v>
      </c>
      <c r="AN16" s="96"/>
      <c r="AO16" s="96">
        <v>0</v>
      </c>
      <c r="AP16" s="102">
        <f t="shared" si="13"/>
        <v>0</v>
      </c>
      <c r="AQ16" s="102">
        <f t="shared" si="14"/>
        <v>0</v>
      </c>
      <c r="AR16" s="68" t="str">
        <f>IFERROR(VLOOKUP(A16,CUSTOMERS!$A:$B,2),"")</f>
        <v>BOI</v>
      </c>
      <c r="AS16" s="68" t="str">
        <f>IFERROR(VLOOKUP(A16,CUSTOMERS!$A:$D,3),"")</f>
        <v>RSC</v>
      </c>
      <c r="AT16" s="68" t="str">
        <f>IFERROR(VLOOKUP(A16,CUSTOMERS!$A:$F,6),"")</f>
        <v>Y</v>
      </c>
      <c r="AU16" s="69">
        <f>IFERROR(VLOOKUP(A16,CUSTOMERS!$A:$E,4),"")</f>
        <v>197.7</v>
      </c>
      <c r="AV16" s="68" t="str">
        <f t="shared" si="15"/>
        <v/>
      </c>
      <c r="AW16" s="70" t="str">
        <f t="shared" si="16"/>
        <v>descr16</v>
      </c>
      <c r="AX16" s="71" t="str">
        <f t="shared" si="17"/>
        <v>reason16</v>
      </c>
    </row>
    <row r="17" spans="1:50" s="73" customFormat="1" ht="40.5" hidden="1" customHeight="1">
      <c r="A17" s="120" t="s">
        <v>114</v>
      </c>
      <c r="B17" s="120" t="str">
        <f t="shared" si="0"/>
        <v>Y</v>
      </c>
      <c r="C17" s="120"/>
      <c r="D17" s="121"/>
      <c r="E17" s="121"/>
      <c r="F17" s="122" t="str">
        <f t="shared" si="1"/>
        <v>BOI-RSC-2020-00000</v>
      </c>
      <c r="G17" s="123" t="s">
        <v>339</v>
      </c>
      <c r="H17" s="124" t="s">
        <v>419</v>
      </c>
      <c r="I17" s="239"/>
      <c r="J17" s="81">
        <f t="shared" si="2"/>
        <v>0</v>
      </c>
      <c r="K17" s="177">
        <f t="shared" si="3"/>
        <v>43966</v>
      </c>
      <c r="L17" s="141">
        <v>43966</v>
      </c>
      <c r="M17" s="142"/>
      <c r="N17" s="142"/>
      <c r="O17" s="142"/>
      <c r="P17" s="142"/>
      <c r="Q17" s="199" t="s">
        <v>15</v>
      </c>
      <c r="R17" s="199" t="s">
        <v>4</v>
      </c>
      <c r="S17" s="199"/>
      <c r="T17" s="199"/>
      <c r="U17" s="199"/>
      <c r="V17" s="199"/>
      <c r="W17" s="199"/>
      <c r="X17" s="143" t="s">
        <v>418</v>
      </c>
      <c r="Y17" s="173">
        <f t="shared" si="4"/>
        <v>0</v>
      </c>
      <c r="Z17" s="83">
        <f t="shared" si="5"/>
        <v>0</v>
      </c>
      <c r="AA17" s="84">
        <f t="shared" si="6"/>
        <v>0</v>
      </c>
      <c r="AB17" s="84">
        <f t="shared" si="7"/>
        <v>0</v>
      </c>
      <c r="AC17" s="84">
        <f t="shared" si="8"/>
        <v>0</v>
      </c>
      <c r="AD17" s="84"/>
      <c r="AE17" s="84">
        <f t="shared" si="9"/>
        <v>0</v>
      </c>
      <c r="AF17" s="89">
        <f t="shared" si="10"/>
        <v>0</v>
      </c>
      <c r="AG17" s="94">
        <f t="shared" si="11"/>
        <v>0</v>
      </c>
      <c r="AH17" s="85">
        <f>IFERROR(VLOOKUP(A17,CUSTOMERS!$A:$E,4),"")</f>
        <v>197.7</v>
      </c>
      <c r="AI17" s="86" t="str">
        <f t="shared" si="12"/>
        <v/>
      </c>
      <c r="AJ17" s="87">
        <f>IFERROR(VLOOKUP(A17,CUSTOMERS!$A:$F,5),"")</f>
        <v>0.2</v>
      </c>
      <c r="AK17" s="96"/>
      <c r="AL17" s="96">
        <v>0</v>
      </c>
      <c r="AM17" s="96">
        <v>0</v>
      </c>
      <c r="AN17" s="96"/>
      <c r="AO17" s="96">
        <v>0</v>
      </c>
      <c r="AP17" s="102">
        <f t="shared" si="13"/>
        <v>0</v>
      </c>
      <c r="AQ17" s="102">
        <f t="shared" si="14"/>
        <v>0</v>
      </c>
      <c r="AR17" s="68" t="str">
        <f>IFERROR(VLOOKUP(A17,CUSTOMERS!$A:$B,2),"")</f>
        <v>BOI</v>
      </c>
      <c r="AS17" s="68" t="str">
        <f>IFERROR(VLOOKUP(A17,CUSTOMERS!$A:$D,3),"")</f>
        <v>RSC</v>
      </c>
      <c r="AT17" s="68" t="str">
        <f>IFERROR(VLOOKUP(A17,CUSTOMERS!$A:$F,6),"")</f>
        <v>Y</v>
      </c>
      <c r="AU17" s="69">
        <f>IFERROR(VLOOKUP(A17,CUSTOMERS!$A:$E,4),"")</f>
        <v>197.7</v>
      </c>
      <c r="AV17" s="68" t="str">
        <f t="shared" si="15"/>
        <v/>
      </c>
      <c r="AW17" s="70" t="str">
        <f t="shared" si="16"/>
        <v>descr17</v>
      </c>
      <c r="AX17" s="71" t="str">
        <f t="shared" si="17"/>
        <v>reason17</v>
      </c>
    </row>
    <row r="18" spans="1:50" s="73" customFormat="1" ht="40.5" customHeight="1">
      <c r="A18" s="120" t="s">
        <v>114</v>
      </c>
      <c r="B18" s="120" t="str">
        <f t="shared" si="0"/>
        <v>Y</v>
      </c>
      <c r="C18" s="120"/>
      <c r="D18" s="121">
        <v>641</v>
      </c>
      <c r="E18" s="121"/>
      <c r="F18" s="122" t="str">
        <f t="shared" si="1"/>
        <v>BOI-RSC-2020-00641</v>
      </c>
      <c r="G18" s="123" t="s">
        <v>103</v>
      </c>
      <c r="H18" s="124" t="s">
        <v>119</v>
      </c>
      <c r="I18" s="239"/>
      <c r="J18" s="80">
        <f t="shared" si="2"/>
        <v>4447</v>
      </c>
      <c r="K18" s="177">
        <f t="shared" si="3"/>
        <v>44115</v>
      </c>
      <c r="L18" s="141">
        <v>44113</v>
      </c>
      <c r="M18" s="142">
        <v>44113</v>
      </c>
      <c r="N18" s="142">
        <v>44115</v>
      </c>
      <c r="O18" s="142"/>
      <c r="P18" s="142"/>
      <c r="Q18" s="199" t="s">
        <v>15</v>
      </c>
      <c r="R18" s="199" t="s">
        <v>4</v>
      </c>
      <c r="S18" s="199"/>
      <c r="T18" s="199"/>
      <c r="U18" s="199"/>
      <c r="V18" s="199"/>
      <c r="W18" s="199"/>
      <c r="X18" s="144" t="s">
        <v>420</v>
      </c>
      <c r="Y18" s="173">
        <f t="shared" si="4"/>
        <v>4447</v>
      </c>
      <c r="Z18" s="88">
        <f t="shared" si="5"/>
        <v>0</v>
      </c>
      <c r="AA18" s="84">
        <f>IFERROR(ROUND((AL18*AH18)*7.5,0),"")</f>
        <v>2224</v>
      </c>
      <c r="AB18" s="84">
        <f>IFERROR(ROUND((AM18*AH18)*7.5,0),"")</f>
        <v>741</v>
      </c>
      <c r="AC18" s="84">
        <f t="shared" si="8"/>
        <v>0</v>
      </c>
      <c r="AD18" s="84"/>
      <c r="AE18" s="84">
        <f>IFERROR(ROUND((AO18*AH18)*7.5,0),"")</f>
        <v>741</v>
      </c>
      <c r="AF18" s="89">
        <f t="shared" si="10"/>
        <v>3706</v>
      </c>
      <c r="AG18" s="94">
        <f>IFERROR(ROUND((AQ18*AH18)*7.5,0),"")</f>
        <v>741</v>
      </c>
      <c r="AH18" s="85">
        <f>IFERROR(VLOOKUP(A18,CUSTOMERS!$A:$E,4),"")</f>
        <v>197.7</v>
      </c>
      <c r="AI18" s="86" t="str">
        <f t="shared" si="12"/>
        <v/>
      </c>
      <c r="AJ18" s="87">
        <f>IFERROR(VLOOKUP(A18,CUSTOMERS!$A:$F,5),"")</f>
        <v>0.2</v>
      </c>
      <c r="AK18" s="96"/>
      <c r="AL18" s="96">
        <v>1.5</v>
      </c>
      <c r="AM18" s="96">
        <v>0.5</v>
      </c>
      <c r="AN18" s="96"/>
      <c r="AO18" s="96">
        <v>0.5</v>
      </c>
      <c r="AP18" s="102">
        <f t="shared" si="13"/>
        <v>2.5</v>
      </c>
      <c r="AQ18" s="102">
        <f t="shared" si="14"/>
        <v>0.5</v>
      </c>
      <c r="AR18" s="68" t="str">
        <f>IFERROR(VLOOKUP(A18,CUSTOMERS!$A:$B,2),"")</f>
        <v>BOI</v>
      </c>
      <c r="AS18" s="68" t="str">
        <f>IFERROR(VLOOKUP(A18,CUSTOMERS!$A:$D,3),"")</f>
        <v>RSC</v>
      </c>
      <c r="AT18" s="68" t="str">
        <f>IFERROR(VLOOKUP(A18,CUSTOMERS!$A:$F,6),"")</f>
        <v>Y</v>
      </c>
      <c r="AU18" s="69">
        <f>IFERROR(VLOOKUP(A18,CUSTOMERS!$A:$E,4),"")</f>
        <v>197.7</v>
      </c>
      <c r="AV18" s="68" t="str">
        <f t="shared" si="15"/>
        <v/>
      </c>
      <c r="AW18" s="70" t="str">
        <f t="shared" si="16"/>
        <v>descr18</v>
      </c>
      <c r="AX18" s="71" t="str">
        <f t="shared" si="17"/>
        <v>reason18</v>
      </c>
    </row>
    <row r="19" spans="1:50" s="73" customFormat="1" ht="40.5" customHeight="1">
      <c r="A19" s="120" t="s">
        <v>114</v>
      </c>
      <c r="B19" s="120" t="str">
        <f t="shared" si="0"/>
        <v>Y</v>
      </c>
      <c r="C19" s="120"/>
      <c r="D19" s="121">
        <v>642</v>
      </c>
      <c r="E19" s="121"/>
      <c r="F19" s="122" t="str">
        <f t="shared" si="1"/>
        <v>BOI-RSC-2020-00642</v>
      </c>
      <c r="G19" s="123" t="s">
        <v>103</v>
      </c>
      <c r="H19" s="124" t="s">
        <v>120</v>
      </c>
      <c r="I19" s="239"/>
      <c r="J19" s="80">
        <f t="shared" si="2"/>
        <v>5337.9</v>
      </c>
      <c r="K19" s="177">
        <f t="shared" si="3"/>
        <v>44118</v>
      </c>
      <c r="L19" s="141">
        <v>44116</v>
      </c>
      <c r="M19" s="142"/>
      <c r="N19" s="142"/>
      <c r="O19" s="142"/>
      <c r="P19" s="142">
        <v>44118</v>
      </c>
      <c r="Q19" s="199" t="s">
        <v>13</v>
      </c>
      <c r="R19" s="199" t="s">
        <v>4</v>
      </c>
      <c r="S19" s="199"/>
      <c r="T19" s="199"/>
      <c r="U19" s="199"/>
      <c r="V19" s="199"/>
      <c r="W19" s="199"/>
      <c r="X19" s="144"/>
      <c r="Y19" s="173">
        <f t="shared" si="4"/>
        <v>5337.9</v>
      </c>
      <c r="Z19" s="83">
        <f t="shared" si="5"/>
        <v>0</v>
      </c>
      <c r="AA19" s="84">
        <f t="shared" ref="AA19:AA31" si="18">IFERROR((AL19*AH19)*7.5,"")</f>
        <v>2965.5</v>
      </c>
      <c r="AB19" s="84">
        <f t="shared" ref="AB19:AB32" si="19">IFERROR((AM19*AH19)*7.5,"")</f>
        <v>741.375</v>
      </c>
      <c r="AC19" s="84">
        <f t="shared" si="8"/>
        <v>0</v>
      </c>
      <c r="AD19" s="84"/>
      <c r="AE19" s="84">
        <f t="shared" ref="AE19:AE97" si="20">IFERROR((AO19*AH19)*7.5,"")</f>
        <v>741.375</v>
      </c>
      <c r="AF19" s="84">
        <f t="shared" si="10"/>
        <v>4448.25</v>
      </c>
      <c r="AG19" s="94">
        <f t="shared" ref="AG19:AG97" si="21">IFERROR((AQ19*AH19)*7.5,"")</f>
        <v>889.65000000000009</v>
      </c>
      <c r="AH19" s="85">
        <f>IFERROR(VLOOKUP(A19,CUSTOMERS!$A:$E,4),"")</f>
        <v>197.7</v>
      </c>
      <c r="AI19" s="86" t="str">
        <f t="shared" si="12"/>
        <v/>
      </c>
      <c r="AJ19" s="87">
        <f>IFERROR(VLOOKUP(A19,CUSTOMERS!$A:$F,5),"")</f>
        <v>0.2</v>
      </c>
      <c r="AK19" s="96"/>
      <c r="AL19" s="96">
        <v>2</v>
      </c>
      <c r="AM19" s="96">
        <v>0.5</v>
      </c>
      <c r="AN19" s="96"/>
      <c r="AO19" s="96">
        <v>0.5</v>
      </c>
      <c r="AP19" s="103">
        <f t="shared" si="13"/>
        <v>3</v>
      </c>
      <c r="AQ19" s="103">
        <f t="shared" si="14"/>
        <v>0.60000000000000009</v>
      </c>
      <c r="AR19" s="68" t="str">
        <f>IFERROR(VLOOKUP(A19,CUSTOMERS!$A:$B,2),"")</f>
        <v>BOI</v>
      </c>
      <c r="AS19" s="68" t="str">
        <f>IFERROR(VLOOKUP(A19,CUSTOMERS!$A:$D,3),"")</f>
        <v>RSC</v>
      </c>
      <c r="AT19" s="68" t="str">
        <f>IFERROR(VLOOKUP(A19,CUSTOMERS!$A:$F,6),"")</f>
        <v>Y</v>
      </c>
      <c r="AU19" s="69">
        <f>IFERROR(VLOOKUP(A19,CUSTOMERS!$A:$E,4),"")</f>
        <v>197.7</v>
      </c>
      <c r="AV19" s="68" t="str">
        <f t="shared" si="15"/>
        <v/>
      </c>
      <c r="AW19" s="70" t="str">
        <f t="shared" si="16"/>
        <v>descr19</v>
      </c>
      <c r="AX19" s="71" t="str">
        <f t="shared" si="17"/>
        <v>reason19</v>
      </c>
    </row>
    <row r="20" spans="1:50" s="73" customFormat="1" ht="40.5" hidden="1" customHeight="1">
      <c r="A20" s="120" t="s">
        <v>114</v>
      </c>
      <c r="B20" s="120" t="s">
        <v>283</v>
      </c>
      <c r="C20" s="120"/>
      <c r="D20" s="121">
        <v>647</v>
      </c>
      <c r="E20" s="121"/>
      <c r="F20" s="122" t="str">
        <f t="shared" si="1"/>
        <v>BOI-RSC-2021-00647</v>
      </c>
      <c r="G20" s="123" t="s">
        <v>100</v>
      </c>
      <c r="H20" s="124" t="s">
        <v>121</v>
      </c>
      <c r="I20" s="239"/>
      <c r="J20" s="80">
        <f t="shared" si="2"/>
        <v>0</v>
      </c>
      <c r="K20" s="177">
        <f t="shared" si="3"/>
        <v>44223</v>
      </c>
      <c r="L20" s="146">
        <v>44223</v>
      </c>
      <c r="M20" s="147"/>
      <c r="N20" s="147"/>
      <c r="O20" s="147"/>
      <c r="P20" s="147"/>
      <c r="Q20" s="199" t="s">
        <v>13</v>
      </c>
      <c r="R20" s="199" t="s">
        <v>4</v>
      </c>
      <c r="S20" s="199"/>
      <c r="T20" s="199"/>
      <c r="U20" s="199"/>
      <c r="V20" s="199"/>
      <c r="W20" s="199"/>
      <c r="X20" s="144"/>
      <c r="Y20" s="173">
        <f t="shared" si="4"/>
        <v>0</v>
      </c>
      <c r="Z20" s="83">
        <f t="shared" si="5"/>
        <v>0</v>
      </c>
      <c r="AA20" s="84">
        <f t="shared" si="18"/>
        <v>0</v>
      </c>
      <c r="AB20" s="84">
        <f t="shared" si="19"/>
        <v>0</v>
      </c>
      <c r="AC20" s="84">
        <f t="shared" si="8"/>
        <v>0</v>
      </c>
      <c r="AD20" s="84"/>
      <c r="AE20" s="84">
        <f t="shared" si="20"/>
        <v>0</v>
      </c>
      <c r="AF20" s="84">
        <f t="shared" si="10"/>
        <v>0</v>
      </c>
      <c r="AG20" s="94">
        <f t="shared" si="21"/>
        <v>0</v>
      </c>
      <c r="AH20" s="85">
        <f>IFERROR(VLOOKUP(A20,CUSTOMERS!$A:$E,4),"")</f>
        <v>197.7</v>
      </c>
      <c r="AI20" s="86" t="str">
        <f t="shared" si="12"/>
        <v/>
      </c>
      <c r="AJ20" s="87">
        <f>IFERROR(VLOOKUP(A20,CUSTOMERS!$A:$F,5),"")</f>
        <v>0.2</v>
      </c>
      <c r="AK20" s="96"/>
      <c r="AL20" s="96">
        <v>0</v>
      </c>
      <c r="AM20" s="96">
        <v>0</v>
      </c>
      <c r="AN20" s="96">
        <v>0</v>
      </c>
      <c r="AO20" s="96">
        <v>0</v>
      </c>
      <c r="AP20" s="103">
        <f t="shared" si="13"/>
        <v>0</v>
      </c>
      <c r="AQ20" s="103">
        <f t="shared" si="14"/>
        <v>0</v>
      </c>
      <c r="AR20" s="68" t="str">
        <f>IFERROR(VLOOKUP(A20,CUSTOMERS!$A:$B,2),"")</f>
        <v>BOI</v>
      </c>
      <c r="AS20" s="68" t="str">
        <f>IFERROR(VLOOKUP(A20,CUSTOMERS!$A:$D,3),"")</f>
        <v>RSC</v>
      </c>
      <c r="AT20" s="68" t="str">
        <f>IFERROR(VLOOKUP(A20,CUSTOMERS!$A:$F,6),"")</f>
        <v>Y</v>
      </c>
      <c r="AU20" s="69">
        <f>IFERROR(VLOOKUP(A20,CUSTOMERS!$A:$E,4),"")</f>
        <v>197.7</v>
      </c>
      <c r="AV20" s="68" t="str">
        <f t="shared" si="15"/>
        <v/>
      </c>
      <c r="AW20" s="70" t="str">
        <f t="shared" si="16"/>
        <v>descr20</v>
      </c>
      <c r="AX20" s="71" t="str">
        <f t="shared" si="17"/>
        <v>reason20</v>
      </c>
    </row>
    <row r="21" spans="1:50" s="73" customFormat="1" ht="40.5" customHeight="1">
      <c r="A21" s="120" t="s">
        <v>114</v>
      </c>
      <c r="B21" s="120" t="str">
        <f t="shared" ref="B21:B84" si="22">AT21</f>
        <v>Y</v>
      </c>
      <c r="C21" s="120"/>
      <c r="D21" s="121">
        <v>648</v>
      </c>
      <c r="E21" s="121"/>
      <c r="F21" s="122" t="str">
        <f t="shared" si="1"/>
        <v>BOI-RSC-2021-00648</v>
      </c>
      <c r="G21" s="123" t="s">
        <v>103</v>
      </c>
      <c r="H21" s="124" t="s">
        <v>122</v>
      </c>
      <c r="I21" s="239"/>
      <c r="J21" s="80">
        <f t="shared" si="2"/>
        <v>12010.275</v>
      </c>
      <c r="K21" s="177">
        <f t="shared" si="3"/>
        <v>44222</v>
      </c>
      <c r="L21" s="146">
        <v>44222</v>
      </c>
      <c r="M21" s="147">
        <v>44222</v>
      </c>
      <c r="N21" s="147">
        <v>44222</v>
      </c>
      <c r="O21" s="147"/>
      <c r="P21" s="147">
        <v>44222</v>
      </c>
      <c r="Q21" s="199" t="s">
        <v>13</v>
      </c>
      <c r="R21" s="199" t="s">
        <v>4</v>
      </c>
      <c r="S21" s="199"/>
      <c r="T21" s="199"/>
      <c r="U21" s="199"/>
      <c r="V21" s="199"/>
      <c r="W21" s="199"/>
      <c r="X21" s="144"/>
      <c r="Y21" s="173">
        <f t="shared" si="4"/>
        <v>12010.275</v>
      </c>
      <c r="Z21" s="83">
        <f t="shared" si="5"/>
        <v>0</v>
      </c>
      <c r="AA21" s="84">
        <f t="shared" si="18"/>
        <v>7043.0624999999991</v>
      </c>
      <c r="AB21" s="84">
        <f t="shared" si="19"/>
        <v>1482.75</v>
      </c>
      <c r="AC21" s="84">
        <f t="shared" si="8"/>
        <v>1482.75</v>
      </c>
      <c r="AD21" s="84"/>
      <c r="AE21" s="84">
        <f t="shared" si="20"/>
        <v>0</v>
      </c>
      <c r="AF21" s="179">
        <f t="shared" si="10"/>
        <v>10008.5625</v>
      </c>
      <c r="AG21" s="191">
        <f t="shared" si="21"/>
        <v>2001.7124999999999</v>
      </c>
      <c r="AH21" s="85">
        <f>IFERROR(VLOOKUP(A21,CUSTOMERS!$A:$E,4),"")</f>
        <v>197.7</v>
      </c>
      <c r="AI21" s="86" t="str">
        <f t="shared" si="12"/>
        <v/>
      </c>
      <c r="AJ21" s="87">
        <f>IFERROR(VLOOKUP(A21,CUSTOMERS!$A:$F,5),"")</f>
        <v>0.2</v>
      </c>
      <c r="AK21" s="96"/>
      <c r="AL21" s="96">
        <v>4.75</v>
      </c>
      <c r="AM21" s="96">
        <v>1</v>
      </c>
      <c r="AN21" s="96">
        <v>1</v>
      </c>
      <c r="AO21" s="96">
        <v>0</v>
      </c>
      <c r="AP21" s="103">
        <f t="shared" si="13"/>
        <v>6.75</v>
      </c>
      <c r="AQ21" s="103">
        <f t="shared" si="14"/>
        <v>1.35</v>
      </c>
      <c r="AR21" s="68" t="str">
        <f>IFERROR(VLOOKUP(A21,CUSTOMERS!$A:$B,2),"")</f>
        <v>BOI</v>
      </c>
      <c r="AS21" s="68" t="str">
        <f>IFERROR(VLOOKUP(A21,CUSTOMERS!$A:$D,3),"")</f>
        <v>RSC</v>
      </c>
      <c r="AT21" s="68" t="str">
        <f>IFERROR(VLOOKUP(A21,CUSTOMERS!$A:$F,6),"")</f>
        <v>Y</v>
      </c>
      <c r="AU21" s="69">
        <f>IFERROR(VLOOKUP(A21,CUSTOMERS!$A:$E,4),"")</f>
        <v>197.7</v>
      </c>
      <c r="AV21" s="68" t="str">
        <f t="shared" si="15"/>
        <v/>
      </c>
      <c r="AW21" s="70" t="str">
        <f t="shared" si="16"/>
        <v>descr21</v>
      </c>
      <c r="AX21" s="71" t="str">
        <f t="shared" si="17"/>
        <v>reason21</v>
      </c>
    </row>
    <row r="22" spans="1:50" s="73" customFormat="1" ht="40.5" customHeight="1">
      <c r="A22" s="120" t="s">
        <v>114</v>
      </c>
      <c r="B22" s="120" t="str">
        <f t="shared" si="22"/>
        <v>Y</v>
      </c>
      <c r="C22" s="120"/>
      <c r="D22" s="121">
        <v>644</v>
      </c>
      <c r="E22" s="121"/>
      <c r="F22" s="122" t="str">
        <f t="shared" si="1"/>
        <v>BOI-RSC-2021-00644</v>
      </c>
      <c r="G22" s="123" t="s">
        <v>103</v>
      </c>
      <c r="H22" s="124" t="s">
        <v>123</v>
      </c>
      <c r="I22" s="239"/>
      <c r="J22" s="80">
        <f t="shared" si="2"/>
        <v>42258.375</v>
      </c>
      <c r="K22" s="177">
        <f t="shared" si="3"/>
        <v>44223</v>
      </c>
      <c r="L22" s="146">
        <v>44223</v>
      </c>
      <c r="M22" s="147">
        <v>44223</v>
      </c>
      <c r="N22" s="147">
        <v>44223</v>
      </c>
      <c r="O22" s="147"/>
      <c r="P22" s="147"/>
      <c r="Q22" s="199" t="s">
        <v>13</v>
      </c>
      <c r="R22" s="199" t="s">
        <v>4</v>
      </c>
      <c r="S22" s="199"/>
      <c r="T22" s="199"/>
      <c r="U22" s="199"/>
      <c r="V22" s="199"/>
      <c r="W22" s="199"/>
      <c r="X22" s="144" t="s">
        <v>421</v>
      </c>
      <c r="Y22" s="173">
        <f t="shared" si="4"/>
        <v>42258.375</v>
      </c>
      <c r="Z22" s="83">
        <f t="shared" si="5"/>
        <v>0</v>
      </c>
      <c r="AA22" s="84">
        <f t="shared" si="18"/>
        <v>27801.5625</v>
      </c>
      <c r="AB22" s="84">
        <f t="shared" si="19"/>
        <v>1482.75</v>
      </c>
      <c r="AC22" s="84">
        <f t="shared" si="8"/>
        <v>5931</v>
      </c>
      <c r="AD22" s="84"/>
      <c r="AE22" s="84">
        <f t="shared" si="20"/>
        <v>0</v>
      </c>
      <c r="AF22" s="179">
        <f t="shared" si="10"/>
        <v>35215.3125</v>
      </c>
      <c r="AG22" s="191">
        <f t="shared" si="21"/>
        <v>7043.0624999999991</v>
      </c>
      <c r="AH22" s="85">
        <f>IFERROR(VLOOKUP(A22,CUSTOMERS!$A:$E,4),"")</f>
        <v>197.7</v>
      </c>
      <c r="AI22" s="86" t="str">
        <f t="shared" si="12"/>
        <v/>
      </c>
      <c r="AJ22" s="87">
        <f>IFERROR(VLOOKUP(A22,CUSTOMERS!$A:$F,5),"")</f>
        <v>0.2</v>
      </c>
      <c r="AK22" s="96"/>
      <c r="AL22" s="96">
        <v>18.75</v>
      </c>
      <c r="AM22" s="96">
        <v>1</v>
      </c>
      <c r="AN22" s="96">
        <v>4</v>
      </c>
      <c r="AO22" s="96">
        <v>0</v>
      </c>
      <c r="AP22" s="103">
        <f t="shared" si="13"/>
        <v>23.75</v>
      </c>
      <c r="AQ22" s="103">
        <f t="shared" si="14"/>
        <v>4.75</v>
      </c>
      <c r="AR22" s="68" t="str">
        <f>IFERROR(VLOOKUP(A22,CUSTOMERS!$A:$B,2),"")</f>
        <v>BOI</v>
      </c>
      <c r="AS22" s="68" t="str">
        <f>IFERROR(VLOOKUP(A22,CUSTOMERS!$A:$D,3),"")</f>
        <v>RSC</v>
      </c>
      <c r="AT22" s="68" t="str">
        <f>IFERROR(VLOOKUP(A22,CUSTOMERS!$A:$F,6),"")</f>
        <v>Y</v>
      </c>
      <c r="AU22" s="69">
        <f>IFERROR(VLOOKUP(A22,CUSTOMERS!$A:$E,4),"")</f>
        <v>197.7</v>
      </c>
      <c r="AV22" s="68" t="str">
        <f t="shared" si="15"/>
        <v/>
      </c>
      <c r="AW22" s="70" t="str">
        <f t="shared" si="16"/>
        <v>descr22</v>
      </c>
      <c r="AX22" s="71" t="str">
        <f t="shared" si="17"/>
        <v>reason22</v>
      </c>
    </row>
    <row r="23" spans="1:50" s="73" customFormat="1" ht="40.5" customHeight="1">
      <c r="A23" s="120" t="s">
        <v>114</v>
      </c>
      <c r="B23" s="120" t="str">
        <f t="shared" si="22"/>
        <v>Y</v>
      </c>
      <c r="C23" s="120"/>
      <c r="D23" s="121">
        <v>649</v>
      </c>
      <c r="E23" s="121"/>
      <c r="F23" s="122" t="str">
        <f t="shared" si="1"/>
        <v>BOI-RSC-2021-00649</v>
      </c>
      <c r="G23" s="123" t="s">
        <v>109</v>
      </c>
      <c r="H23" s="124" t="s">
        <v>124</v>
      </c>
      <c r="I23" s="239"/>
      <c r="J23" s="80">
        <f t="shared" si="2"/>
        <v>0</v>
      </c>
      <c r="K23" s="177">
        <f t="shared" si="3"/>
        <v>44223</v>
      </c>
      <c r="L23" s="146">
        <v>44223</v>
      </c>
      <c r="M23" s="147">
        <v>44223</v>
      </c>
      <c r="N23" s="147">
        <v>44223</v>
      </c>
      <c r="O23" s="147"/>
      <c r="P23" s="147"/>
      <c r="Q23" s="199" t="s">
        <v>15</v>
      </c>
      <c r="R23" s="199" t="s">
        <v>4</v>
      </c>
      <c r="S23" s="199"/>
      <c r="T23" s="199"/>
      <c r="U23" s="199"/>
      <c r="V23" s="199"/>
      <c r="W23" s="199"/>
      <c r="X23" s="144"/>
      <c r="Y23" s="173">
        <f t="shared" si="4"/>
        <v>0</v>
      </c>
      <c r="Z23" s="83">
        <f t="shared" si="5"/>
        <v>0</v>
      </c>
      <c r="AA23" s="84">
        <f t="shared" si="18"/>
        <v>0</v>
      </c>
      <c r="AB23" s="84">
        <f t="shared" si="19"/>
        <v>0</v>
      </c>
      <c r="AC23" s="84">
        <f t="shared" si="8"/>
        <v>0</v>
      </c>
      <c r="AD23" s="84"/>
      <c r="AE23" s="84">
        <f t="shared" si="20"/>
        <v>0</v>
      </c>
      <c r="AF23" s="179">
        <f t="shared" si="10"/>
        <v>0</v>
      </c>
      <c r="AG23" s="191">
        <f t="shared" si="21"/>
        <v>0</v>
      </c>
      <c r="AH23" s="85">
        <f>IFERROR(VLOOKUP(A23,CUSTOMERS!$A:$E,4),"")</f>
        <v>197.7</v>
      </c>
      <c r="AI23" s="86" t="str">
        <f t="shared" si="12"/>
        <v/>
      </c>
      <c r="AJ23" s="87">
        <f>IFERROR(VLOOKUP(A23,CUSTOMERS!$A:$F,5),"")</f>
        <v>0.2</v>
      </c>
      <c r="AK23" s="96"/>
      <c r="AL23" s="96">
        <v>0</v>
      </c>
      <c r="AM23" s="96">
        <v>0</v>
      </c>
      <c r="AN23" s="96">
        <v>0</v>
      </c>
      <c r="AO23" s="96">
        <v>0</v>
      </c>
      <c r="AP23" s="103">
        <f t="shared" si="13"/>
        <v>0</v>
      </c>
      <c r="AQ23" s="103">
        <f t="shared" si="14"/>
        <v>0</v>
      </c>
      <c r="AR23" s="68" t="str">
        <f>IFERROR(VLOOKUP(A23,CUSTOMERS!$A:$B,2),"")</f>
        <v>BOI</v>
      </c>
      <c r="AS23" s="68" t="str">
        <f>IFERROR(VLOOKUP(A23,CUSTOMERS!$A:$D,3),"")</f>
        <v>RSC</v>
      </c>
      <c r="AT23" s="68" t="str">
        <f>IFERROR(VLOOKUP(A23,CUSTOMERS!$A:$F,6),"")</f>
        <v>Y</v>
      </c>
      <c r="AU23" s="69">
        <f>IFERROR(VLOOKUP(A23,CUSTOMERS!$A:$E,4),"")</f>
        <v>197.7</v>
      </c>
      <c r="AV23" s="68" t="str">
        <f t="shared" si="15"/>
        <v/>
      </c>
      <c r="AW23" s="70" t="str">
        <f t="shared" si="16"/>
        <v>descr23</v>
      </c>
      <c r="AX23" s="71" t="str">
        <f t="shared" si="17"/>
        <v>reason23</v>
      </c>
    </row>
    <row r="24" spans="1:50" s="73" customFormat="1" ht="40.5" customHeight="1">
      <c r="A24" s="120" t="s">
        <v>114</v>
      </c>
      <c r="B24" s="120" t="str">
        <f t="shared" si="22"/>
        <v>Y</v>
      </c>
      <c r="C24" s="120"/>
      <c r="D24" s="120">
        <v>650</v>
      </c>
      <c r="E24" s="120"/>
      <c r="F24" s="122" t="str">
        <f t="shared" si="1"/>
        <v>BOI-RSC-2021-00650</v>
      </c>
      <c r="G24" s="123" t="s">
        <v>109</v>
      </c>
      <c r="H24" s="124" t="s">
        <v>125</v>
      </c>
      <c r="I24" s="239"/>
      <c r="J24" s="184">
        <f t="shared" si="2"/>
        <v>0</v>
      </c>
      <c r="K24" s="177">
        <v>44282</v>
      </c>
      <c r="L24" s="141">
        <v>44273</v>
      </c>
      <c r="M24" s="147"/>
      <c r="N24" s="147"/>
      <c r="O24" s="147"/>
      <c r="P24" s="147"/>
      <c r="Q24" s="199" t="s">
        <v>15</v>
      </c>
      <c r="R24" s="199" t="s">
        <v>4</v>
      </c>
      <c r="S24" s="199"/>
      <c r="T24" s="199"/>
      <c r="U24" s="199"/>
      <c r="V24" s="199"/>
      <c r="W24" s="199"/>
      <c r="X24" s="144"/>
      <c r="Y24" s="173">
        <f t="shared" si="4"/>
        <v>0</v>
      </c>
      <c r="Z24" s="178">
        <f t="shared" si="5"/>
        <v>0</v>
      </c>
      <c r="AA24" s="179">
        <f t="shared" si="18"/>
        <v>0</v>
      </c>
      <c r="AB24" s="179">
        <f t="shared" si="19"/>
        <v>0</v>
      </c>
      <c r="AC24" s="179">
        <f t="shared" si="8"/>
        <v>0</v>
      </c>
      <c r="AD24" s="179"/>
      <c r="AE24" s="179">
        <f t="shared" si="20"/>
        <v>0</v>
      </c>
      <c r="AF24" s="179">
        <f t="shared" si="10"/>
        <v>0</v>
      </c>
      <c r="AG24" s="191">
        <f t="shared" si="21"/>
        <v>0</v>
      </c>
      <c r="AH24" s="180">
        <f>IFERROR(VLOOKUP(A24,CUSTOMERS!$A:$E,4),"")</f>
        <v>197.7</v>
      </c>
      <c r="AI24" s="181" t="str">
        <f t="shared" si="12"/>
        <v/>
      </c>
      <c r="AJ24" s="182">
        <f>IFERROR(VLOOKUP(A24,CUSTOMERS!$A:$F,5),"")</f>
        <v>0.2</v>
      </c>
      <c r="AK24" s="183"/>
      <c r="AL24" s="183">
        <v>0</v>
      </c>
      <c r="AM24" s="183">
        <v>0</v>
      </c>
      <c r="AN24" s="183">
        <v>0</v>
      </c>
      <c r="AO24" s="183">
        <v>0</v>
      </c>
      <c r="AP24" s="103">
        <f t="shared" si="13"/>
        <v>0</v>
      </c>
      <c r="AQ24" s="103">
        <f t="shared" si="14"/>
        <v>0</v>
      </c>
      <c r="AR24" s="68" t="str">
        <f>IFERROR(VLOOKUP(A24,CUSTOMERS!$A:$B,2),"")</f>
        <v>BOI</v>
      </c>
      <c r="AS24" s="68" t="str">
        <f>IFERROR(VLOOKUP(A24,CUSTOMERS!$A:$D,3),"")</f>
        <v>RSC</v>
      </c>
      <c r="AT24" s="68" t="str">
        <f>IFERROR(VLOOKUP(A24,CUSTOMERS!$A:$F,6),"")</f>
        <v>Y</v>
      </c>
      <c r="AU24" s="69">
        <f>IFERROR(VLOOKUP(A24,CUSTOMERS!$A:$E,4),"")</f>
        <v>197.7</v>
      </c>
      <c r="AV24" s="68" t="str">
        <f t="shared" si="15"/>
        <v/>
      </c>
      <c r="AW24" s="70" t="str">
        <f t="shared" si="16"/>
        <v>descr24</v>
      </c>
      <c r="AX24" s="71" t="str">
        <f t="shared" si="17"/>
        <v>reason24</v>
      </c>
    </row>
    <row r="25" spans="1:50" s="73" customFormat="1" ht="40.5" customHeight="1">
      <c r="A25" s="120" t="s">
        <v>114</v>
      </c>
      <c r="B25" s="120" t="str">
        <f t="shared" si="22"/>
        <v>Y</v>
      </c>
      <c r="C25" s="120"/>
      <c r="D25" s="120">
        <v>651</v>
      </c>
      <c r="E25" s="120"/>
      <c r="F25" s="122" t="str">
        <f t="shared" si="1"/>
        <v>BOI-RSC-2021-00651</v>
      </c>
      <c r="G25" s="123" t="s">
        <v>106</v>
      </c>
      <c r="H25" s="124" t="s">
        <v>126</v>
      </c>
      <c r="I25" s="239"/>
      <c r="J25" s="184">
        <f t="shared" si="2"/>
        <v>0</v>
      </c>
      <c r="K25" s="177">
        <v>44282</v>
      </c>
      <c r="L25" s="146">
        <v>44273</v>
      </c>
      <c r="M25" s="147"/>
      <c r="N25" s="147"/>
      <c r="O25" s="147"/>
      <c r="P25" s="147"/>
      <c r="Q25" s="199" t="s">
        <v>15</v>
      </c>
      <c r="R25" s="199" t="s">
        <v>4</v>
      </c>
      <c r="S25" s="199"/>
      <c r="T25" s="199"/>
      <c r="U25" s="199"/>
      <c r="V25" s="199"/>
      <c r="W25" s="199"/>
      <c r="X25" s="144" t="s">
        <v>422</v>
      </c>
      <c r="Y25" s="173">
        <f t="shared" si="4"/>
        <v>0</v>
      </c>
      <c r="Z25" s="178">
        <f t="shared" si="5"/>
        <v>0</v>
      </c>
      <c r="AA25" s="179">
        <f t="shared" si="18"/>
        <v>0</v>
      </c>
      <c r="AB25" s="179">
        <f t="shared" si="19"/>
        <v>0</v>
      </c>
      <c r="AC25" s="179">
        <f t="shared" si="8"/>
        <v>0</v>
      </c>
      <c r="AD25" s="179"/>
      <c r="AE25" s="179">
        <f t="shared" si="20"/>
        <v>0</v>
      </c>
      <c r="AF25" s="179">
        <f t="shared" si="10"/>
        <v>0</v>
      </c>
      <c r="AG25" s="191">
        <f t="shared" si="21"/>
        <v>0</v>
      </c>
      <c r="AH25" s="180">
        <f>IFERROR(VLOOKUP(A25,CUSTOMERS!$A:$E,4),"")</f>
        <v>197.7</v>
      </c>
      <c r="AI25" s="181" t="str">
        <f t="shared" si="12"/>
        <v/>
      </c>
      <c r="AJ25" s="182">
        <f>IFERROR(VLOOKUP(A25,CUSTOMERS!$A:$F,5),"")</f>
        <v>0.2</v>
      </c>
      <c r="AK25" s="183"/>
      <c r="AL25" s="183">
        <v>0</v>
      </c>
      <c r="AM25" s="183">
        <v>0</v>
      </c>
      <c r="AN25" s="183">
        <v>0</v>
      </c>
      <c r="AO25" s="183">
        <v>0</v>
      </c>
      <c r="AP25" s="103">
        <f t="shared" si="13"/>
        <v>0</v>
      </c>
      <c r="AQ25" s="103">
        <f t="shared" si="14"/>
        <v>0</v>
      </c>
      <c r="AR25" s="68" t="str">
        <f>IFERROR(VLOOKUP(A25,CUSTOMERS!$A:$B,2),"")</f>
        <v>BOI</v>
      </c>
      <c r="AS25" s="68" t="str">
        <f>IFERROR(VLOOKUP(A25,CUSTOMERS!$A:$D,3),"")</f>
        <v>RSC</v>
      </c>
      <c r="AT25" s="68" t="str">
        <f>IFERROR(VLOOKUP(A25,CUSTOMERS!$A:$F,6),"")</f>
        <v>Y</v>
      </c>
      <c r="AU25" s="69">
        <f>IFERROR(VLOOKUP(A25,CUSTOMERS!$A:$E,4),"")</f>
        <v>197.7</v>
      </c>
      <c r="AV25" s="68" t="str">
        <f t="shared" si="15"/>
        <v/>
      </c>
      <c r="AW25" s="70" t="str">
        <f t="shared" si="16"/>
        <v>descr25</v>
      </c>
      <c r="AX25" s="71" t="str">
        <f t="shared" si="17"/>
        <v>reason25</v>
      </c>
    </row>
    <row r="26" spans="1:50" s="73" customFormat="1" ht="40.5" customHeight="1">
      <c r="A26" s="120" t="s">
        <v>114</v>
      </c>
      <c r="B26" s="120" t="str">
        <f t="shared" si="22"/>
        <v>Y</v>
      </c>
      <c r="C26" s="120"/>
      <c r="D26" s="120">
        <v>654</v>
      </c>
      <c r="E26" s="120"/>
      <c r="F26" s="122" t="str">
        <f t="shared" si="1"/>
        <v>BOI-RSC-2021-00654</v>
      </c>
      <c r="G26" s="123" t="s">
        <v>103</v>
      </c>
      <c r="H26" s="124" t="s">
        <v>127</v>
      </c>
      <c r="I26" s="239"/>
      <c r="J26" s="184">
        <f t="shared" si="2"/>
        <v>5034</v>
      </c>
      <c r="K26" s="177">
        <v>44341</v>
      </c>
      <c r="L26" s="146">
        <v>44341</v>
      </c>
      <c r="M26" s="147"/>
      <c r="N26" s="147"/>
      <c r="O26" s="147"/>
      <c r="P26" s="147"/>
      <c r="Q26" s="199" t="s">
        <v>423</v>
      </c>
      <c r="R26" s="199" t="s">
        <v>4</v>
      </c>
      <c r="S26" s="199"/>
      <c r="T26" s="199"/>
      <c r="U26" s="199"/>
      <c r="V26" s="199"/>
      <c r="W26" s="199"/>
      <c r="X26" s="144"/>
      <c r="Y26" s="173">
        <f t="shared" si="4"/>
        <v>5034</v>
      </c>
      <c r="Z26" s="178">
        <f t="shared" si="5"/>
        <v>0</v>
      </c>
      <c r="AA26" s="179">
        <f t="shared" si="18"/>
        <v>0</v>
      </c>
      <c r="AB26" s="179">
        <f t="shared" si="19"/>
        <v>0</v>
      </c>
      <c r="AC26" s="179">
        <f t="shared" si="8"/>
        <v>0</v>
      </c>
      <c r="AD26" s="179"/>
      <c r="AE26" s="179">
        <f t="shared" si="20"/>
        <v>0</v>
      </c>
      <c r="AF26" s="179">
        <v>5034</v>
      </c>
      <c r="AG26" s="191">
        <f t="shared" si="21"/>
        <v>0</v>
      </c>
      <c r="AH26" s="180">
        <f>IFERROR(VLOOKUP(A26,CUSTOMERS!$A:$E,4),"")</f>
        <v>197.7</v>
      </c>
      <c r="AI26" s="181" t="str">
        <f t="shared" si="12"/>
        <v/>
      </c>
      <c r="AJ26" s="182">
        <f>IFERROR(VLOOKUP(A26,CUSTOMERS!$A:$F,5),"")</f>
        <v>0.2</v>
      </c>
      <c r="AK26" s="183"/>
      <c r="AL26" s="183">
        <v>0</v>
      </c>
      <c r="AM26" s="183">
        <v>0</v>
      </c>
      <c r="AN26" s="183">
        <v>0</v>
      </c>
      <c r="AO26" s="183">
        <v>0</v>
      </c>
      <c r="AP26" s="103">
        <f t="shared" si="13"/>
        <v>0</v>
      </c>
      <c r="AQ26" s="103">
        <f t="shared" si="14"/>
        <v>0</v>
      </c>
      <c r="AR26" s="68" t="str">
        <f>IFERROR(VLOOKUP(A26,CUSTOMERS!$A:$B,2),"")</f>
        <v>BOI</v>
      </c>
      <c r="AS26" s="68" t="str">
        <f>IFERROR(VLOOKUP(A26,CUSTOMERS!$A:$D,3),"")</f>
        <v>RSC</v>
      </c>
      <c r="AT26" s="68" t="str">
        <f>IFERROR(VLOOKUP(A26,CUSTOMERS!$A:$F,6),"")</f>
        <v>Y</v>
      </c>
      <c r="AU26" s="69">
        <f>IFERROR(VLOOKUP(A26,CUSTOMERS!$A:$E,4),"")</f>
        <v>197.7</v>
      </c>
      <c r="AV26" s="68" t="str">
        <f t="shared" si="15"/>
        <v/>
      </c>
      <c r="AW26" s="70" t="str">
        <f t="shared" si="16"/>
        <v>descr26</v>
      </c>
      <c r="AX26" s="71" t="str">
        <f t="shared" si="17"/>
        <v>reason26</v>
      </c>
    </row>
    <row r="27" spans="1:50" s="73" customFormat="1" ht="40.5" customHeight="1">
      <c r="A27" s="120" t="s">
        <v>114</v>
      </c>
      <c r="B27" s="120" t="s">
        <v>283</v>
      </c>
      <c r="C27" s="120"/>
      <c r="D27" s="120">
        <v>655</v>
      </c>
      <c r="E27" s="120"/>
      <c r="F27" s="122" t="str">
        <f t="shared" si="1"/>
        <v>BOI-RSC-0000-00655</v>
      </c>
      <c r="G27" s="123" t="s">
        <v>180</v>
      </c>
      <c r="H27" s="124"/>
      <c r="I27" s="239"/>
      <c r="J27" s="184">
        <f t="shared" si="2"/>
        <v>0</v>
      </c>
      <c r="K27" s="177"/>
      <c r="L27" s="146"/>
      <c r="M27" s="147"/>
      <c r="N27" s="147"/>
      <c r="O27" s="147"/>
      <c r="P27" s="147"/>
      <c r="Q27" s="199"/>
      <c r="R27" s="199" t="s">
        <v>4</v>
      </c>
      <c r="S27" s="199"/>
      <c r="T27" s="199"/>
      <c r="U27" s="199"/>
      <c r="V27" s="199"/>
      <c r="W27" s="199"/>
      <c r="X27" s="144"/>
      <c r="Y27" s="173">
        <f t="shared" si="4"/>
        <v>0</v>
      </c>
      <c r="Z27" s="83">
        <f t="shared" si="5"/>
        <v>0</v>
      </c>
      <c r="AA27" s="84">
        <f t="shared" si="18"/>
        <v>0</v>
      </c>
      <c r="AB27" s="84">
        <f t="shared" si="19"/>
        <v>0</v>
      </c>
      <c r="AC27" s="84">
        <f t="shared" si="8"/>
        <v>0</v>
      </c>
      <c r="AD27" s="84"/>
      <c r="AE27" s="84">
        <f t="shared" si="20"/>
        <v>0</v>
      </c>
      <c r="AF27" s="84">
        <f t="shared" ref="AF27:AF28" si="23">IFERROR(SUM(Z27:AE27),"")</f>
        <v>0</v>
      </c>
      <c r="AG27" s="94">
        <f t="shared" si="21"/>
        <v>0</v>
      </c>
      <c r="AH27" s="85">
        <f>IFERROR(VLOOKUP(A27,CUSTOMERS!$A:$E,4),"")</f>
        <v>197.7</v>
      </c>
      <c r="AI27" s="86">
        <f t="shared" si="12"/>
        <v>0</v>
      </c>
      <c r="AJ27" s="87">
        <f>IFERROR(VLOOKUP(A27,CUSTOMERS!$A:$F,5),"")</f>
        <v>0.2</v>
      </c>
      <c r="AK27" s="96"/>
      <c r="AL27" s="96">
        <v>0</v>
      </c>
      <c r="AM27" s="96">
        <v>0</v>
      </c>
      <c r="AN27" s="96"/>
      <c r="AO27" s="96">
        <v>0</v>
      </c>
      <c r="AP27" s="102">
        <f t="shared" si="13"/>
        <v>0</v>
      </c>
      <c r="AQ27" s="102">
        <f t="shared" si="14"/>
        <v>0</v>
      </c>
      <c r="AR27" s="68" t="str">
        <f>IFERROR(VLOOKUP(A27,CUSTOMERS!$A:$B,2),"")</f>
        <v>BOI</v>
      </c>
      <c r="AS27" s="68" t="str">
        <f>IFERROR(VLOOKUP(A27,CUSTOMERS!$A:$D,3),"")</f>
        <v>RSC</v>
      </c>
      <c r="AT27" s="68" t="str">
        <f>IFERROR(VLOOKUP(A27,CUSTOMERS!$A:$F,6),"")</f>
        <v>Y</v>
      </c>
      <c r="AU27" s="69">
        <f>IFERROR(VLOOKUP(A27,CUSTOMERS!$A:$E,4),"")</f>
        <v>197.7</v>
      </c>
      <c r="AV27" s="68"/>
      <c r="AW27" s="70"/>
      <c r="AX27" s="71"/>
    </row>
    <row r="28" spans="1:50" s="73" customFormat="1" ht="40.5" customHeight="1">
      <c r="A28" s="120" t="s">
        <v>114</v>
      </c>
      <c r="B28" s="120" t="s">
        <v>283</v>
      </c>
      <c r="C28" s="120"/>
      <c r="D28" s="120">
        <v>656</v>
      </c>
      <c r="E28" s="120"/>
      <c r="F28" s="235" t="str">
        <f t="shared" si="1"/>
        <v>BOI-RSC-2021-00656</v>
      </c>
      <c r="G28" s="123" t="s">
        <v>129</v>
      </c>
      <c r="H28" s="124" t="s">
        <v>130</v>
      </c>
      <c r="I28" s="239"/>
      <c r="J28" s="184">
        <f t="shared" si="2"/>
        <v>37365.300000000003</v>
      </c>
      <c r="K28" s="177">
        <f t="shared" ref="K28" si="24">MAX(L28:R28)</f>
        <v>44361</v>
      </c>
      <c r="L28" s="146">
        <v>44361</v>
      </c>
      <c r="M28" s="147"/>
      <c r="N28" s="147"/>
      <c r="O28" s="147"/>
      <c r="P28" s="147"/>
      <c r="Q28" s="199" t="s">
        <v>13</v>
      </c>
      <c r="R28" s="199" t="s">
        <v>4</v>
      </c>
      <c r="S28" s="199"/>
      <c r="T28" s="199"/>
      <c r="U28" s="199"/>
      <c r="V28" s="199"/>
      <c r="W28" s="199"/>
      <c r="X28" s="144"/>
      <c r="Y28" s="173">
        <f t="shared" si="4"/>
        <v>37365.300000000003</v>
      </c>
      <c r="Z28" s="83">
        <f t="shared" si="5"/>
        <v>26689.5</v>
      </c>
      <c r="AA28" s="84">
        <f t="shared" si="18"/>
        <v>0</v>
      </c>
      <c r="AB28" s="84">
        <f t="shared" si="19"/>
        <v>0</v>
      </c>
      <c r="AC28" s="84">
        <f t="shared" si="8"/>
        <v>0</v>
      </c>
      <c r="AD28" s="84"/>
      <c r="AE28" s="84">
        <f t="shared" si="20"/>
        <v>4448.2499999999991</v>
      </c>
      <c r="AF28" s="84">
        <f t="shared" si="23"/>
        <v>31137.75</v>
      </c>
      <c r="AG28" s="94">
        <f t="shared" si="21"/>
        <v>6227.55</v>
      </c>
      <c r="AH28" s="85">
        <f>IFERROR(VLOOKUP(A28,CUSTOMERS!$A:$E,4),"")</f>
        <v>197.7</v>
      </c>
      <c r="AI28" s="86">
        <f t="shared" si="12"/>
        <v>0</v>
      </c>
      <c r="AJ28" s="87">
        <f>IFERROR(VLOOKUP(A28,CUSTOMERS!$A:$F,5),"")</f>
        <v>0.2</v>
      </c>
      <c r="AK28" s="96">
        <v>18</v>
      </c>
      <c r="AL28" s="96">
        <v>0</v>
      </c>
      <c r="AM28" s="96">
        <v>0</v>
      </c>
      <c r="AN28" s="96"/>
      <c r="AO28" s="96">
        <v>3</v>
      </c>
      <c r="AP28" s="102">
        <f t="shared" si="13"/>
        <v>21</v>
      </c>
      <c r="AQ28" s="102">
        <f t="shared" si="14"/>
        <v>4.2</v>
      </c>
      <c r="AR28" s="68" t="str">
        <f>IFERROR(VLOOKUP(A28,CUSTOMERS!$A:$B,2),"")</f>
        <v>BOI</v>
      </c>
      <c r="AS28" s="68" t="str">
        <f>IFERROR(VLOOKUP(A28,CUSTOMERS!$A:$D,3),"")</f>
        <v>RSC</v>
      </c>
      <c r="AT28" s="68" t="str">
        <f>IFERROR(VLOOKUP(A28,CUSTOMERS!$A:$F,6),"")</f>
        <v>Y</v>
      </c>
      <c r="AU28" s="69">
        <f>IFERROR(VLOOKUP(A28,CUSTOMERS!$A:$E,4),"")</f>
        <v>197.7</v>
      </c>
      <c r="AV28" s="68"/>
      <c r="AW28" s="70"/>
      <c r="AX28" s="71"/>
    </row>
    <row r="29" spans="1:50" s="73" customFormat="1" ht="40.5" hidden="1" customHeight="1">
      <c r="A29" s="120" t="s">
        <v>131</v>
      </c>
      <c r="B29" s="120" t="str">
        <f t="shared" si="22"/>
        <v>Y</v>
      </c>
      <c r="C29" s="120"/>
      <c r="D29" s="121">
        <v>87</v>
      </c>
      <c r="E29" s="121"/>
      <c r="F29" s="122" t="str">
        <f t="shared" si="1"/>
        <v>BDB-RSC-2020-00087</v>
      </c>
      <c r="G29" s="123" t="s">
        <v>100</v>
      </c>
      <c r="H29" s="124" t="s">
        <v>132</v>
      </c>
      <c r="I29" s="239"/>
      <c r="J29" s="80">
        <f t="shared" si="2"/>
        <v>0</v>
      </c>
      <c r="K29" s="177">
        <f>MAX(L29:R29)</f>
        <v>44061</v>
      </c>
      <c r="L29" s="141">
        <v>44061</v>
      </c>
      <c r="M29" s="142"/>
      <c r="N29" s="142"/>
      <c r="O29" s="142"/>
      <c r="P29" s="142"/>
      <c r="Q29" s="199" t="s">
        <v>6</v>
      </c>
      <c r="R29" s="199" t="s">
        <v>4</v>
      </c>
      <c r="S29" s="199"/>
      <c r="T29" s="199"/>
      <c r="U29" s="199"/>
      <c r="V29" s="199"/>
      <c r="W29" s="199"/>
      <c r="X29" s="143"/>
      <c r="Y29" s="173">
        <f t="shared" si="4"/>
        <v>0</v>
      </c>
      <c r="Z29" s="83">
        <f t="shared" si="5"/>
        <v>0</v>
      </c>
      <c r="AA29" s="84">
        <f t="shared" si="18"/>
        <v>0</v>
      </c>
      <c r="AB29" s="84">
        <f t="shared" si="19"/>
        <v>0</v>
      </c>
      <c r="AC29" s="84">
        <f t="shared" si="8"/>
        <v>0</v>
      </c>
      <c r="AD29" s="84"/>
      <c r="AE29" s="84">
        <f t="shared" si="20"/>
        <v>0</v>
      </c>
      <c r="AF29" s="84">
        <f t="shared" si="10"/>
        <v>0</v>
      </c>
      <c r="AG29" s="94">
        <f t="shared" si="21"/>
        <v>0</v>
      </c>
      <c r="AH29" s="85">
        <f>IFERROR(VLOOKUP(A29,CUSTOMERS!$A:$E,4),"")</f>
        <v>215.76</v>
      </c>
      <c r="AI29" s="86" t="str">
        <f t="shared" si="12"/>
        <v/>
      </c>
      <c r="AJ29" s="87">
        <f>IFERROR(VLOOKUP(A29,CUSTOMERS!$A:$F,5),"")</f>
        <v>0.2</v>
      </c>
      <c r="AK29" s="96"/>
      <c r="AL29" s="96">
        <v>0</v>
      </c>
      <c r="AM29" s="96">
        <v>0</v>
      </c>
      <c r="AN29" s="96"/>
      <c r="AO29" s="96">
        <v>0</v>
      </c>
      <c r="AP29" s="102">
        <f t="shared" si="13"/>
        <v>0</v>
      </c>
      <c r="AQ29" s="102">
        <f t="shared" si="14"/>
        <v>0</v>
      </c>
      <c r="AR29" s="68" t="str">
        <f>IFERROR(VLOOKUP(A29,CUSTOMERS!$A:$B,2),"")</f>
        <v>BDB</v>
      </c>
      <c r="AS29" s="68" t="str">
        <f>IFERROR(VLOOKUP(A29,CUSTOMERS!$A:$D,3),"")</f>
        <v>RSC</v>
      </c>
      <c r="AT29" s="68" t="str">
        <f>IFERROR(VLOOKUP(A29,CUSTOMERS!$A:$F,6),"")</f>
        <v>Y</v>
      </c>
      <c r="AU29" s="69">
        <f>IFERROR(VLOOKUP(A29,CUSTOMERS!$A:$E,4),"")</f>
        <v>215.76</v>
      </c>
      <c r="AV29" s="68" t="str">
        <f t="shared" si="15"/>
        <v/>
      </c>
      <c r="AW29" s="70" t="str">
        <f t="shared" si="16"/>
        <v>descr29</v>
      </c>
      <c r="AX29" s="71" t="str">
        <f t="shared" si="17"/>
        <v>reason29</v>
      </c>
    </row>
    <row r="30" spans="1:50" s="73" customFormat="1" ht="40.5" customHeight="1">
      <c r="A30" s="120" t="s">
        <v>131</v>
      </c>
      <c r="B30" s="120" t="str">
        <f t="shared" si="22"/>
        <v>Y</v>
      </c>
      <c r="C30" s="120"/>
      <c r="D30" s="121">
        <v>84</v>
      </c>
      <c r="E30" s="121"/>
      <c r="F30" s="122" t="str">
        <f t="shared" si="1"/>
        <v>BDB-RSC-2020-00084</v>
      </c>
      <c r="G30" s="123" t="s">
        <v>103</v>
      </c>
      <c r="H30" s="124" t="s">
        <v>133</v>
      </c>
      <c r="I30" s="239"/>
      <c r="J30" s="81">
        <f t="shared" si="2"/>
        <v>9709.1999999999989</v>
      </c>
      <c r="K30" s="177">
        <f>MAX(L30:R30)</f>
        <v>44033</v>
      </c>
      <c r="L30" s="141">
        <v>44028</v>
      </c>
      <c r="M30" s="142">
        <v>44033</v>
      </c>
      <c r="N30" s="142">
        <v>44033</v>
      </c>
      <c r="O30" s="142"/>
      <c r="P30" s="142"/>
      <c r="Q30" s="199" t="s">
        <v>6</v>
      </c>
      <c r="R30" s="199" t="s">
        <v>4</v>
      </c>
      <c r="S30" s="199"/>
      <c r="T30" s="199"/>
      <c r="U30" s="199"/>
      <c r="V30" s="199"/>
      <c r="W30" s="199"/>
      <c r="X30" s="144" t="s">
        <v>424</v>
      </c>
      <c r="Y30" s="173">
        <f t="shared" si="4"/>
        <v>9709.1999999999989</v>
      </c>
      <c r="Z30" s="83">
        <f t="shared" si="5"/>
        <v>0</v>
      </c>
      <c r="AA30" s="84">
        <f t="shared" si="18"/>
        <v>1618.1999999999998</v>
      </c>
      <c r="AB30" s="84">
        <f t="shared" si="19"/>
        <v>4854.5999999999995</v>
      </c>
      <c r="AC30" s="84">
        <f t="shared" si="8"/>
        <v>0</v>
      </c>
      <c r="AD30" s="84"/>
      <c r="AE30" s="84">
        <f t="shared" si="20"/>
        <v>1618.1999999999998</v>
      </c>
      <c r="AF30" s="89">
        <f t="shared" si="10"/>
        <v>8090.9999999999991</v>
      </c>
      <c r="AG30" s="94">
        <f t="shared" si="21"/>
        <v>1618.1999999999998</v>
      </c>
      <c r="AH30" s="85">
        <f>IFERROR(VLOOKUP(A30,CUSTOMERS!$A:$E,4),"")</f>
        <v>215.76</v>
      </c>
      <c r="AI30" s="86" t="str">
        <f t="shared" si="12"/>
        <v/>
      </c>
      <c r="AJ30" s="87">
        <f>IFERROR(VLOOKUP(A30,CUSTOMERS!$A:$F,5),"")</f>
        <v>0.2</v>
      </c>
      <c r="AK30" s="96"/>
      <c r="AL30" s="96">
        <v>1</v>
      </c>
      <c r="AM30" s="96">
        <v>3</v>
      </c>
      <c r="AN30" s="96"/>
      <c r="AO30" s="96">
        <v>1</v>
      </c>
      <c r="AP30" s="102">
        <f t="shared" si="13"/>
        <v>5</v>
      </c>
      <c r="AQ30" s="102">
        <f t="shared" si="14"/>
        <v>1</v>
      </c>
      <c r="AR30" s="68" t="str">
        <f>IFERROR(VLOOKUP(A30,CUSTOMERS!$A:$B,2),"")</f>
        <v>BDB</v>
      </c>
      <c r="AS30" s="68" t="str">
        <f>IFERROR(VLOOKUP(A30,CUSTOMERS!$A:$D,3),"")</f>
        <v>RSC</v>
      </c>
      <c r="AT30" s="68" t="str">
        <f>IFERROR(VLOOKUP(A30,CUSTOMERS!$A:$F,6),"")</f>
        <v>Y</v>
      </c>
      <c r="AU30" s="69">
        <f>IFERROR(VLOOKUP(A30,CUSTOMERS!$A:$E,4),"")</f>
        <v>215.76</v>
      </c>
      <c r="AV30" s="68" t="str">
        <f t="shared" si="15"/>
        <v/>
      </c>
      <c r="AW30" s="70" t="str">
        <f t="shared" si="16"/>
        <v>descr30</v>
      </c>
      <c r="AX30" s="71" t="str">
        <f t="shared" si="17"/>
        <v>reason30</v>
      </c>
    </row>
    <row r="31" spans="1:50" s="73" customFormat="1" ht="40.5" customHeight="1">
      <c r="A31" s="120" t="s">
        <v>131</v>
      </c>
      <c r="B31" s="120" t="str">
        <f t="shared" si="22"/>
        <v>Y</v>
      </c>
      <c r="C31" s="120"/>
      <c r="D31" s="121">
        <v>9999</v>
      </c>
      <c r="E31" s="121"/>
      <c r="F31" s="122" t="str">
        <f t="shared" si="1"/>
        <v>BDB-RSC-2020-09999</v>
      </c>
      <c r="G31" s="123" t="s">
        <v>109</v>
      </c>
      <c r="H31" s="124" t="s">
        <v>110</v>
      </c>
      <c r="I31" s="239"/>
      <c r="J31" s="81">
        <f t="shared" si="2"/>
        <v>48546</v>
      </c>
      <c r="K31" s="177">
        <f>MAX(L31:R31)</f>
        <v>44151</v>
      </c>
      <c r="L31" s="141">
        <v>43929</v>
      </c>
      <c r="M31" s="142"/>
      <c r="N31" s="142"/>
      <c r="O31" s="142">
        <v>44151</v>
      </c>
      <c r="P31" s="142">
        <v>44151</v>
      </c>
      <c r="Q31" s="199" t="s">
        <v>6</v>
      </c>
      <c r="R31" s="199" t="s">
        <v>4</v>
      </c>
      <c r="S31" s="199"/>
      <c r="T31" s="199"/>
      <c r="U31" s="199"/>
      <c r="V31" s="199"/>
      <c r="W31" s="199"/>
      <c r="X31" s="144" t="s">
        <v>425</v>
      </c>
      <c r="Y31" s="173">
        <f t="shared" si="4"/>
        <v>48546</v>
      </c>
      <c r="Z31" s="83">
        <f t="shared" si="5"/>
        <v>8091</v>
      </c>
      <c r="AA31" s="84">
        <f t="shared" si="18"/>
        <v>8091</v>
      </c>
      <c r="AB31" s="84">
        <f t="shared" si="19"/>
        <v>12945.599999999999</v>
      </c>
      <c r="AC31" s="84">
        <f t="shared" si="8"/>
        <v>4854.5999999999995</v>
      </c>
      <c r="AD31" s="84"/>
      <c r="AE31" s="84">
        <f t="shared" si="20"/>
        <v>6472.7999999999993</v>
      </c>
      <c r="AF31" s="190">
        <f t="shared" si="10"/>
        <v>40455</v>
      </c>
      <c r="AG31" s="191">
        <f t="shared" si="21"/>
        <v>8091</v>
      </c>
      <c r="AH31" s="85">
        <f>IFERROR(VLOOKUP(A31,CUSTOMERS!$A:$E,4),"")</f>
        <v>215.76</v>
      </c>
      <c r="AI31" s="86" t="str">
        <f t="shared" si="12"/>
        <v/>
      </c>
      <c r="AJ31" s="87">
        <f>IFERROR(VLOOKUP(A31,CUSTOMERS!$A:$F,5),"")</f>
        <v>0.2</v>
      </c>
      <c r="AK31" s="96">
        <v>5</v>
      </c>
      <c r="AL31" s="96">
        <v>5</v>
      </c>
      <c r="AM31" s="96">
        <v>8</v>
      </c>
      <c r="AN31" s="96">
        <v>3</v>
      </c>
      <c r="AO31" s="96">
        <v>4</v>
      </c>
      <c r="AP31" s="102">
        <f t="shared" si="13"/>
        <v>25</v>
      </c>
      <c r="AQ31" s="102">
        <f t="shared" si="14"/>
        <v>5</v>
      </c>
      <c r="AR31" s="68" t="str">
        <f>IFERROR(VLOOKUP(A31,CUSTOMERS!$A:$B,2),"")</f>
        <v>BDB</v>
      </c>
      <c r="AS31" s="68" t="str">
        <f>IFERROR(VLOOKUP(A31,CUSTOMERS!$A:$D,3),"")</f>
        <v>RSC</v>
      </c>
      <c r="AT31" s="68" t="str">
        <f>IFERROR(VLOOKUP(A31,CUSTOMERS!$A:$F,6),"")</f>
        <v>Y</v>
      </c>
      <c r="AU31" s="69">
        <f>IFERROR(VLOOKUP(A31,CUSTOMERS!$A:$E,4),"")</f>
        <v>215.76</v>
      </c>
      <c r="AV31" s="68" t="str">
        <f t="shared" si="15"/>
        <v/>
      </c>
      <c r="AW31" s="70" t="str">
        <f t="shared" si="16"/>
        <v>descr31</v>
      </c>
      <c r="AX31" s="71" t="str">
        <f t="shared" si="17"/>
        <v>reason31</v>
      </c>
    </row>
    <row r="32" spans="1:50" s="73" customFormat="1" ht="40.5" customHeight="1">
      <c r="A32" s="120" t="s">
        <v>131</v>
      </c>
      <c r="B32" s="120" t="str">
        <f t="shared" si="22"/>
        <v>Y</v>
      </c>
      <c r="C32" s="120"/>
      <c r="D32" s="121"/>
      <c r="E32" s="121"/>
      <c r="F32" s="122" t="str">
        <f t="shared" si="1"/>
        <v>BDB-RSC-2020-00000</v>
      </c>
      <c r="G32" s="123" t="s">
        <v>109</v>
      </c>
      <c r="H32" s="124" t="s">
        <v>134</v>
      </c>
      <c r="I32" s="239"/>
      <c r="J32" s="80">
        <f t="shared" si="2"/>
        <v>2500</v>
      </c>
      <c r="K32" s="177">
        <f>MAX(L32:R32)</f>
        <v>44151</v>
      </c>
      <c r="L32" s="141">
        <v>44151</v>
      </c>
      <c r="M32" s="142"/>
      <c r="N32" s="142"/>
      <c r="O32" s="142">
        <v>44151</v>
      </c>
      <c r="P32" s="142">
        <v>44151</v>
      </c>
      <c r="Q32" s="199" t="s">
        <v>18</v>
      </c>
      <c r="R32" s="199" t="s">
        <v>4</v>
      </c>
      <c r="S32" s="199"/>
      <c r="T32" s="199"/>
      <c r="U32" s="199"/>
      <c r="V32" s="199"/>
      <c r="W32" s="199"/>
      <c r="X32" s="144" t="s">
        <v>425</v>
      </c>
      <c r="Y32" s="173">
        <f t="shared" si="4"/>
        <v>2500</v>
      </c>
      <c r="Z32" s="83">
        <f t="shared" si="5"/>
        <v>0</v>
      </c>
      <c r="AA32" s="84">
        <v>2500</v>
      </c>
      <c r="AB32" s="84">
        <f t="shared" si="19"/>
        <v>0</v>
      </c>
      <c r="AC32" s="84">
        <f t="shared" si="8"/>
        <v>0</v>
      </c>
      <c r="AD32" s="84"/>
      <c r="AE32" s="84">
        <f t="shared" si="20"/>
        <v>0</v>
      </c>
      <c r="AF32" s="179">
        <f t="shared" si="10"/>
        <v>2500</v>
      </c>
      <c r="AG32" s="191">
        <f t="shared" si="21"/>
        <v>0</v>
      </c>
      <c r="AH32" s="85">
        <f>IFERROR(VLOOKUP(A32,CUSTOMERS!$A:$E,4),"")</f>
        <v>215.76</v>
      </c>
      <c r="AI32" s="86" t="str">
        <f t="shared" si="12"/>
        <v/>
      </c>
      <c r="AJ32" s="87">
        <f>IFERROR(VLOOKUP(A32,CUSTOMERS!$A:$F,5),"")</f>
        <v>0.2</v>
      </c>
      <c r="AK32" s="96"/>
      <c r="AL32" s="96">
        <v>0</v>
      </c>
      <c r="AM32" s="96">
        <v>0</v>
      </c>
      <c r="AN32" s="96"/>
      <c r="AO32" s="96">
        <v>0</v>
      </c>
      <c r="AP32" s="103">
        <f t="shared" si="13"/>
        <v>0</v>
      </c>
      <c r="AQ32" s="103">
        <f t="shared" si="14"/>
        <v>0</v>
      </c>
      <c r="AR32" s="68" t="str">
        <f>IFERROR(VLOOKUP(A32,CUSTOMERS!$A:$B,2),"")</f>
        <v>BDB</v>
      </c>
      <c r="AS32" s="68" t="str">
        <f>IFERROR(VLOOKUP(A32,CUSTOMERS!$A:$D,3),"")</f>
        <v>RSC</v>
      </c>
      <c r="AT32" s="68" t="str">
        <f>IFERROR(VLOOKUP(A32,CUSTOMERS!$A:$F,6),"")</f>
        <v>Y</v>
      </c>
      <c r="AU32" s="69">
        <f>IFERROR(VLOOKUP(A32,CUSTOMERS!$A:$E,4),"")</f>
        <v>215.76</v>
      </c>
      <c r="AV32" s="68" t="str">
        <f t="shared" si="15"/>
        <v/>
      </c>
      <c r="AW32" s="70" t="str">
        <f t="shared" si="16"/>
        <v>descr32</v>
      </c>
      <c r="AX32" s="71" t="str">
        <f t="shared" si="17"/>
        <v>reason32</v>
      </c>
    </row>
    <row r="33" spans="1:50" s="73" customFormat="1" ht="40.5" customHeight="1">
      <c r="A33" s="120" t="s">
        <v>131</v>
      </c>
      <c r="B33" s="120" t="str">
        <f t="shared" si="22"/>
        <v>Y</v>
      </c>
      <c r="C33" s="120"/>
      <c r="D33" s="121"/>
      <c r="E33" s="121"/>
      <c r="F33" s="122" t="str">
        <f t="shared" si="1"/>
        <v>BDB-RSC-2020-00000</v>
      </c>
      <c r="G33" s="123" t="s">
        <v>109</v>
      </c>
      <c r="H33" s="124" t="s">
        <v>135</v>
      </c>
      <c r="I33" s="239"/>
      <c r="J33" s="80">
        <f t="shared" si="2"/>
        <v>18000</v>
      </c>
      <c r="K33" s="177">
        <f>MAX(L33:R33)</f>
        <v>44151</v>
      </c>
      <c r="L33" s="141">
        <v>44151</v>
      </c>
      <c r="M33" s="142"/>
      <c r="N33" s="142"/>
      <c r="O33" s="142">
        <v>44151</v>
      </c>
      <c r="P33" s="142">
        <v>44151</v>
      </c>
      <c r="Q33" s="199" t="s">
        <v>15</v>
      </c>
      <c r="R33" s="199" t="s">
        <v>4</v>
      </c>
      <c r="S33" s="199"/>
      <c r="T33" s="199"/>
      <c r="U33" s="199"/>
      <c r="V33" s="199"/>
      <c r="W33" s="199"/>
      <c r="X33" s="144" t="s">
        <v>425</v>
      </c>
      <c r="Y33" s="173">
        <f t="shared" si="4"/>
        <v>18000</v>
      </c>
      <c r="Z33" s="83">
        <f t="shared" si="5"/>
        <v>0</v>
      </c>
      <c r="AA33" s="84">
        <v>15000</v>
      </c>
      <c r="AB33" s="84">
        <v>3000</v>
      </c>
      <c r="AC33" s="84">
        <f t="shared" si="8"/>
        <v>0</v>
      </c>
      <c r="AD33" s="84"/>
      <c r="AE33" s="84">
        <f t="shared" si="20"/>
        <v>0</v>
      </c>
      <c r="AF33" s="179">
        <f t="shared" si="10"/>
        <v>18000</v>
      </c>
      <c r="AG33" s="191">
        <f t="shared" si="21"/>
        <v>0</v>
      </c>
      <c r="AH33" s="85">
        <f>IFERROR(VLOOKUP(A33,CUSTOMERS!$A:$E,4),"")</f>
        <v>215.76</v>
      </c>
      <c r="AI33" s="86" t="str">
        <f t="shared" si="12"/>
        <v/>
      </c>
      <c r="AJ33" s="87">
        <f>IFERROR(VLOOKUP(A33,CUSTOMERS!$A:$F,5),"")</f>
        <v>0.2</v>
      </c>
      <c r="AK33" s="96"/>
      <c r="AL33" s="96">
        <v>0</v>
      </c>
      <c r="AM33" s="96">
        <v>0</v>
      </c>
      <c r="AN33" s="96"/>
      <c r="AO33" s="96">
        <v>0</v>
      </c>
      <c r="AP33" s="103">
        <f t="shared" si="13"/>
        <v>0</v>
      </c>
      <c r="AQ33" s="103">
        <f t="shared" si="14"/>
        <v>0</v>
      </c>
      <c r="AR33" s="68" t="str">
        <f>IFERROR(VLOOKUP(A33,CUSTOMERS!$A:$B,2),"")</f>
        <v>BDB</v>
      </c>
      <c r="AS33" s="68" t="str">
        <f>IFERROR(VLOOKUP(A33,CUSTOMERS!$A:$D,3),"")</f>
        <v>RSC</v>
      </c>
      <c r="AT33" s="68" t="str">
        <f>IFERROR(VLOOKUP(A33,CUSTOMERS!$A:$F,6),"")</f>
        <v>Y</v>
      </c>
      <c r="AU33" s="69">
        <f>IFERROR(VLOOKUP(A33,CUSTOMERS!$A:$E,4),"")</f>
        <v>215.76</v>
      </c>
      <c r="AV33" s="68" t="str">
        <f t="shared" si="15"/>
        <v/>
      </c>
      <c r="AW33" s="70" t="str">
        <f t="shared" si="16"/>
        <v>descr33</v>
      </c>
      <c r="AX33" s="71" t="str">
        <f t="shared" si="17"/>
        <v>reason33</v>
      </c>
    </row>
    <row r="34" spans="1:50" s="73" customFormat="1" ht="40.5" customHeight="1">
      <c r="A34" s="120" t="s">
        <v>136</v>
      </c>
      <c r="B34" s="120" t="str">
        <f t="shared" si="22"/>
        <v>Y</v>
      </c>
      <c r="C34" s="120"/>
      <c r="D34" s="120">
        <v>9998</v>
      </c>
      <c r="E34" s="120"/>
      <c r="F34" s="122" t="str">
        <f t="shared" si="1"/>
        <v>BDB-RSC-0000-09998</v>
      </c>
      <c r="G34" s="123" t="s">
        <v>109</v>
      </c>
      <c r="H34" s="124" t="s">
        <v>110</v>
      </c>
      <c r="I34" s="239"/>
      <c r="J34" s="176">
        <f t="shared" si="2"/>
        <v>0</v>
      </c>
      <c r="K34" s="177"/>
      <c r="L34" s="141"/>
      <c r="M34" s="142"/>
      <c r="N34" s="142"/>
      <c r="O34" s="142"/>
      <c r="P34" s="142"/>
      <c r="Q34" s="199" t="s">
        <v>6</v>
      </c>
      <c r="R34" s="199" t="s">
        <v>4</v>
      </c>
      <c r="S34" s="199"/>
      <c r="T34" s="199"/>
      <c r="U34" s="199"/>
      <c r="V34" s="199"/>
      <c r="W34" s="199"/>
      <c r="X34" s="144"/>
      <c r="Y34" s="173"/>
      <c r="Z34" s="178">
        <f t="shared" si="5"/>
        <v>8091</v>
      </c>
      <c r="AA34" s="179">
        <f t="shared" ref="AA34:AA52" si="25">IFERROR((AL34*AH34)*7.5,"")</f>
        <v>8091</v>
      </c>
      <c r="AB34" s="179">
        <f t="shared" ref="AB34:AB110" si="26">IFERROR((AM34*AH34)*7.5,"")</f>
        <v>12945.599999999999</v>
      </c>
      <c r="AC34" s="179">
        <f t="shared" si="8"/>
        <v>4854.5999999999995</v>
      </c>
      <c r="AD34" s="179"/>
      <c r="AE34" s="179">
        <f t="shared" si="20"/>
        <v>6472.7999999999993</v>
      </c>
      <c r="AF34" s="191">
        <f t="shared" si="10"/>
        <v>40455</v>
      </c>
      <c r="AG34" s="191">
        <f t="shared" si="21"/>
        <v>8091</v>
      </c>
      <c r="AH34" s="180">
        <f>IFERROR(VLOOKUP(A34,CUSTOMERS!$A:$E,4),"")</f>
        <v>215.76</v>
      </c>
      <c r="AI34" s="181" t="str">
        <f t="shared" si="12"/>
        <v/>
      </c>
      <c r="AJ34" s="182">
        <f>IFERROR(VLOOKUP(A34,CUSTOMERS!$A:$F,5),"")</f>
        <v>0.2</v>
      </c>
      <c r="AK34" s="183">
        <v>5</v>
      </c>
      <c r="AL34" s="183">
        <v>5</v>
      </c>
      <c r="AM34" s="183">
        <v>8</v>
      </c>
      <c r="AN34" s="183">
        <v>3</v>
      </c>
      <c r="AO34" s="183">
        <v>4</v>
      </c>
      <c r="AP34" s="102">
        <f t="shared" si="13"/>
        <v>25</v>
      </c>
      <c r="AQ34" s="102">
        <f t="shared" si="14"/>
        <v>5</v>
      </c>
      <c r="AR34" s="68" t="str">
        <f>IFERROR(VLOOKUP(A34,CUSTOMERS!$A:$B,2),"")</f>
        <v>BDB</v>
      </c>
      <c r="AS34" s="68" t="str">
        <f>IFERROR(VLOOKUP(A34,CUSTOMERS!$A:$D,3),"")</f>
        <v>RSC</v>
      </c>
      <c r="AT34" s="68" t="str">
        <f>IFERROR(VLOOKUP(A34,CUSTOMERS!$A:$F,6),"")</f>
        <v>Y</v>
      </c>
      <c r="AU34" s="69">
        <f>IFERROR(VLOOKUP(A34,CUSTOMERS!$A:$E,4),"")</f>
        <v>215.76</v>
      </c>
      <c r="AV34" s="68" t="str">
        <f t="shared" si="15"/>
        <v/>
      </c>
      <c r="AW34" s="70" t="str">
        <f t="shared" si="16"/>
        <v>descr34</v>
      </c>
      <c r="AX34" s="71" t="str">
        <f t="shared" si="17"/>
        <v>reason34</v>
      </c>
    </row>
    <row r="35" spans="1:50" s="73" customFormat="1" ht="40.5" customHeight="1">
      <c r="A35" s="120" t="s">
        <v>138</v>
      </c>
      <c r="B35" s="125" t="str">
        <f t="shared" si="22"/>
        <v>Y</v>
      </c>
      <c r="C35" s="125"/>
      <c r="D35" s="120">
        <v>1</v>
      </c>
      <c r="E35" s="120"/>
      <c r="F35" s="122" t="str">
        <f t="shared" si="1"/>
        <v>CYG-RSC-2021-00001</v>
      </c>
      <c r="G35" s="123" t="s">
        <v>109</v>
      </c>
      <c r="H35" s="124" t="s">
        <v>139</v>
      </c>
      <c r="I35" s="239"/>
      <c r="J35" s="80">
        <f t="shared" si="2"/>
        <v>15066</v>
      </c>
      <c r="K35" s="177">
        <f>MAX(L35:R35)</f>
        <v>44321</v>
      </c>
      <c r="L35" s="146">
        <v>44243</v>
      </c>
      <c r="M35" s="147">
        <v>44263</v>
      </c>
      <c r="N35" s="147">
        <v>44301</v>
      </c>
      <c r="O35" s="147">
        <v>44305</v>
      </c>
      <c r="P35" s="147">
        <v>44321</v>
      </c>
      <c r="Q35" s="199" t="s">
        <v>18</v>
      </c>
      <c r="R35" s="199" t="s">
        <v>4</v>
      </c>
      <c r="S35" s="199"/>
      <c r="T35" s="199"/>
      <c r="U35" s="199"/>
      <c r="V35" s="199"/>
      <c r="W35" s="199"/>
      <c r="X35" s="144" t="s">
        <v>426</v>
      </c>
      <c r="Y35" s="173">
        <f t="shared" ref="Y35:Y111" si="27">IFERROR(AF35+AG35,"")</f>
        <v>15066</v>
      </c>
      <c r="Z35" s="83">
        <f t="shared" si="5"/>
        <v>0</v>
      </c>
      <c r="AA35" s="84">
        <f t="shared" si="25"/>
        <v>8370</v>
      </c>
      <c r="AB35" s="84">
        <f t="shared" si="26"/>
        <v>1395</v>
      </c>
      <c r="AC35" s="84">
        <f t="shared" si="8"/>
        <v>1395</v>
      </c>
      <c r="AD35" s="84"/>
      <c r="AE35" s="84">
        <f t="shared" si="20"/>
        <v>1395</v>
      </c>
      <c r="AF35" s="179">
        <f t="shared" si="10"/>
        <v>12555</v>
      </c>
      <c r="AG35" s="191">
        <f t="shared" si="21"/>
        <v>2511</v>
      </c>
      <c r="AH35" s="85">
        <v>186</v>
      </c>
      <c r="AI35" s="86"/>
      <c r="AJ35" s="87">
        <f>IFERROR(VLOOKUP(A35,CUSTOMERS!$A:$F,5),"")</f>
        <v>0.2</v>
      </c>
      <c r="AK35" s="96"/>
      <c r="AL35" s="96">
        <v>6</v>
      </c>
      <c r="AM35" s="96">
        <v>1</v>
      </c>
      <c r="AN35" s="96">
        <v>1</v>
      </c>
      <c r="AO35" s="96">
        <v>1</v>
      </c>
      <c r="AP35" s="103">
        <f t="shared" si="13"/>
        <v>9</v>
      </c>
      <c r="AQ35" s="103">
        <f t="shared" si="14"/>
        <v>1.8</v>
      </c>
      <c r="AR35" s="68" t="str">
        <f>IFERROR(VLOOKUP(A35,CUSTOMERS!$A:$B,2),"")</f>
        <v>CYG</v>
      </c>
      <c r="AS35" s="68" t="str">
        <f>IFERROR(VLOOKUP(A35,CUSTOMERS!$A:$D,3),"")</f>
        <v>RSC</v>
      </c>
      <c r="AT35" s="68" t="str">
        <f>IFERROR(VLOOKUP(A35,CUSTOMERS!$A:$F,6),"")</f>
        <v>Y</v>
      </c>
      <c r="AU35" s="69">
        <f>IFERROR(VLOOKUP(A35,CUSTOMERS!$A:$E,4),"")</f>
        <v>205.2</v>
      </c>
      <c r="AV35" s="68" t="str">
        <f t="shared" si="15"/>
        <v>Y</v>
      </c>
      <c r="AW35" s="70" t="str">
        <f t="shared" si="16"/>
        <v>descr35</v>
      </c>
      <c r="AX35" s="71" t="str">
        <f t="shared" si="17"/>
        <v>reason35</v>
      </c>
    </row>
    <row r="36" spans="1:50" s="73" customFormat="1" ht="40.5" hidden="1" customHeight="1">
      <c r="A36" s="120" t="s">
        <v>140</v>
      </c>
      <c r="B36" s="120" t="str">
        <f t="shared" si="22"/>
        <v>Y</v>
      </c>
      <c r="C36" s="120"/>
      <c r="D36" s="121">
        <v>11</v>
      </c>
      <c r="E36" s="121"/>
      <c r="F36" s="122" t="str">
        <f t="shared" si="1"/>
        <v>LMR-RSC-2019-00011</v>
      </c>
      <c r="G36" s="123" t="s">
        <v>100</v>
      </c>
      <c r="H36" s="124" t="s">
        <v>141</v>
      </c>
      <c r="I36" s="239"/>
      <c r="J36" s="81">
        <f t="shared" si="2"/>
        <v>43383.600000000006</v>
      </c>
      <c r="K36" s="177">
        <f>MAX(L36:R36)</f>
        <v>43728</v>
      </c>
      <c r="L36" s="141">
        <v>43728</v>
      </c>
      <c r="M36" s="142"/>
      <c r="N36" s="142"/>
      <c r="O36" s="142"/>
      <c r="P36" s="142"/>
      <c r="Q36" s="199" t="s">
        <v>17</v>
      </c>
      <c r="R36" s="199" t="s">
        <v>4</v>
      </c>
      <c r="S36" s="199"/>
      <c r="T36" s="199"/>
      <c r="U36" s="199"/>
      <c r="V36" s="199"/>
      <c r="W36" s="199"/>
      <c r="X36" s="143" t="s">
        <v>427</v>
      </c>
      <c r="Y36" s="173">
        <f t="shared" si="27"/>
        <v>43383.600000000006</v>
      </c>
      <c r="Z36" s="83">
        <f t="shared" si="5"/>
        <v>0</v>
      </c>
      <c r="AA36" s="84">
        <f t="shared" si="25"/>
        <v>36153.000000000007</v>
      </c>
      <c r="AB36" s="84">
        <f t="shared" si="26"/>
        <v>0</v>
      </c>
      <c r="AC36" s="84">
        <f t="shared" si="8"/>
        <v>0</v>
      </c>
      <c r="AD36" s="84"/>
      <c r="AE36" s="84">
        <f t="shared" si="20"/>
        <v>0</v>
      </c>
      <c r="AF36" s="89">
        <f t="shared" si="10"/>
        <v>36153.000000000007</v>
      </c>
      <c r="AG36" s="94">
        <f t="shared" si="21"/>
        <v>7230.6</v>
      </c>
      <c r="AH36" s="85">
        <f>IFERROR(VLOOKUP(A36,CUSTOMERS!$A:$E,4),"")</f>
        <v>185.4</v>
      </c>
      <c r="AI36" s="86" t="str">
        <f t="shared" ref="AI36:AI53" si="28">AV36</f>
        <v/>
      </c>
      <c r="AJ36" s="87">
        <f>IFERROR(VLOOKUP(A36,CUSTOMERS!$A:$F,5),"")</f>
        <v>0.2</v>
      </c>
      <c r="AK36" s="96"/>
      <c r="AL36" s="96">
        <v>26</v>
      </c>
      <c r="AM36" s="96">
        <v>0</v>
      </c>
      <c r="AN36" s="96"/>
      <c r="AO36" s="96">
        <v>0</v>
      </c>
      <c r="AP36" s="102">
        <f t="shared" si="13"/>
        <v>26</v>
      </c>
      <c r="AQ36" s="102">
        <f t="shared" si="14"/>
        <v>5.2</v>
      </c>
      <c r="AR36" s="68" t="str">
        <f>IFERROR(VLOOKUP(A36,CUSTOMERS!$A:$B,2),"")</f>
        <v>LMR</v>
      </c>
      <c r="AS36" s="68" t="str">
        <f>IFERROR(VLOOKUP(A36,CUSTOMERS!$A:$D,3),"")</f>
        <v>RSC</v>
      </c>
      <c r="AT36" s="68" t="str">
        <f>IFERROR(VLOOKUP(A36,CUSTOMERS!$A:$F,6),"")</f>
        <v>Y</v>
      </c>
      <c r="AU36" s="69">
        <f>IFERROR(VLOOKUP(A36,CUSTOMERS!$A:$E,4),"")</f>
        <v>185.4</v>
      </c>
      <c r="AV36" s="68" t="str">
        <f t="shared" si="15"/>
        <v/>
      </c>
      <c r="AW36" s="70" t="str">
        <f t="shared" si="16"/>
        <v>descr36</v>
      </c>
      <c r="AX36" s="71" t="str">
        <f t="shared" si="17"/>
        <v>reason36</v>
      </c>
    </row>
    <row r="37" spans="1:50" s="73" customFormat="1" ht="40.5" hidden="1" customHeight="1">
      <c r="A37" s="120" t="s">
        <v>140</v>
      </c>
      <c r="B37" s="120" t="str">
        <f t="shared" si="22"/>
        <v>Y</v>
      </c>
      <c r="C37" s="120"/>
      <c r="D37" s="121">
        <v>12</v>
      </c>
      <c r="E37" s="121"/>
      <c r="F37" s="122" t="str">
        <f t="shared" si="1"/>
        <v>LMR-RSC-2019-00012</v>
      </c>
      <c r="G37" s="123" t="s">
        <v>100</v>
      </c>
      <c r="H37" s="124" t="s">
        <v>142</v>
      </c>
      <c r="I37" s="239"/>
      <c r="J37" s="81">
        <f t="shared" si="2"/>
        <v>55898.100000000006</v>
      </c>
      <c r="K37" s="177">
        <f>MAX(L37:R37)</f>
        <v>43728</v>
      </c>
      <c r="L37" s="141">
        <v>43728</v>
      </c>
      <c r="M37" s="142"/>
      <c r="N37" s="142"/>
      <c r="O37" s="142"/>
      <c r="P37" s="142"/>
      <c r="Q37" s="199" t="s">
        <v>17</v>
      </c>
      <c r="R37" s="199" t="s">
        <v>4</v>
      </c>
      <c r="S37" s="199"/>
      <c r="T37" s="199"/>
      <c r="U37" s="199"/>
      <c r="V37" s="199"/>
      <c r="W37" s="199"/>
      <c r="X37" s="143" t="s">
        <v>427</v>
      </c>
      <c r="Y37" s="173">
        <f t="shared" si="27"/>
        <v>55898.100000000006</v>
      </c>
      <c r="Z37" s="83">
        <f t="shared" si="5"/>
        <v>0</v>
      </c>
      <c r="AA37" s="84">
        <f t="shared" si="25"/>
        <v>46581.750000000007</v>
      </c>
      <c r="AB37" s="84">
        <f t="shared" si="26"/>
        <v>0</v>
      </c>
      <c r="AC37" s="84">
        <f t="shared" si="8"/>
        <v>0</v>
      </c>
      <c r="AD37" s="84"/>
      <c r="AE37" s="84">
        <f t="shared" si="20"/>
        <v>0</v>
      </c>
      <c r="AF37" s="89">
        <f t="shared" si="10"/>
        <v>46581.750000000007</v>
      </c>
      <c r="AG37" s="94">
        <f t="shared" si="21"/>
        <v>9316.35</v>
      </c>
      <c r="AH37" s="85">
        <f>IFERROR(VLOOKUP(A37,CUSTOMERS!$A:$E,4),"")</f>
        <v>185.4</v>
      </c>
      <c r="AI37" s="86" t="str">
        <f t="shared" si="28"/>
        <v/>
      </c>
      <c r="AJ37" s="87">
        <f>IFERROR(VLOOKUP(A37,CUSTOMERS!$A:$F,5),"")</f>
        <v>0.2</v>
      </c>
      <c r="AK37" s="96"/>
      <c r="AL37" s="96">
        <v>33.5</v>
      </c>
      <c r="AM37" s="96">
        <v>0</v>
      </c>
      <c r="AN37" s="96"/>
      <c r="AO37" s="96">
        <v>0</v>
      </c>
      <c r="AP37" s="102">
        <f t="shared" si="13"/>
        <v>33.5</v>
      </c>
      <c r="AQ37" s="102">
        <f t="shared" si="14"/>
        <v>6.7</v>
      </c>
      <c r="AR37" s="68" t="str">
        <f>IFERROR(VLOOKUP(A37,CUSTOMERS!$A:$B,2),"")</f>
        <v>LMR</v>
      </c>
      <c r="AS37" s="68" t="str">
        <f>IFERROR(VLOOKUP(A37,CUSTOMERS!$A:$D,3),"")</f>
        <v>RSC</v>
      </c>
      <c r="AT37" s="68" t="str">
        <f>IFERROR(VLOOKUP(A37,CUSTOMERS!$A:$F,6),"")</f>
        <v>Y</v>
      </c>
      <c r="AU37" s="69">
        <f>IFERROR(VLOOKUP(A37,CUSTOMERS!$A:$E,4),"")</f>
        <v>185.4</v>
      </c>
      <c r="AV37" s="68" t="str">
        <f t="shared" si="15"/>
        <v/>
      </c>
      <c r="AW37" s="70" t="str">
        <f t="shared" si="16"/>
        <v>descr37</v>
      </c>
      <c r="AX37" s="71" t="str">
        <f t="shared" si="17"/>
        <v>reason37</v>
      </c>
    </row>
    <row r="38" spans="1:50" s="73" customFormat="1" ht="40.5" customHeight="1">
      <c r="A38" s="120" t="s">
        <v>140</v>
      </c>
      <c r="B38" s="120" t="str">
        <f t="shared" si="22"/>
        <v>Y</v>
      </c>
      <c r="C38" s="120"/>
      <c r="D38" s="121" t="s">
        <v>143</v>
      </c>
      <c r="E38" s="121"/>
      <c r="F38" s="122" t="str">
        <f t="shared" si="1"/>
        <v>LMR-RSC-2020-0001A</v>
      </c>
      <c r="G38" s="123" t="s">
        <v>103</v>
      </c>
      <c r="H38" s="124" t="s">
        <v>144</v>
      </c>
      <c r="I38" s="239"/>
      <c r="J38" s="81">
        <f t="shared" si="2"/>
        <v>11680.2</v>
      </c>
      <c r="K38" s="177">
        <f>MAX(L38:R38)</f>
        <v>43949</v>
      </c>
      <c r="L38" s="141">
        <v>43945</v>
      </c>
      <c r="M38" s="142">
        <v>43949</v>
      </c>
      <c r="N38" s="142">
        <v>43678</v>
      </c>
      <c r="O38" s="142">
        <v>43678</v>
      </c>
      <c r="P38" s="142">
        <v>43678</v>
      </c>
      <c r="Q38" s="199" t="s">
        <v>17</v>
      </c>
      <c r="R38" s="199" t="s">
        <v>4</v>
      </c>
      <c r="S38" s="199"/>
      <c r="T38" s="199"/>
      <c r="U38" s="199"/>
      <c r="V38" s="199"/>
      <c r="W38" s="199"/>
      <c r="X38" s="143" t="s">
        <v>428</v>
      </c>
      <c r="Y38" s="173">
        <f t="shared" si="27"/>
        <v>11680.2</v>
      </c>
      <c r="Z38" s="83">
        <f t="shared" si="5"/>
        <v>0</v>
      </c>
      <c r="AA38" s="84">
        <f t="shared" si="25"/>
        <v>9733.5</v>
      </c>
      <c r="AB38" s="84">
        <f t="shared" si="26"/>
        <v>0</v>
      </c>
      <c r="AC38" s="84">
        <f t="shared" si="8"/>
        <v>0</v>
      </c>
      <c r="AD38" s="84"/>
      <c r="AE38" s="84">
        <f t="shared" si="20"/>
        <v>0</v>
      </c>
      <c r="AF38" s="89">
        <f t="shared" si="10"/>
        <v>9733.5</v>
      </c>
      <c r="AG38" s="94">
        <f t="shared" si="21"/>
        <v>1946.7000000000005</v>
      </c>
      <c r="AH38" s="85">
        <f>IFERROR(VLOOKUP(A38,CUSTOMERS!$A:$E,4),"")</f>
        <v>185.4</v>
      </c>
      <c r="AI38" s="86" t="str">
        <f t="shared" si="28"/>
        <v/>
      </c>
      <c r="AJ38" s="87">
        <f>IFERROR(VLOOKUP(A38,CUSTOMERS!$A:$F,5),"")</f>
        <v>0.2</v>
      </c>
      <c r="AK38" s="96"/>
      <c r="AL38" s="96">
        <v>7</v>
      </c>
      <c r="AM38" s="96">
        <v>0</v>
      </c>
      <c r="AN38" s="96"/>
      <c r="AO38" s="96">
        <v>0</v>
      </c>
      <c r="AP38" s="102">
        <f t="shared" si="13"/>
        <v>7</v>
      </c>
      <c r="AQ38" s="102">
        <f t="shared" si="14"/>
        <v>1.4000000000000001</v>
      </c>
      <c r="AR38" s="68" t="str">
        <f>IFERROR(VLOOKUP(A38,CUSTOMERS!$A:$B,2),"")</f>
        <v>LMR</v>
      </c>
      <c r="AS38" s="68" t="str">
        <f>IFERROR(VLOOKUP(A38,CUSTOMERS!$A:$D,3),"")</f>
        <v>RSC</v>
      </c>
      <c r="AT38" s="68" t="str">
        <f>IFERROR(VLOOKUP(A38,CUSTOMERS!$A:$F,6),"")</f>
        <v>Y</v>
      </c>
      <c r="AU38" s="69">
        <f>IFERROR(VLOOKUP(A38,CUSTOMERS!$A:$E,4),"")</f>
        <v>185.4</v>
      </c>
      <c r="AV38" s="68" t="str">
        <f t="shared" si="15"/>
        <v/>
      </c>
      <c r="AW38" s="70" t="str">
        <f t="shared" si="16"/>
        <v>descr38</v>
      </c>
      <c r="AX38" s="71" t="str">
        <f t="shared" si="17"/>
        <v>reason38</v>
      </c>
    </row>
    <row r="39" spans="1:50" s="73" customFormat="1" ht="40.5" customHeight="1">
      <c r="A39" s="120" t="s">
        <v>140</v>
      </c>
      <c r="B39" s="120" t="str">
        <f t="shared" si="22"/>
        <v>Y</v>
      </c>
      <c r="C39" s="120"/>
      <c r="D39" s="121">
        <v>10</v>
      </c>
      <c r="E39" s="121"/>
      <c r="F39" s="122" t="str">
        <f t="shared" si="1"/>
        <v>LMR-RSC-2020-00010</v>
      </c>
      <c r="G39" s="123" t="s">
        <v>103</v>
      </c>
      <c r="H39" s="124" t="s">
        <v>145</v>
      </c>
      <c r="I39" s="239"/>
      <c r="J39" s="81">
        <f t="shared" si="2"/>
        <v>34067.25</v>
      </c>
      <c r="K39" s="177">
        <f>MAX(L39:R39)</f>
        <v>44080</v>
      </c>
      <c r="L39" s="141">
        <v>43988</v>
      </c>
      <c r="M39" s="142">
        <v>44080</v>
      </c>
      <c r="N39" s="142">
        <v>43997</v>
      </c>
      <c r="O39" s="142">
        <v>43998</v>
      </c>
      <c r="P39" s="142">
        <v>43998</v>
      </c>
      <c r="Q39" s="199" t="s">
        <v>17</v>
      </c>
      <c r="R39" s="199" t="s">
        <v>4</v>
      </c>
      <c r="S39" s="199"/>
      <c r="T39" s="199"/>
      <c r="U39" s="199"/>
      <c r="V39" s="199"/>
      <c r="W39" s="199"/>
      <c r="X39" s="143" t="s">
        <v>429</v>
      </c>
      <c r="Y39" s="173">
        <f t="shared" si="27"/>
        <v>34067.25</v>
      </c>
      <c r="Z39" s="83">
        <f t="shared" si="5"/>
        <v>4171.5</v>
      </c>
      <c r="AA39" s="84">
        <f t="shared" si="25"/>
        <v>15990.75</v>
      </c>
      <c r="AB39" s="84">
        <f t="shared" si="26"/>
        <v>5562</v>
      </c>
      <c r="AC39" s="84">
        <f t="shared" si="8"/>
        <v>4171.5</v>
      </c>
      <c r="AD39" s="84"/>
      <c r="AE39" s="84">
        <f t="shared" si="20"/>
        <v>4171.5</v>
      </c>
      <c r="AF39" s="89">
        <f t="shared" si="10"/>
        <v>34067.25</v>
      </c>
      <c r="AG39" s="94">
        <f t="shared" si="21"/>
        <v>0</v>
      </c>
      <c r="AH39" s="85">
        <f>IFERROR(VLOOKUP(A39,CUSTOMERS!$A:$E,4),"")</f>
        <v>185.4</v>
      </c>
      <c r="AI39" s="86" t="str">
        <f t="shared" si="28"/>
        <v/>
      </c>
      <c r="AJ39" s="87">
        <f>IFERROR(VLOOKUP(A39,CUSTOMERS!$A:$F,5),"")</f>
        <v>0.2</v>
      </c>
      <c r="AK39" s="96">
        <v>3</v>
      </c>
      <c r="AL39" s="96">
        <v>11.5</v>
      </c>
      <c r="AM39" s="96">
        <v>4</v>
      </c>
      <c r="AN39" s="96">
        <v>3</v>
      </c>
      <c r="AO39" s="96">
        <v>3</v>
      </c>
      <c r="AP39" s="102">
        <f t="shared" si="13"/>
        <v>24.5</v>
      </c>
      <c r="AQ39" s="102">
        <v>0</v>
      </c>
      <c r="AR39" s="68" t="str">
        <f>IFERROR(VLOOKUP(A39,CUSTOMERS!$A:$B,2),"")</f>
        <v>LMR</v>
      </c>
      <c r="AS39" s="68" t="str">
        <f>IFERROR(VLOOKUP(A39,CUSTOMERS!$A:$D,3),"")</f>
        <v>RSC</v>
      </c>
      <c r="AT39" s="68" t="str">
        <f>IFERROR(VLOOKUP(A39,CUSTOMERS!$A:$F,6),"")</f>
        <v>Y</v>
      </c>
      <c r="AU39" s="69">
        <f>IFERROR(VLOOKUP(A39,CUSTOMERS!$A:$E,4),"")</f>
        <v>185.4</v>
      </c>
      <c r="AV39" s="68" t="str">
        <f t="shared" si="15"/>
        <v/>
      </c>
      <c r="AW39" s="70" t="str">
        <f t="shared" si="16"/>
        <v>descr39</v>
      </c>
      <c r="AX39" s="71" t="str">
        <f t="shared" si="17"/>
        <v>reason39</v>
      </c>
    </row>
    <row r="40" spans="1:50" s="73" customFormat="1" ht="40.5" customHeight="1">
      <c r="A40" s="120" t="s">
        <v>140</v>
      </c>
      <c r="B40" s="120" t="s">
        <v>283</v>
      </c>
      <c r="C40" s="120"/>
      <c r="D40" s="121">
        <v>13</v>
      </c>
      <c r="E40" s="121"/>
      <c r="F40" s="122" t="str">
        <f t="shared" si="1"/>
        <v/>
      </c>
      <c r="G40" s="123" t="s">
        <v>103</v>
      </c>
      <c r="H40" s="124" t="s">
        <v>146</v>
      </c>
      <c r="I40" s="239"/>
      <c r="J40" s="81">
        <f t="shared" si="2"/>
        <v>164820.6</v>
      </c>
      <c r="K40" s="177"/>
      <c r="L40" s="141"/>
      <c r="M40" s="142"/>
      <c r="N40" s="142"/>
      <c r="O40" s="142">
        <v>44323</v>
      </c>
      <c r="P40" s="142">
        <v>44323</v>
      </c>
      <c r="Q40" s="199" t="s">
        <v>12</v>
      </c>
      <c r="R40" s="199" t="s">
        <v>4</v>
      </c>
      <c r="S40" s="199"/>
      <c r="T40" s="199"/>
      <c r="U40" s="199"/>
      <c r="V40" s="199"/>
      <c r="W40" s="199"/>
      <c r="X40" s="143" t="s">
        <v>430</v>
      </c>
      <c r="Y40" s="173">
        <f t="shared" si="27"/>
        <v>164820.6</v>
      </c>
      <c r="Z40" s="83">
        <f t="shared" si="5"/>
        <v>0</v>
      </c>
      <c r="AA40" s="84">
        <f t="shared" si="25"/>
        <v>164820.6</v>
      </c>
      <c r="AB40" s="84">
        <f t="shared" si="26"/>
        <v>0</v>
      </c>
      <c r="AC40" s="84">
        <f t="shared" si="8"/>
        <v>0</v>
      </c>
      <c r="AD40" s="84"/>
      <c r="AE40" s="84">
        <f t="shared" si="20"/>
        <v>0</v>
      </c>
      <c r="AF40" s="89">
        <f t="shared" si="10"/>
        <v>164820.6</v>
      </c>
      <c r="AG40" s="94">
        <f t="shared" si="21"/>
        <v>0</v>
      </c>
      <c r="AH40" s="85">
        <f>IFERROR(VLOOKUP(A40,CUSTOMERS!$A:$E,4),"")</f>
        <v>185.4</v>
      </c>
      <c r="AI40" s="86">
        <f t="shared" si="28"/>
        <v>0</v>
      </c>
      <c r="AJ40" s="87">
        <f>IFERROR(VLOOKUP(A40,CUSTOMERS!$A:$F,5),"")</f>
        <v>0.2</v>
      </c>
      <c r="AK40" s="96">
        <v>0</v>
      </c>
      <c r="AL40" s="96">
        <f>889/7.5</f>
        <v>118.53333333333333</v>
      </c>
      <c r="AM40" s="96"/>
      <c r="AN40" s="96"/>
      <c r="AO40" s="96"/>
      <c r="AP40" s="102"/>
      <c r="AQ40" s="102"/>
      <c r="AR40" s="68"/>
      <c r="AS40" s="68"/>
      <c r="AT40" s="68"/>
      <c r="AU40" s="69"/>
      <c r="AV40" s="68"/>
      <c r="AW40" s="70"/>
      <c r="AX40" s="71"/>
    </row>
    <row r="41" spans="1:50" s="73" customFormat="1" ht="63.75" customHeight="1">
      <c r="A41" s="120" t="s">
        <v>140</v>
      </c>
      <c r="B41" s="120" t="str">
        <f t="shared" ref="B41:B51" si="29">AT41</f>
        <v>Y</v>
      </c>
      <c r="C41" s="120"/>
      <c r="D41" s="120">
        <v>13.1</v>
      </c>
      <c r="E41" s="120"/>
      <c r="F41" s="122" t="str">
        <f t="shared" si="1"/>
        <v>LMR-RSC-2021-013.1</v>
      </c>
      <c r="G41" s="123" t="s">
        <v>103</v>
      </c>
      <c r="H41" s="124" t="s">
        <v>147</v>
      </c>
      <c r="I41" s="239"/>
      <c r="J41" s="176">
        <f t="shared" si="2"/>
        <v>0</v>
      </c>
      <c r="K41" s="177">
        <f t="shared" ref="K41:K71" si="30">MAX(L41:R41)</f>
        <v>44323</v>
      </c>
      <c r="L41" s="141">
        <v>44306</v>
      </c>
      <c r="M41" s="142"/>
      <c r="N41" s="142">
        <v>44309</v>
      </c>
      <c r="O41" s="142">
        <v>44323</v>
      </c>
      <c r="P41" s="142">
        <v>44323</v>
      </c>
      <c r="Q41" s="199" t="s">
        <v>12</v>
      </c>
      <c r="R41" s="199" t="s">
        <v>4</v>
      </c>
      <c r="S41" s="199"/>
      <c r="T41" s="199"/>
      <c r="U41" s="199"/>
      <c r="V41" s="199"/>
      <c r="W41" s="199"/>
      <c r="X41" s="143" t="s">
        <v>431</v>
      </c>
      <c r="Y41" s="173">
        <f t="shared" si="27"/>
        <v>0</v>
      </c>
      <c r="Z41" s="178">
        <f t="shared" si="5"/>
        <v>0</v>
      </c>
      <c r="AA41" s="179">
        <f t="shared" si="25"/>
        <v>0</v>
      </c>
      <c r="AB41" s="179">
        <f t="shared" si="26"/>
        <v>0</v>
      </c>
      <c r="AC41" s="179">
        <f t="shared" si="8"/>
        <v>0</v>
      </c>
      <c r="AD41" s="179"/>
      <c r="AE41" s="179">
        <f t="shared" si="20"/>
        <v>0</v>
      </c>
      <c r="AF41" s="190">
        <f t="shared" si="10"/>
        <v>0</v>
      </c>
      <c r="AG41" s="94">
        <f t="shared" si="21"/>
        <v>0</v>
      </c>
      <c r="AH41" s="180">
        <f>IFERROR(VLOOKUP(A41,CUSTOMERS!$A:$E,4),"")</f>
        <v>185.4</v>
      </c>
      <c r="AI41" s="181" t="str">
        <f t="shared" si="28"/>
        <v/>
      </c>
      <c r="AJ41" s="182">
        <f>IFERROR(VLOOKUP(A41,CUSTOMERS!$A:$F,5),"")</f>
        <v>0.2</v>
      </c>
      <c r="AK41" s="183">
        <v>0</v>
      </c>
      <c r="AL41" s="183">
        <v>0</v>
      </c>
      <c r="AM41" s="183">
        <v>0</v>
      </c>
      <c r="AN41" s="183">
        <v>0</v>
      </c>
      <c r="AO41" s="183">
        <v>0</v>
      </c>
      <c r="AP41" s="102">
        <f t="shared" ref="AP41:AP51" si="31">SUM(AK41:AO41)</f>
        <v>0</v>
      </c>
      <c r="AQ41" s="102">
        <v>0</v>
      </c>
      <c r="AR41" s="68" t="str">
        <f>IFERROR(VLOOKUP(A41,CUSTOMERS!$A:$B,2),"")</f>
        <v>LMR</v>
      </c>
      <c r="AS41" s="68" t="str">
        <f>IFERROR(VLOOKUP(A41,CUSTOMERS!$A:$D,3),"")</f>
        <v>RSC</v>
      </c>
      <c r="AT41" s="68" t="str">
        <f>IFERROR(VLOOKUP(A41,CUSTOMERS!$A:$F,6),"")</f>
        <v>Y</v>
      </c>
      <c r="AU41" s="69">
        <f>IFERROR(VLOOKUP(A41,CUSTOMERS!$A:$E,4),"")</f>
        <v>185.4</v>
      </c>
      <c r="AV41" s="68" t="str">
        <f t="shared" ref="AV41:AV105" si="32">IF(AH41&lt;&gt;AU41,"Y","")</f>
        <v/>
      </c>
      <c r="AW41" s="70" t="str">
        <f t="shared" ref="AW41:AW51" si="33">"descr"&amp;ROW()</f>
        <v>descr41</v>
      </c>
      <c r="AX41" s="71" t="str">
        <f t="shared" ref="AX41:AX51" si="34">"reason"&amp;ROW()</f>
        <v>reason41</v>
      </c>
    </row>
    <row r="42" spans="1:50" s="73" customFormat="1" ht="48" customHeight="1">
      <c r="A42" s="120" t="s">
        <v>140</v>
      </c>
      <c r="B42" s="120" t="str">
        <f t="shared" si="29"/>
        <v>Y</v>
      </c>
      <c r="C42" s="120"/>
      <c r="D42" s="120">
        <v>13.2</v>
      </c>
      <c r="E42" s="120"/>
      <c r="F42" s="122" t="str">
        <f t="shared" si="1"/>
        <v>LMR-RSC-2021-013.2</v>
      </c>
      <c r="G42" s="123" t="s">
        <v>103</v>
      </c>
      <c r="H42" s="124" t="s">
        <v>148</v>
      </c>
      <c r="I42" s="239"/>
      <c r="J42" s="176">
        <f t="shared" si="2"/>
        <v>0</v>
      </c>
      <c r="K42" s="177">
        <f t="shared" si="30"/>
        <v>44323</v>
      </c>
      <c r="L42" s="141">
        <v>44306</v>
      </c>
      <c r="M42" s="142"/>
      <c r="N42" s="142"/>
      <c r="O42" s="142">
        <v>44323</v>
      </c>
      <c r="P42" s="142">
        <v>44323</v>
      </c>
      <c r="Q42" s="199" t="s">
        <v>12</v>
      </c>
      <c r="R42" s="199" t="s">
        <v>4</v>
      </c>
      <c r="S42" s="199"/>
      <c r="T42" s="199"/>
      <c r="U42" s="199"/>
      <c r="V42" s="199"/>
      <c r="W42" s="199"/>
      <c r="X42" s="143" t="s">
        <v>432</v>
      </c>
      <c r="Y42" s="173">
        <f t="shared" si="27"/>
        <v>0</v>
      </c>
      <c r="Z42" s="178">
        <f t="shared" si="5"/>
        <v>0</v>
      </c>
      <c r="AA42" s="179">
        <f t="shared" si="25"/>
        <v>0</v>
      </c>
      <c r="AB42" s="179">
        <f t="shared" si="26"/>
        <v>0</v>
      </c>
      <c r="AC42" s="179">
        <f t="shared" si="8"/>
        <v>0</v>
      </c>
      <c r="AD42" s="179"/>
      <c r="AE42" s="179">
        <f t="shared" si="20"/>
        <v>0</v>
      </c>
      <c r="AF42" s="190">
        <f t="shared" si="10"/>
        <v>0</v>
      </c>
      <c r="AG42" s="94">
        <f t="shared" si="21"/>
        <v>0</v>
      </c>
      <c r="AH42" s="180">
        <f>IFERROR(VLOOKUP(A42,CUSTOMERS!$A:$E,4),"")</f>
        <v>185.4</v>
      </c>
      <c r="AI42" s="181" t="str">
        <f t="shared" si="28"/>
        <v/>
      </c>
      <c r="AJ42" s="182">
        <f>IFERROR(VLOOKUP(A42,CUSTOMERS!$A:$F,5),"")</f>
        <v>0.2</v>
      </c>
      <c r="AK42" s="183">
        <v>0</v>
      </c>
      <c r="AL42" s="183"/>
      <c r="AM42" s="183"/>
      <c r="AN42" s="183"/>
      <c r="AO42" s="183"/>
      <c r="AP42" s="102">
        <f t="shared" si="31"/>
        <v>0</v>
      </c>
      <c r="AQ42" s="102">
        <v>0</v>
      </c>
      <c r="AR42" s="68" t="str">
        <f>IFERROR(VLOOKUP(A42,CUSTOMERS!$A:$B,2),"")</f>
        <v>LMR</v>
      </c>
      <c r="AS42" s="68" t="str">
        <f>IFERROR(VLOOKUP(A42,CUSTOMERS!$A:$D,3),"")</f>
        <v>RSC</v>
      </c>
      <c r="AT42" s="68" t="str">
        <f>IFERROR(VLOOKUP(A42,CUSTOMERS!$A:$F,6),"")</f>
        <v>Y</v>
      </c>
      <c r="AU42" s="69">
        <f>IFERROR(VLOOKUP(A42,CUSTOMERS!$A:$E,4),"")</f>
        <v>185.4</v>
      </c>
      <c r="AV42" s="68" t="str">
        <f t="shared" si="32"/>
        <v/>
      </c>
      <c r="AW42" s="70" t="str">
        <f t="shared" si="33"/>
        <v>descr42</v>
      </c>
      <c r="AX42" s="71" t="str">
        <f t="shared" si="34"/>
        <v>reason42</v>
      </c>
    </row>
    <row r="43" spans="1:50" s="73" customFormat="1" ht="79.5" customHeight="1">
      <c r="A43" s="120" t="s">
        <v>140</v>
      </c>
      <c r="B43" s="120" t="str">
        <f t="shared" si="29"/>
        <v>Y</v>
      </c>
      <c r="C43" s="120"/>
      <c r="D43" s="120">
        <v>13.3</v>
      </c>
      <c r="E43" s="120"/>
      <c r="F43" s="122" t="str">
        <f t="shared" si="1"/>
        <v>LMR-RSC-2021-013.3</v>
      </c>
      <c r="G43" s="123" t="s">
        <v>103</v>
      </c>
      <c r="H43" s="124" t="s">
        <v>149</v>
      </c>
      <c r="I43" s="239"/>
      <c r="J43" s="176">
        <f t="shared" si="2"/>
        <v>0</v>
      </c>
      <c r="K43" s="177">
        <f t="shared" si="30"/>
        <v>44323</v>
      </c>
      <c r="L43" s="141">
        <v>44306</v>
      </c>
      <c r="M43" s="142"/>
      <c r="N43" s="142">
        <v>44309</v>
      </c>
      <c r="O43" s="142">
        <v>44323</v>
      </c>
      <c r="P43" s="142">
        <v>44323</v>
      </c>
      <c r="Q43" s="199" t="s">
        <v>12</v>
      </c>
      <c r="R43" s="199" t="s">
        <v>4</v>
      </c>
      <c r="S43" s="199"/>
      <c r="T43" s="199"/>
      <c r="U43" s="199"/>
      <c r="V43" s="199"/>
      <c r="W43" s="199"/>
      <c r="X43" s="143" t="s">
        <v>433</v>
      </c>
      <c r="Y43" s="173">
        <f t="shared" si="27"/>
        <v>0</v>
      </c>
      <c r="Z43" s="178">
        <f t="shared" si="5"/>
        <v>0</v>
      </c>
      <c r="AA43" s="179">
        <f t="shared" si="25"/>
        <v>0</v>
      </c>
      <c r="AB43" s="179">
        <f t="shared" si="26"/>
        <v>0</v>
      </c>
      <c r="AC43" s="179">
        <f t="shared" si="8"/>
        <v>0</v>
      </c>
      <c r="AD43" s="179"/>
      <c r="AE43" s="179">
        <f t="shared" si="20"/>
        <v>0</v>
      </c>
      <c r="AF43" s="190">
        <f t="shared" si="10"/>
        <v>0</v>
      </c>
      <c r="AG43" s="94">
        <f t="shared" si="21"/>
        <v>0</v>
      </c>
      <c r="AH43" s="180">
        <f>IFERROR(VLOOKUP(A43,CUSTOMERS!$A:$E,4),"")</f>
        <v>185.4</v>
      </c>
      <c r="AI43" s="181" t="str">
        <f t="shared" si="28"/>
        <v/>
      </c>
      <c r="AJ43" s="182">
        <f>IFERROR(VLOOKUP(A43,CUSTOMERS!$A:$F,5),"")</f>
        <v>0.2</v>
      </c>
      <c r="AK43" s="183">
        <v>0</v>
      </c>
      <c r="AL43" s="183">
        <v>0</v>
      </c>
      <c r="AM43" s="183">
        <v>0</v>
      </c>
      <c r="AN43" s="183">
        <v>0</v>
      </c>
      <c r="AO43" s="183">
        <v>0</v>
      </c>
      <c r="AP43" s="102">
        <f t="shared" si="31"/>
        <v>0</v>
      </c>
      <c r="AQ43" s="102">
        <v>0</v>
      </c>
      <c r="AR43" s="68" t="str">
        <f>IFERROR(VLOOKUP(A43,CUSTOMERS!$A:$B,2),"")</f>
        <v>LMR</v>
      </c>
      <c r="AS43" s="68" t="str">
        <f>IFERROR(VLOOKUP(A43,CUSTOMERS!$A:$D,3),"")</f>
        <v>RSC</v>
      </c>
      <c r="AT43" s="68" t="str">
        <f>IFERROR(VLOOKUP(A43,CUSTOMERS!$A:$F,6),"")</f>
        <v>Y</v>
      </c>
      <c r="AU43" s="69">
        <f>IFERROR(VLOOKUP(A43,CUSTOMERS!$A:$E,4),"")</f>
        <v>185.4</v>
      </c>
      <c r="AV43" s="68" t="str">
        <f t="shared" si="32"/>
        <v/>
      </c>
      <c r="AW43" s="70" t="str">
        <f t="shared" si="33"/>
        <v>descr43</v>
      </c>
      <c r="AX43" s="71" t="str">
        <f t="shared" si="34"/>
        <v>reason43</v>
      </c>
    </row>
    <row r="44" spans="1:50" s="73" customFormat="1" ht="40.5" customHeight="1">
      <c r="A44" s="120" t="s">
        <v>140</v>
      </c>
      <c r="B44" s="120" t="str">
        <f t="shared" si="29"/>
        <v>Y</v>
      </c>
      <c r="C44" s="120"/>
      <c r="D44" s="120">
        <v>13.4</v>
      </c>
      <c r="E44" s="120"/>
      <c r="F44" s="122" t="str">
        <f t="shared" si="1"/>
        <v>LMR-RSC-2021-013.4</v>
      </c>
      <c r="G44" s="123" t="s">
        <v>103</v>
      </c>
      <c r="H44" s="124" t="s">
        <v>150</v>
      </c>
      <c r="I44" s="239"/>
      <c r="J44" s="176">
        <f t="shared" si="2"/>
        <v>0</v>
      </c>
      <c r="K44" s="177">
        <f t="shared" si="30"/>
        <v>44323</v>
      </c>
      <c r="L44" s="141">
        <v>44306</v>
      </c>
      <c r="M44" s="142"/>
      <c r="N44" s="142">
        <v>44309</v>
      </c>
      <c r="O44" s="142">
        <v>44323</v>
      </c>
      <c r="P44" s="142">
        <v>44323</v>
      </c>
      <c r="Q44" s="199" t="s">
        <v>12</v>
      </c>
      <c r="R44" s="199" t="s">
        <v>4</v>
      </c>
      <c r="S44" s="199"/>
      <c r="T44" s="199"/>
      <c r="U44" s="199"/>
      <c r="V44" s="199"/>
      <c r="W44" s="199"/>
      <c r="X44" s="143" t="s">
        <v>434</v>
      </c>
      <c r="Y44" s="173">
        <f t="shared" si="27"/>
        <v>0</v>
      </c>
      <c r="Z44" s="178">
        <f t="shared" si="5"/>
        <v>0</v>
      </c>
      <c r="AA44" s="179">
        <f t="shared" si="25"/>
        <v>0</v>
      </c>
      <c r="AB44" s="179">
        <f t="shared" si="26"/>
        <v>0</v>
      </c>
      <c r="AC44" s="179">
        <f t="shared" si="8"/>
        <v>0</v>
      </c>
      <c r="AD44" s="179"/>
      <c r="AE44" s="179">
        <f t="shared" si="20"/>
        <v>0</v>
      </c>
      <c r="AF44" s="190">
        <f t="shared" si="10"/>
        <v>0</v>
      </c>
      <c r="AG44" s="94">
        <f t="shared" si="21"/>
        <v>0</v>
      </c>
      <c r="AH44" s="180">
        <f>IFERROR(VLOOKUP(A44,CUSTOMERS!$A:$E,4),"")</f>
        <v>185.4</v>
      </c>
      <c r="AI44" s="181" t="str">
        <f t="shared" si="28"/>
        <v/>
      </c>
      <c r="AJ44" s="182">
        <f>IFERROR(VLOOKUP(A44,CUSTOMERS!$A:$F,5),"")</f>
        <v>0.2</v>
      </c>
      <c r="AK44" s="183">
        <v>0</v>
      </c>
      <c r="AL44" s="183">
        <v>0</v>
      </c>
      <c r="AM44" s="183"/>
      <c r="AN44" s="183"/>
      <c r="AO44" s="183"/>
      <c r="AP44" s="102">
        <f t="shared" si="31"/>
        <v>0</v>
      </c>
      <c r="AQ44" s="102">
        <v>0</v>
      </c>
      <c r="AR44" s="68" t="str">
        <f>IFERROR(VLOOKUP(A44,CUSTOMERS!$A:$B,2),"")</f>
        <v>LMR</v>
      </c>
      <c r="AS44" s="68" t="str">
        <f>IFERROR(VLOOKUP(A44,CUSTOMERS!$A:$D,3),"")</f>
        <v>RSC</v>
      </c>
      <c r="AT44" s="68" t="str">
        <f>IFERROR(VLOOKUP(A44,CUSTOMERS!$A:$F,6),"")</f>
        <v>Y</v>
      </c>
      <c r="AU44" s="69">
        <f>IFERROR(VLOOKUP(A44,CUSTOMERS!$A:$E,4),"")</f>
        <v>185.4</v>
      </c>
      <c r="AV44" s="68" t="str">
        <f t="shared" si="32"/>
        <v/>
      </c>
      <c r="AW44" s="70" t="str">
        <f t="shared" si="33"/>
        <v>descr44</v>
      </c>
      <c r="AX44" s="71" t="str">
        <f t="shared" si="34"/>
        <v>reason44</v>
      </c>
    </row>
    <row r="45" spans="1:50" s="73" customFormat="1" ht="40.5" customHeight="1">
      <c r="A45" s="120" t="s">
        <v>140</v>
      </c>
      <c r="B45" s="120" t="str">
        <f t="shared" si="29"/>
        <v>Y</v>
      </c>
      <c r="C45" s="120"/>
      <c r="D45" s="120">
        <v>13.5</v>
      </c>
      <c r="E45" s="120"/>
      <c r="F45" s="122" t="str">
        <f t="shared" si="1"/>
        <v>LMR-RSC-2021-013.5</v>
      </c>
      <c r="G45" s="123" t="s">
        <v>103</v>
      </c>
      <c r="H45" s="124" t="s">
        <v>151</v>
      </c>
      <c r="I45" s="239"/>
      <c r="J45" s="176">
        <f t="shared" si="2"/>
        <v>0</v>
      </c>
      <c r="K45" s="177">
        <f t="shared" si="30"/>
        <v>44323</v>
      </c>
      <c r="L45" s="141">
        <v>44306</v>
      </c>
      <c r="M45" s="142"/>
      <c r="N45" s="142"/>
      <c r="O45" s="142">
        <v>44323</v>
      </c>
      <c r="P45" s="142">
        <v>44323</v>
      </c>
      <c r="Q45" s="199" t="s">
        <v>12</v>
      </c>
      <c r="R45" s="199" t="s">
        <v>4</v>
      </c>
      <c r="S45" s="199"/>
      <c r="T45" s="199"/>
      <c r="U45" s="199"/>
      <c r="V45" s="199"/>
      <c r="W45" s="199"/>
      <c r="X45" s="143" t="s">
        <v>435</v>
      </c>
      <c r="Y45" s="173">
        <f t="shared" si="27"/>
        <v>0</v>
      </c>
      <c r="Z45" s="178">
        <f t="shared" si="5"/>
        <v>0</v>
      </c>
      <c r="AA45" s="179">
        <f t="shared" si="25"/>
        <v>0</v>
      </c>
      <c r="AB45" s="179">
        <f t="shared" si="26"/>
        <v>0</v>
      </c>
      <c r="AC45" s="179">
        <f t="shared" si="8"/>
        <v>0</v>
      </c>
      <c r="AD45" s="179"/>
      <c r="AE45" s="179">
        <f t="shared" si="20"/>
        <v>0</v>
      </c>
      <c r="AF45" s="190">
        <f t="shared" si="10"/>
        <v>0</v>
      </c>
      <c r="AG45" s="94">
        <f t="shared" si="21"/>
        <v>0</v>
      </c>
      <c r="AH45" s="180">
        <f>IFERROR(VLOOKUP(A45,CUSTOMERS!$A:$E,4),"")</f>
        <v>185.4</v>
      </c>
      <c r="AI45" s="181" t="str">
        <f t="shared" si="28"/>
        <v/>
      </c>
      <c r="AJ45" s="182">
        <f>IFERROR(VLOOKUP(A45,CUSTOMERS!$A:$F,5),"")</f>
        <v>0.2</v>
      </c>
      <c r="AK45" s="183">
        <v>0</v>
      </c>
      <c r="AL45" s="183"/>
      <c r="AM45" s="183"/>
      <c r="AN45" s="183"/>
      <c r="AO45" s="183"/>
      <c r="AP45" s="102">
        <f t="shared" si="31"/>
        <v>0</v>
      </c>
      <c r="AQ45" s="102">
        <v>0</v>
      </c>
      <c r="AR45" s="68" t="str">
        <f>IFERROR(VLOOKUP(A45,CUSTOMERS!$A:$B,2),"")</f>
        <v>LMR</v>
      </c>
      <c r="AS45" s="68" t="str">
        <f>IFERROR(VLOOKUP(A45,CUSTOMERS!$A:$D,3),"")</f>
        <v>RSC</v>
      </c>
      <c r="AT45" s="68" t="str">
        <f>IFERROR(VLOOKUP(A45,CUSTOMERS!$A:$F,6),"")</f>
        <v>Y</v>
      </c>
      <c r="AU45" s="69">
        <f>IFERROR(VLOOKUP(A45,CUSTOMERS!$A:$E,4),"")</f>
        <v>185.4</v>
      </c>
      <c r="AV45" s="68" t="str">
        <f t="shared" si="32"/>
        <v/>
      </c>
      <c r="AW45" s="70" t="str">
        <f t="shared" si="33"/>
        <v>descr45</v>
      </c>
      <c r="AX45" s="71" t="str">
        <f t="shared" si="34"/>
        <v>reason45</v>
      </c>
    </row>
    <row r="46" spans="1:50" s="73" customFormat="1" ht="40.5" customHeight="1">
      <c r="A46" s="120" t="s">
        <v>140</v>
      </c>
      <c r="B46" s="120" t="str">
        <f t="shared" si="29"/>
        <v>Y</v>
      </c>
      <c r="C46" s="120"/>
      <c r="D46" s="120">
        <v>13.6</v>
      </c>
      <c r="E46" s="120"/>
      <c r="F46" s="122" t="str">
        <f t="shared" si="1"/>
        <v>LMR-RSC-2021-013.6</v>
      </c>
      <c r="G46" s="123" t="s">
        <v>103</v>
      </c>
      <c r="H46" s="124" t="s">
        <v>152</v>
      </c>
      <c r="I46" s="239"/>
      <c r="J46" s="176">
        <f t="shared" si="2"/>
        <v>0</v>
      </c>
      <c r="K46" s="177">
        <f t="shared" si="30"/>
        <v>44323</v>
      </c>
      <c r="L46" s="141">
        <v>44306</v>
      </c>
      <c r="M46" s="142"/>
      <c r="N46" s="142"/>
      <c r="O46" s="142"/>
      <c r="P46" s="142">
        <v>44323</v>
      </c>
      <c r="Q46" s="199" t="s">
        <v>12</v>
      </c>
      <c r="R46" s="199" t="s">
        <v>4</v>
      </c>
      <c r="S46" s="199"/>
      <c r="T46" s="199"/>
      <c r="U46" s="199"/>
      <c r="V46" s="199"/>
      <c r="W46" s="199"/>
      <c r="X46" s="143" t="s">
        <v>436</v>
      </c>
      <c r="Y46" s="173">
        <f t="shared" si="27"/>
        <v>0</v>
      </c>
      <c r="Z46" s="178">
        <f t="shared" si="5"/>
        <v>0</v>
      </c>
      <c r="AA46" s="179">
        <f t="shared" si="25"/>
        <v>0</v>
      </c>
      <c r="AB46" s="179">
        <f t="shared" si="26"/>
        <v>0</v>
      </c>
      <c r="AC46" s="179">
        <f t="shared" si="8"/>
        <v>0</v>
      </c>
      <c r="AD46" s="179"/>
      <c r="AE46" s="179">
        <f t="shared" si="20"/>
        <v>0</v>
      </c>
      <c r="AF46" s="190">
        <f t="shared" si="10"/>
        <v>0</v>
      </c>
      <c r="AG46" s="94">
        <f t="shared" si="21"/>
        <v>0</v>
      </c>
      <c r="AH46" s="180">
        <f>IFERROR(VLOOKUP(A46,CUSTOMERS!$A:$E,4),"")</f>
        <v>185.4</v>
      </c>
      <c r="AI46" s="181" t="str">
        <f t="shared" si="28"/>
        <v/>
      </c>
      <c r="AJ46" s="182">
        <f>IFERROR(VLOOKUP(A46,CUSTOMERS!$A:$F,5),"")</f>
        <v>0.2</v>
      </c>
      <c r="AK46" s="183">
        <v>0</v>
      </c>
      <c r="AL46" s="183"/>
      <c r="AM46" s="183"/>
      <c r="AN46" s="183"/>
      <c r="AO46" s="183"/>
      <c r="AP46" s="102">
        <f t="shared" si="31"/>
        <v>0</v>
      </c>
      <c r="AQ46" s="102">
        <v>0</v>
      </c>
      <c r="AR46" s="68" t="str">
        <f>IFERROR(VLOOKUP(A46,CUSTOMERS!$A:$B,2),"")</f>
        <v>LMR</v>
      </c>
      <c r="AS46" s="68" t="str">
        <f>IFERROR(VLOOKUP(A46,CUSTOMERS!$A:$D,3),"")</f>
        <v>RSC</v>
      </c>
      <c r="AT46" s="68" t="str">
        <f>IFERROR(VLOOKUP(A46,CUSTOMERS!$A:$F,6),"")</f>
        <v>Y</v>
      </c>
      <c r="AU46" s="69">
        <f>IFERROR(VLOOKUP(A46,CUSTOMERS!$A:$E,4),"")</f>
        <v>185.4</v>
      </c>
      <c r="AV46" s="68" t="str">
        <f t="shared" si="32"/>
        <v/>
      </c>
      <c r="AW46" s="70" t="str">
        <f t="shared" si="33"/>
        <v>descr46</v>
      </c>
      <c r="AX46" s="71" t="str">
        <f t="shared" si="34"/>
        <v>reason46</v>
      </c>
    </row>
    <row r="47" spans="1:50" s="73" customFormat="1" ht="40.5" customHeight="1">
      <c r="A47" s="120" t="s">
        <v>140</v>
      </c>
      <c r="B47" s="120" t="str">
        <f t="shared" si="29"/>
        <v>Y</v>
      </c>
      <c r="C47" s="120"/>
      <c r="D47" s="120">
        <v>13.7</v>
      </c>
      <c r="E47" s="120"/>
      <c r="F47" s="122" t="str">
        <f t="shared" si="1"/>
        <v>LMR-RSC-2021-013.7</v>
      </c>
      <c r="G47" s="123" t="s">
        <v>103</v>
      </c>
      <c r="H47" s="124" t="s">
        <v>153</v>
      </c>
      <c r="I47" s="239"/>
      <c r="J47" s="176">
        <f t="shared" si="2"/>
        <v>0</v>
      </c>
      <c r="K47" s="177">
        <f t="shared" si="30"/>
        <v>44323</v>
      </c>
      <c r="L47" s="141">
        <v>44306</v>
      </c>
      <c r="M47" s="142"/>
      <c r="N47" s="142">
        <v>44309</v>
      </c>
      <c r="O47" s="142">
        <v>44323</v>
      </c>
      <c r="P47" s="142">
        <v>44323</v>
      </c>
      <c r="Q47" s="199" t="s">
        <v>12</v>
      </c>
      <c r="R47" s="199" t="s">
        <v>4</v>
      </c>
      <c r="S47" s="199"/>
      <c r="T47" s="199"/>
      <c r="U47" s="199"/>
      <c r="V47" s="199"/>
      <c r="W47" s="199"/>
      <c r="X47" s="143" t="s">
        <v>437</v>
      </c>
      <c r="Y47" s="173">
        <f t="shared" si="27"/>
        <v>0</v>
      </c>
      <c r="Z47" s="178">
        <f t="shared" si="5"/>
        <v>0</v>
      </c>
      <c r="AA47" s="179">
        <f t="shared" si="25"/>
        <v>0</v>
      </c>
      <c r="AB47" s="179">
        <f t="shared" si="26"/>
        <v>0</v>
      </c>
      <c r="AC47" s="179">
        <f t="shared" si="8"/>
        <v>0</v>
      </c>
      <c r="AD47" s="179"/>
      <c r="AE47" s="179">
        <f t="shared" si="20"/>
        <v>0</v>
      </c>
      <c r="AF47" s="190">
        <f t="shared" si="10"/>
        <v>0</v>
      </c>
      <c r="AG47" s="94">
        <f t="shared" si="21"/>
        <v>0</v>
      </c>
      <c r="AH47" s="180">
        <f>IFERROR(VLOOKUP(A47,CUSTOMERS!$A:$E,4),"")</f>
        <v>185.4</v>
      </c>
      <c r="AI47" s="181" t="str">
        <f t="shared" si="28"/>
        <v/>
      </c>
      <c r="AJ47" s="182">
        <f>IFERROR(VLOOKUP(A47,CUSTOMERS!$A:$F,5),"")</f>
        <v>0.2</v>
      </c>
      <c r="AK47" s="183">
        <v>0</v>
      </c>
      <c r="AL47" s="183">
        <v>0</v>
      </c>
      <c r="AM47" s="183">
        <v>0</v>
      </c>
      <c r="AN47" s="183">
        <v>0</v>
      </c>
      <c r="AO47" s="183">
        <v>0</v>
      </c>
      <c r="AP47" s="102">
        <f t="shared" si="31"/>
        <v>0</v>
      </c>
      <c r="AQ47" s="102">
        <v>0</v>
      </c>
      <c r="AR47" s="68" t="str">
        <f>IFERROR(VLOOKUP(A47,CUSTOMERS!$A:$B,2),"")</f>
        <v>LMR</v>
      </c>
      <c r="AS47" s="68" t="str">
        <f>IFERROR(VLOOKUP(A47,CUSTOMERS!$A:$D,3),"")</f>
        <v>RSC</v>
      </c>
      <c r="AT47" s="68" t="str">
        <f>IFERROR(VLOOKUP(A47,CUSTOMERS!$A:$F,6),"")</f>
        <v>Y</v>
      </c>
      <c r="AU47" s="69">
        <f>IFERROR(VLOOKUP(A47,CUSTOMERS!$A:$E,4),"")</f>
        <v>185.4</v>
      </c>
      <c r="AV47" s="68" t="str">
        <f t="shared" si="32"/>
        <v/>
      </c>
      <c r="AW47" s="70" t="str">
        <f t="shared" si="33"/>
        <v>descr47</v>
      </c>
      <c r="AX47" s="71" t="str">
        <f t="shared" si="34"/>
        <v>reason47</v>
      </c>
    </row>
    <row r="48" spans="1:50" s="73" customFormat="1" ht="40.5" customHeight="1">
      <c r="A48" s="120" t="s">
        <v>140</v>
      </c>
      <c r="B48" s="120" t="str">
        <f t="shared" si="29"/>
        <v>Y</v>
      </c>
      <c r="C48" s="120"/>
      <c r="D48" s="120">
        <v>13.8</v>
      </c>
      <c r="E48" s="120"/>
      <c r="F48" s="122" t="str">
        <f t="shared" si="1"/>
        <v>LMR-RSC-2021-013.8</v>
      </c>
      <c r="G48" s="123" t="s">
        <v>103</v>
      </c>
      <c r="H48" s="124" t="s">
        <v>154</v>
      </c>
      <c r="I48" s="239"/>
      <c r="J48" s="176">
        <f t="shared" si="2"/>
        <v>0</v>
      </c>
      <c r="K48" s="177">
        <f t="shared" si="30"/>
        <v>44323</v>
      </c>
      <c r="L48" s="141">
        <v>44306</v>
      </c>
      <c r="M48" s="142"/>
      <c r="N48" s="142">
        <v>44309</v>
      </c>
      <c r="O48" s="142">
        <v>44323</v>
      </c>
      <c r="P48" s="142">
        <v>44323</v>
      </c>
      <c r="Q48" s="199" t="s">
        <v>12</v>
      </c>
      <c r="R48" s="199" t="s">
        <v>4</v>
      </c>
      <c r="S48" s="199"/>
      <c r="T48" s="199"/>
      <c r="U48" s="199"/>
      <c r="V48" s="199"/>
      <c r="W48" s="199"/>
      <c r="X48" s="143" t="s">
        <v>438</v>
      </c>
      <c r="Y48" s="173">
        <f t="shared" si="27"/>
        <v>0</v>
      </c>
      <c r="Z48" s="178">
        <f t="shared" si="5"/>
        <v>0</v>
      </c>
      <c r="AA48" s="179">
        <f t="shared" si="25"/>
        <v>0</v>
      </c>
      <c r="AB48" s="179">
        <f t="shared" si="26"/>
        <v>0</v>
      </c>
      <c r="AC48" s="179">
        <f t="shared" si="8"/>
        <v>0</v>
      </c>
      <c r="AD48" s="179"/>
      <c r="AE48" s="179">
        <f t="shared" si="20"/>
        <v>0</v>
      </c>
      <c r="AF48" s="190">
        <f t="shared" si="10"/>
        <v>0</v>
      </c>
      <c r="AG48" s="94">
        <f t="shared" si="21"/>
        <v>0</v>
      </c>
      <c r="AH48" s="180">
        <f>IFERROR(VLOOKUP(A48,CUSTOMERS!$A:$E,4),"")</f>
        <v>185.4</v>
      </c>
      <c r="AI48" s="181" t="str">
        <f t="shared" si="28"/>
        <v/>
      </c>
      <c r="AJ48" s="182">
        <f>IFERROR(VLOOKUP(A48,CUSTOMERS!$A:$F,5),"")</f>
        <v>0.2</v>
      </c>
      <c r="AK48" s="183">
        <v>0</v>
      </c>
      <c r="AL48" s="183">
        <v>0</v>
      </c>
      <c r="AM48" s="183">
        <v>0</v>
      </c>
      <c r="AN48" s="183">
        <v>0</v>
      </c>
      <c r="AO48" s="183">
        <v>0</v>
      </c>
      <c r="AP48" s="102">
        <f t="shared" si="31"/>
        <v>0</v>
      </c>
      <c r="AQ48" s="102">
        <v>0</v>
      </c>
      <c r="AR48" s="68" t="str">
        <f>IFERROR(VLOOKUP(A48,CUSTOMERS!$A:$B,2),"")</f>
        <v>LMR</v>
      </c>
      <c r="AS48" s="68" t="str">
        <f>IFERROR(VLOOKUP(A48,CUSTOMERS!$A:$D,3),"")</f>
        <v>RSC</v>
      </c>
      <c r="AT48" s="68" t="str">
        <f>IFERROR(VLOOKUP(A48,CUSTOMERS!$A:$F,6),"")</f>
        <v>Y</v>
      </c>
      <c r="AU48" s="69">
        <f>IFERROR(VLOOKUP(A48,CUSTOMERS!$A:$E,4),"")</f>
        <v>185.4</v>
      </c>
      <c r="AV48" s="68" t="str">
        <f t="shared" si="32"/>
        <v/>
      </c>
      <c r="AW48" s="70" t="str">
        <f t="shared" si="33"/>
        <v>descr48</v>
      </c>
      <c r="AX48" s="71" t="str">
        <f t="shared" si="34"/>
        <v>reason48</v>
      </c>
    </row>
    <row r="49" spans="1:50" s="73" customFormat="1" ht="40.5" customHeight="1">
      <c r="A49" s="120" t="s">
        <v>140</v>
      </c>
      <c r="B49" s="120" t="str">
        <f t="shared" si="29"/>
        <v>Y</v>
      </c>
      <c r="C49" s="120"/>
      <c r="D49" s="120">
        <v>13.9</v>
      </c>
      <c r="E49" s="120"/>
      <c r="F49" s="122" t="str">
        <f t="shared" si="1"/>
        <v>LMR-RSC-2021-013.9</v>
      </c>
      <c r="G49" s="123" t="s">
        <v>103</v>
      </c>
      <c r="H49" s="124" t="s">
        <v>155</v>
      </c>
      <c r="I49" s="239"/>
      <c r="J49" s="176">
        <f t="shared" si="2"/>
        <v>0</v>
      </c>
      <c r="K49" s="177">
        <f t="shared" si="30"/>
        <v>44323</v>
      </c>
      <c r="L49" s="141">
        <v>44306</v>
      </c>
      <c r="M49" s="142"/>
      <c r="N49" s="142"/>
      <c r="O49" s="142">
        <v>44323</v>
      </c>
      <c r="P49" s="142">
        <v>44323</v>
      </c>
      <c r="Q49" s="199" t="s">
        <v>12</v>
      </c>
      <c r="R49" s="199" t="s">
        <v>4</v>
      </c>
      <c r="S49" s="199"/>
      <c r="T49" s="199"/>
      <c r="U49" s="199"/>
      <c r="V49" s="199"/>
      <c r="W49" s="199"/>
      <c r="X49" s="143" t="s">
        <v>437</v>
      </c>
      <c r="Y49" s="173">
        <f t="shared" si="27"/>
        <v>0</v>
      </c>
      <c r="Z49" s="178">
        <f t="shared" si="5"/>
        <v>0</v>
      </c>
      <c r="AA49" s="179">
        <f t="shared" si="25"/>
        <v>0</v>
      </c>
      <c r="AB49" s="179">
        <f t="shared" si="26"/>
        <v>0</v>
      </c>
      <c r="AC49" s="179">
        <f t="shared" si="8"/>
        <v>0</v>
      </c>
      <c r="AD49" s="179"/>
      <c r="AE49" s="179">
        <f t="shared" si="20"/>
        <v>0</v>
      </c>
      <c r="AF49" s="190">
        <f t="shared" si="10"/>
        <v>0</v>
      </c>
      <c r="AG49" s="94">
        <f t="shared" si="21"/>
        <v>0</v>
      </c>
      <c r="AH49" s="180">
        <f>IFERROR(VLOOKUP(A49,CUSTOMERS!$A:$E,4),"")</f>
        <v>185.4</v>
      </c>
      <c r="AI49" s="181" t="str">
        <f t="shared" si="28"/>
        <v/>
      </c>
      <c r="AJ49" s="182">
        <f>IFERROR(VLOOKUP(A49,CUSTOMERS!$A:$F,5),"")</f>
        <v>0.2</v>
      </c>
      <c r="AK49" s="183">
        <v>0</v>
      </c>
      <c r="AL49" s="183">
        <v>0</v>
      </c>
      <c r="AM49" s="183">
        <v>0</v>
      </c>
      <c r="AN49" s="183">
        <v>0</v>
      </c>
      <c r="AO49" s="183">
        <v>0</v>
      </c>
      <c r="AP49" s="102">
        <f t="shared" si="31"/>
        <v>0</v>
      </c>
      <c r="AQ49" s="102">
        <v>0</v>
      </c>
      <c r="AR49" s="68" t="str">
        <f>IFERROR(VLOOKUP(A49,CUSTOMERS!$A:$B,2),"")</f>
        <v>LMR</v>
      </c>
      <c r="AS49" s="68" t="str">
        <f>IFERROR(VLOOKUP(A49,CUSTOMERS!$A:$D,3),"")</f>
        <v>RSC</v>
      </c>
      <c r="AT49" s="68" t="str">
        <f>IFERROR(VLOOKUP(A49,CUSTOMERS!$A:$F,6),"")</f>
        <v>Y</v>
      </c>
      <c r="AU49" s="69">
        <f>IFERROR(VLOOKUP(A49,CUSTOMERS!$A:$E,4),"")</f>
        <v>185.4</v>
      </c>
      <c r="AV49" s="68" t="str">
        <f t="shared" si="32"/>
        <v/>
      </c>
      <c r="AW49" s="70" t="str">
        <f t="shared" si="33"/>
        <v>descr49</v>
      </c>
      <c r="AX49" s="71" t="str">
        <f t="shared" si="34"/>
        <v>reason49</v>
      </c>
    </row>
    <row r="50" spans="1:50" s="73" customFormat="1" ht="40.5" customHeight="1">
      <c r="A50" s="120" t="s">
        <v>140</v>
      </c>
      <c r="B50" s="120" t="str">
        <f t="shared" si="29"/>
        <v>Y</v>
      </c>
      <c r="C50" s="120"/>
      <c r="D50" s="120">
        <v>14</v>
      </c>
      <c r="E50" s="120"/>
      <c r="F50" s="122" t="str">
        <f t="shared" si="1"/>
        <v>LMR-RSC-2021-00014</v>
      </c>
      <c r="G50" s="123" t="s">
        <v>109</v>
      </c>
      <c r="H50" s="124" t="s">
        <v>156</v>
      </c>
      <c r="I50" s="239"/>
      <c r="J50" s="176">
        <f t="shared" si="2"/>
        <v>8343</v>
      </c>
      <c r="K50" s="177">
        <f t="shared" si="30"/>
        <v>44334</v>
      </c>
      <c r="L50" s="141">
        <v>44324</v>
      </c>
      <c r="M50" s="142">
        <v>44326</v>
      </c>
      <c r="N50" s="142">
        <v>44327</v>
      </c>
      <c r="O50" s="142"/>
      <c r="P50" s="150">
        <v>44334</v>
      </c>
      <c r="Q50" s="200" t="s">
        <v>15</v>
      </c>
      <c r="R50" s="199" t="s">
        <v>4</v>
      </c>
      <c r="S50" s="199"/>
      <c r="T50" s="199"/>
      <c r="U50" s="199"/>
      <c r="V50" s="199"/>
      <c r="W50" s="199"/>
      <c r="X50" s="143" t="s">
        <v>439</v>
      </c>
      <c r="Y50" s="173">
        <f t="shared" si="27"/>
        <v>8343</v>
      </c>
      <c r="Z50" s="178">
        <f t="shared" si="5"/>
        <v>0</v>
      </c>
      <c r="AA50" s="179">
        <f t="shared" si="25"/>
        <v>5562</v>
      </c>
      <c r="AB50" s="179">
        <f t="shared" si="26"/>
        <v>1390.5</v>
      </c>
      <c r="AC50" s="179">
        <f t="shared" si="8"/>
        <v>1390.5</v>
      </c>
      <c r="AD50" s="179"/>
      <c r="AE50" s="179">
        <f t="shared" si="20"/>
        <v>0</v>
      </c>
      <c r="AF50" s="190">
        <f t="shared" si="10"/>
        <v>8343</v>
      </c>
      <c r="AG50" s="94">
        <f t="shared" si="21"/>
        <v>0</v>
      </c>
      <c r="AH50" s="180">
        <f>IFERROR(VLOOKUP(A50,CUSTOMERS!$A:$E,4),"")</f>
        <v>185.4</v>
      </c>
      <c r="AI50" s="181" t="str">
        <f t="shared" si="28"/>
        <v/>
      </c>
      <c r="AJ50" s="182">
        <f>IFERROR(VLOOKUP(A50,CUSTOMERS!$A:$F,5),"")</f>
        <v>0.2</v>
      </c>
      <c r="AK50" s="183"/>
      <c r="AL50" s="183">
        <v>4</v>
      </c>
      <c r="AM50" s="183">
        <v>1</v>
      </c>
      <c r="AN50" s="183">
        <v>1</v>
      </c>
      <c r="AO50" s="183">
        <v>0</v>
      </c>
      <c r="AP50" s="102">
        <f t="shared" si="31"/>
        <v>6</v>
      </c>
      <c r="AQ50" s="102">
        <v>0</v>
      </c>
      <c r="AR50" s="68" t="str">
        <f>IFERROR(VLOOKUP(A50,CUSTOMERS!$A:$B,2),"")</f>
        <v>LMR</v>
      </c>
      <c r="AS50" s="68" t="str">
        <f>IFERROR(VLOOKUP(A50,CUSTOMERS!$A:$D,3),"")</f>
        <v>RSC</v>
      </c>
      <c r="AT50" s="68" t="str">
        <f>IFERROR(VLOOKUP(A50,CUSTOMERS!$A:$F,6),"")</f>
        <v>Y</v>
      </c>
      <c r="AU50" s="69">
        <f>IFERROR(VLOOKUP(A50,CUSTOMERS!$A:$E,4),"")</f>
        <v>185.4</v>
      </c>
      <c r="AV50" s="68" t="str">
        <f t="shared" si="32"/>
        <v/>
      </c>
      <c r="AW50" s="70" t="str">
        <f t="shared" si="33"/>
        <v>descr50</v>
      </c>
      <c r="AX50" s="71" t="str">
        <f t="shared" si="34"/>
        <v>reason50</v>
      </c>
    </row>
    <row r="51" spans="1:50" s="73" customFormat="1" ht="40.5" customHeight="1">
      <c r="A51" s="120" t="s">
        <v>140</v>
      </c>
      <c r="B51" s="120" t="str">
        <f t="shared" si="29"/>
        <v>Y</v>
      </c>
      <c r="C51" s="120"/>
      <c r="D51" s="196">
        <v>13.1</v>
      </c>
      <c r="E51" s="196"/>
      <c r="F51" s="122" t="str">
        <f t="shared" si="1"/>
        <v>LMR-RSC-2021-013.1</v>
      </c>
      <c r="G51" s="123" t="s">
        <v>109</v>
      </c>
      <c r="H51" s="124" t="s">
        <v>157</v>
      </c>
      <c r="I51" s="239"/>
      <c r="J51" s="176">
        <f t="shared" si="2"/>
        <v>0</v>
      </c>
      <c r="K51" s="177">
        <f t="shared" si="30"/>
        <v>44323</v>
      </c>
      <c r="L51" s="141">
        <v>44306</v>
      </c>
      <c r="M51" s="142"/>
      <c r="N51" s="142"/>
      <c r="O51" s="142">
        <v>44323</v>
      </c>
      <c r="P51" s="142">
        <v>44323</v>
      </c>
      <c r="Q51" s="199" t="s">
        <v>6</v>
      </c>
      <c r="R51" s="199" t="s">
        <v>4</v>
      </c>
      <c r="S51" s="199"/>
      <c r="T51" s="199"/>
      <c r="U51" s="199"/>
      <c r="V51" s="199"/>
      <c r="W51" s="199"/>
      <c r="X51" s="143" t="s">
        <v>437</v>
      </c>
      <c r="Y51" s="173">
        <f t="shared" si="27"/>
        <v>0</v>
      </c>
      <c r="Z51" s="178">
        <f t="shared" si="5"/>
        <v>0</v>
      </c>
      <c r="AA51" s="179">
        <f t="shared" si="25"/>
        <v>0</v>
      </c>
      <c r="AB51" s="179">
        <f t="shared" si="26"/>
        <v>0</v>
      </c>
      <c r="AC51" s="179">
        <f t="shared" si="8"/>
        <v>0</v>
      </c>
      <c r="AD51" s="179"/>
      <c r="AE51" s="179">
        <f t="shared" si="20"/>
        <v>0</v>
      </c>
      <c r="AF51" s="190">
        <f t="shared" si="10"/>
        <v>0</v>
      </c>
      <c r="AG51" s="94">
        <f t="shared" si="21"/>
        <v>0</v>
      </c>
      <c r="AH51" s="180">
        <f>IFERROR(VLOOKUP(A51,CUSTOMERS!$A:$E,4),"")</f>
        <v>185.4</v>
      </c>
      <c r="AI51" s="181" t="str">
        <f t="shared" si="28"/>
        <v/>
      </c>
      <c r="AJ51" s="182">
        <f>IFERROR(VLOOKUP(A51,CUSTOMERS!$A:$F,5),"")</f>
        <v>0.2</v>
      </c>
      <c r="AK51" s="183">
        <v>0</v>
      </c>
      <c r="AL51" s="183">
        <v>0</v>
      </c>
      <c r="AM51" s="183">
        <v>0</v>
      </c>
      <c r="AN51" s="183">
        <v>0</v>
      </c>
      <c r="AO51" s="183">
        <v>0</v>
      </c>
      <c r="AP51" s="102">
        <f t="shared" si="31"/>
        <v>0</v>
      </c>
      <c r="AQ51" s="102">
        <v>0</v>
      </c>
      <c r="AR51" s="68" t="str">
        <f>IFERROR(VLOOKUP(A51,CUSTOMERS!$A:$B,2),"")</f>
        <v>LMR</v>
      </c>
      <c r="AS51" s="68" t="str">
        <f>IFERROR(VLOOKUP(A51,CUSTOMERS!$A:$D,3),"")</f>
        <v>RSC</v>
      </c>
      <c r="AT51" s="68" t="str">
        <f>IFERROR(VLOOKUP(A51,CUSTOMERS!$A:$F,6),"")</f>
        <v>Y</v>
      </c>
      <c r="AU51" s="69">
        <f>IFERROR(VLOOKUP(A51,CUSTOMERS!$A:$E,4),"")</f>
        <v>185.4</v>
      </c>
      <c r="AV51" s="68" t="str">
        <f t="shared" si="32"/>
        <v/>
      </c>
      <c r="AW51" s="70" t="str">
        <f t="shared" si="33"/>
        <v>descr51</v>
      </c>
      <c r="AX51" s="71" t="str">
        <f t="shared" si="34"/>
        <v>reason51</v>
      </c>
    </row>
    <row r="52" spans="1:50" s="73" customFormat="1" ht="40.5" customHeight="1">
      <c r="A52" s="120" t="s">
        <v>158</v>
      </c>
      <c r="B52" s="120" t="str">
        <f t="shared" si="22"/>
        <v>Y</v>
      </c>
      <c r="C52" s="120"/>
      <c r="D52" s="121">
        <v>3</v>
      </c>
      <c r="E52" s="121"/>
      <c r="F52" s="122" t="str">
        <f t="shared" si="1"/>
        <v>N26-RSC-2020-00003</v>
      </c>
      <c r="G52" s="123" t="s">
        <v>103</v>
      </c>
      <c r="H52" s="124" t="s">
        <v>159</v>
      </c>
      <c r="I52" s="239"/>
      <c r="J52" s="81">
        <f t="shared" si="2"/>
        <v>14696.415000000001</v>
      </c>
      <c r="K52" s="177">
        <f t="shared" si="30"/>
        <v>44104</v>
      </c>
      <c r="L52" s="141">
        <v>44055</v>
      </c>
      <c r="M52" s="142">
        <v>44103</v>
      </c>
      <c r="N52" s="142">
        <v>44104</v>
      </c>
      <c r="O52" s="142">
        <v>44104</v>
      </c>
      <c r="P52" s="142">
        <v>44104</v>
      </c>
      <c r="Q52" s="199" t="s">
        <v>15</v>
      </c>
      <c r="R52" s="199" t="s">
        <v>4</v>
      </c>
      <c r="S52" s="199"/>
      <c r="T52" s="199"/>
      <c r="U52" s="199"/>
      <c r="V52" s="199"/>
      <c r="W52" s="199"/>
      <c r="X52" s="145" t="s">
        <v>440</v>
      </c>
      <c r="Y52" s="173">
        <f t="shared" si="27"/>
        <v>14696.415000000001</v>
      </c>
      <c r="Z52" s="83">
        <f t="shared" si="5"/>
        <v>0</v>
      </c>
      <c r="AA52" s="84">
        <f t="shared" si="25"/>
        <v>9005.15625</v>
      </c>
      <c r="AB52" s="84">
        <f t="shared" si="26"/>
        <v>720.41250000000002</v>
      </c>
      <c r="AC52" s="84">
        <f t="shared" si="8"/>
        <v>0</v>
      </c>
      <c r="AD52" s="84"/>
      <c r="AE52" s="84">
        <f t="shared" si="20"/>
        <v>2521.4437499999999</v>
      </c>
      <c r="AF52" s="84">
        <f t="shared" si="10"/>
        <v>12247.012500000001</v>
      </c>
      <c r="AG52" s="94">
        <f t="shared" si="21"/>
        <v>2449.4025000000001</v>
      </c>
      <c r="AH52" s="85">
        <f>IFERROR(VLOOKUP(A52,CUSTOMERS!$A:$E,4),"")</f>
        <v>192.11</v>
      </c>
      <c r="AI52" s="86" t="str">
        <f t="shared" si="28"/>
        <v/>
      </c>
      <c r="AJ52" s="87">
        <f>IFERROR(VLOOKUP(A52,CUSTOMERS!$A:$F,5),"")</f>
        <v>0.2</v>
      </c>
      <c r="AK52" s="96"/>
      <c r="AL52" s="96">
        <v>6.25</v>
      </c>
      <c r="AM52" s="96">
        <v>0.5</v>
      </c>
      <c r="AN52" s="96"/>
      <c r="AO52" s="96">
        <v>1.75</v>
      </c>
      <c r="AP52" s="102">
        <f t="shared" si="13"/>
        <v>8.5</v>
      </c>
      <c r="AQ52" s="102">
        <f t="shared" ref="AQ52:AQ116" si="35">IFERROR(AP52*AJ52,"")</f>
        <v>1.7000000000000002</v>
      </c>
      <c r="AR52" s="68" t="str">
        <f>IFERROR(VLOOKUP(A52,CUSTOMERS!$A:$B,2),"")</f>
        <v>N26</v>
      </c>
      <c r="AS52" s="68" t="str">
        <f>IFERROR(VLOOKUP(A52,CUSTOMERS!$A:$D,3),"")</f>
        <v>RSC</v>
      </c>
      <c r="AT52" s="68" t="str">
        <f>IFERROR(VLOOKUP(A52,CUSTOMERS!$A:$F,6),"")</f>
        <v>Y</v>
      </c>
      <c r="AU52" s="69">
        <f>IFERROR(VLOOKUP(A52,CUSTOMERS!$A:$E,4),"")</f>
        <v>192.11</v>
      </c>
      <c r="AV52" s="68" t="str">
        <f t="shared" si="32"/>
        <v/>
      </c>
      <c r="AW52" s="70" t="str">
        <f t="shared" si="16"/>
        <v>descr52</v>
      </c>
      <c r="AX52" s="71" t="str">
        <f t="shared" si="17"/>
        <v>reason52</v>
      </c>
    </row>
    <row r="53" spans="1:50" s="73" customFormat="1" ht="40.5" customHeight="1">
      <c r="A53" s="120" t="s">
        <v>158</v>
      </c>
      <c r="B53" s="120" t="str">
        <f t="shared" si="22"/>
        <v>Y</v>
      </c>
      <c r="C53" s="120"/>
      <c r="D53" s="121">
        <v>4</v>
      </c>
      <c r="E53" s="121"/>
      <c r="F53" s="122" t="str">
        <f t="shared" si="1"/>
        <v>N26-RSC-2020-00004</v>
      </c>
      <c r="G53" s="123" t="s">
        <v>103</v>
      </c>
      <c r="H53" s="124" t="s">
        <v>160</v>
      </c>
      <c r="I53" s="239"/>
      <c r="J53" s="80">
        <f t="shared" si="2"/>
        <v>15000</v>
      </c>
      <c r="K53" s="177">
        <f t="shared" si="30"/>
        <v>44162</v>
      </c>
      <c r="L53" s="141">
        <v>44162</v>
      </c>
      <c r="M53" s="142">
        <v>44162</v>
      </c>
      <c r="N53" s="142"/>
      <c r="O53" s="142"/>
      <c r="P53" s="142"/>
      <c r="Q53" s="199" t="s">
        <v>15</v>
      </c>
      <c r="R53" s="199" t="s">
        <v>4</v>
      </c>
      <c r="S53" s="199"/>
      <c r="T53" s="199"/>
      <c r="U53" s="199"/>
      <c r="V53" s="199"/>
      <c r="W53" s="199"/>
      <c r="X53" s="144" t="s">
        <v>441</v>
      </c>
      <c r="Y53" s="173">
        <f t="shared" si="27"/>
        <v>15000</v>
      </c>
      <c r="Z53" s="83">
        <f t="shared" si="5"/>
        <v>0</v>
      </c>
      <c r="AA53" s="84">
        <v>15000</v>
      </c>
      <c r="AB53" s="84">
        <f t="shared" si="26"/>
        <v>0</v>
      </c>
      <c r="AC53" s="84">
        <f t="shared" si="8"/>
        <v>0</v>
      </c>
      <c r="AD53" s="84"/>
      <c r="AE53" s="84">
        <f t="shared" si="20"/>
        <v>0</v>
      </c>
      <c r="AF53" s="84">
        <f t="shared" si="10"/>
        <v>15000</v>
      </c>
      <c r="AG53" s="94">
        <f t="shared" si="21"/>
        <v>0</v>
      </c>
      <c r="AH53" s="85">
        <f>IFERROR(VLOOKUP(A53,CUSTOMERS!$A:$E,4),"")</f>
        <v>192.11</v>
      </c>
      <c r="AI53" s="86" t="str">
        <f t="shared" si="28"/>
        <v/>
      </c>
      <c r="AJ53" s="87">
        <f>IFERROR(VLOOKUP(A53,CUSTOMERS!$A:$F,5),"")</f>
        <v>0.2</v>
      </c>
      <c r="AK53" s="96"/>
      <c r="AL53" s="96">
        <v>0</v>
      </c>
      <c r="AM53" s="96">
        <v>0</v>
      </c>
      <c r="AN53" s="96"/>
      <c r="AO53" s="96">
        <v>0</v>
      </c>
      <c r="AP53" s="103">
        <f t="shared" si="13"/>
        <v>0</v>
      </c>
      <c r="AQ53" s="103">
        <f t="shared" si="35"/>
        <v>0</v>
      </c>
      <c r="AR53" s="68" t="str">
        <f>IFERROR(VLOOKUP(A53,CUSTOMERS!$A:$B,2),"")</f>
        <v>N26</v>
      </c>
      <c r="AS53" s="68" t="str">
        <f>IFERROR(VLOOKUP(A53,CUSTOMERS!$A:$D,3),"")</f>
        <v>RSC</v>
      </c>
      <c r="AT53" s="68" t="str">
        <f>IFERROR(VLOOKUP(A53,CUSTOMERS!$A:$F,6),"")</f>
        <v>Y</v>
      </c>
      <c r="AU53" s="69">
        <f>IFERROR(VLOOKUP(A53,CUSTOMERS!$A:$E,4),"")</f>
        <v>192.11</v>
      </c>
      <c r="AV53" s="68" t="str">
        <f t="shared" si="32"/>
        <v/>
      </c>
      <c r="AW53" s="70" t="str">
        <f t="shared" si="16"/>
        <v>descr53</v>
      </c>
      <c r="AX53" s="71" t="str">
        <f t="shared" si="17"/>
        <v>reason53</v>
      </c>
    </row>
    <row r="54" spans="1:50" s="73" customFormat="1" ht="40.5" customHeight="1">
      <c r="A54" s="120" t="s">
        <v>158</v>
      </c>
      <c r="B54" s="125" t="str">
        <f t="shared" si="22"/>
        <v>Y</v>
      </c>
      <c r="C54" s="125"/>
      <c r="D54" s="125">
        <v>5</v>
      </c>
      <c r="E54" s="125"/>
      <c r="F54" s="122" t="str">
        <f t="shared" si="1"/>
        <v>N26-RSC-2021-00005</v>
      </c>
      <c r="G54" s="123" t="s">
        <v>103</v>
      </c>
      <c r="H54" s="124" t="s">
        <v>161</v>
      </c>
      <c r="I54" s="239"/>
      <c r="J54" s="80">
        <f t="shared" si="2"/>
        <v>2515.4550000000004</v>
      </c>
      <c r="K54" s="177">
        <f t="shared" si="30"/>
        <v>44263</v>
      </c>
      <c r="L54" s="146">
        <v>44251</v>
      </c>
      <c r="M54" s="147">
        <v>44263</v>
      </c>
      <c r="N54" s="147"/>
      <c r="O54" s="147"/>
      <c r="P54" s="147"/>
      <c r="Q54" s="199" t="s">
        <v>15</v>
      </c>
      <c r="R54" s="199" t="s">
        <v>4</v>
      </c>
      <c r="S54" s="199"/>
      <c r="T54" s="199"/>
      <c r="U54" s="199"/>
      <c r="V54" s="199"/>
      <c r="W54" s="199"/>
      <c r="X54" s="144" t="s">
        <v>442</v>
      </c>
      <c r="Y54" s="173">
        <f t="shared" si="27"/>
        <v>2515.4550000000004</v>
      </c>
      <c r="Z54" s="83">
        <f t="shared" si="5"/>
        <v>0</v>
      </c>
      <c r="AA54" s="84">
        <f t="shared" ref="AA54:AA108" si="36">IFERROR((AL54*AH54)*7.5,"")</f>
        <v>1397.4750000000001</v>
      </c>
      <c r="AB54" s="84">
        <f t="shared" si="26"/>
        <v>698.73750000000007</v>
      </c>
      <c r="AC54" s="84">
        <f t="shared" si="8"/>
        <v>0</v>
      </c>
      <c r="AD54" s="84"/>
      <c r="AE54" s="84">
        <f t="shared" si="20"/>
        <v>0</v>
      </c>
      <c r="AF54" s="179">
        <f t="shared" si="10"/>
        <v>2096.2125000000001</v>
      </c>
      <c r="AG54" s="179">
        <f t="shared" si="21"/>
        <v>419.24250000000012</v>
      </c>
      <c r="AH54" s="85">
        <v>186.33</v>
      </c>
      <c r="AI54" s="86"/>
      <c r="AJ54" s="87">
        <v>0.2</v>
      </c>
      <c r="AK54" s="96"/>
      <c r="AL54" s="96">
        <v>1</v>
      </c>
      <c r="AM54" s="96">
        <v>0.5</v>
      </c>
      <c r="AN54" s="96"/>
      <c r="AO54" s="96">
        <v>0</v>
      </c>
      <c r="AP54" s="103">
        <f t="shared" si="13"/>
        <v>1.5</v>
      </c>
      <c r="AQ54" s="103">
        <f t="shared" si="35"/>
        <v>0.30000000000000004</v>
      </c>
      <c r="AR54" s="68" t="str">
        <f>IFERROR(VLOOKUP(A54,CUSTOMERS!$A:$B,2),"")</f>
        <v>N26</v>
      </c>
      <c r="AS54" s="68" t="str">
        <f>IFERROR(VLOOKUP(A54,CUSTOMERS!$A:$D,3),"")</f>
        <v>RSC</v>
      </c>
      <c r="AT54" s="68" t="str">
        <f>IFERROR(VLOOKUP(A54,CUSTOMERS!$A:$F,6),"")</f>
        <v>Y</v>
      </c>
      <c r="AU54" s="69">
        <f>IFERROR(VLOOKUP(A54,CUSTOMERS!$A:$E,4),"")</f>
        <v>192.11</v>
      </c>
      <c r="AV54" s="68" t="str">
        <f t="shared" si="32"/>
        <v>Y</v>
      </c>
      <c r="AW54" s="70" t="str">
        <f t="shared" si="16"/>
        <v>descr54</v>
      </c>
      <c r="AX54" s="71" t="str">
        <f t="shared" si="17"/>
        <v>reason54</v>
      </c>
    </row>
    <row r="55" spans="1:50" s="73" customFormat="1" ht="40.5" customHeight="1">
      <c r="A55" s="120" t="s">
        <v>27</v>
      </c>
      <c r="B55" s="120" t="str">
        <f t="shared" si="22"/>
        <v>N</v>
      </c>
      <c r="C55" s="120"/>
      <c r="D55" s="121">
        <v>14</v>
      </c>
      <c r="E55" s="121"/>
      <c r="F55" s="122" t="str">
        <f t="shared" si="1"/>
        <v>PRD-BLG-2020-00014</v>
      </c>
      <c r="G55" s="123" t="s">
        <v>200</v>
      </c>
      <c r="H55" s="124" t="s">
        <v>443</v>
      </c>
      <c r="I55" s="239"/>
      <c r="J55" s="80">
        <f t="shared" si="2"/>
        <v>0</v>
      </c>
      <c r="K55" s="177">
        <f t="shared" si="30"/>
        <v>44020</v>
      </c>
      <c r="L55" s="148">
        <v>44020</v>
      </c>
      <c r="M55" s="149"/>
      <c r="N55" s="150"/>
      <c r="O55" s="150"/>
      <c r="P55" s="150"/>
      <c r="Q55" s="200" t="s">
        <v>14</v>
      </c>
      <c r="R55" s="200" t="s">
        <v>4</v>
      </c>
      <c r="S55" s="200"/>
      <c r="T55" s="200"/>
      <c r="U55" s="200"/>
      <c r="V55" s="200"/>
      <c r="W55" s="200"/>
      <c r="X55" s="144" t="s">
        <v>444</v>
      </c>
      <c r="Y55" s="173">
        <f t="shared" si="27"/>
        <v>0</v>
      </c>
      <c r="Z55" s="83">
        <f t="shared" si="5"/>
        <v>0</v>
      </c>
      <c r="AA55" s="84">
        <f t="shared" si="36"/>
        <v>0</v>
      </c>
      <c r="AB55" s="84">
        <f t="shared" si="26"/>
        <v>0</v>
      </c>
      <c r="AC55" s="84">
        <f t="shared" si="8"/>
        <v>0</v>
      </c>
      <c r="AD55" s="84"/>
      <c r="AE55" s="84">
        <f t="shared" si="20"/>
        <v>0</v>
      </c>
      <c r="AF55" s="84">
        <f t="shared" si="10"/>
        <v>0</v>
      </c>
      <c r="AG55" s="94">
        <f t="shared" si="21"/>
        <v>0</v>
      </c>
      <c r="AH55" s="85">
        <f>IFERROR(VLOOKUP(A55,CUSTOMERS!$A:$E,4),"")</f>
        <v>-150</v>
      </c>
      <c r="AI55" s="86" t="str">
        <f t="shared" ref="AI55:AI119" si="37">AV55</f>
        <v/>
      </c>
      <c r="AJ55" s="87">
        <f>IFERROR(VLOOKUP(A55,CUSTOMERS!$A:$F,5),"")</f>
        <v>0</v>
      </c>
      <c r="AK55" s="96"/>
      <c r="AL55" s="96">
        <v>0</v>
      </c>
      <c r="AM55" s="96">
        <v>0</v>
      </c>
      <c r="AN55" s="96"/>
      <c r="AO55" s="96">
        <v>0</v>
      </c>
      <c r="AP55" s="102">
        <f t="shared" si="13"/>
        <v>0</v>
      </c>
      <c r="AQ55" s="102">
        <f t="shared" si="35"/>
        <v>0</v>
      </c>
      <c r="AR55" s="68" t="str">
        <f>IFERROR(VLOOKUP(A55,CUSTOMERS!$A:$B,2),"")</f>
        <v>PRD</v>
      </c>
      <c r="AS55" s="68" t="str">
        <f>IFERROR(VLOOKUP(A55,CUSTOMERS!$A:$D,3),"")</f>
        <v>BLG</v>
      </c>
      <c r="AT55" s="68" t="str">
        <f>IFERROR(VLOOKUP(A55,CUSTOMERS!$A:$F,6),"")</f>
        <v>N</v>
      </c>
      <c r="AU55" s="69">
        <f>IFERROR(VLOOKUP(A55,CUSTOMERS!$A:$E,4),"")</f>
        <v>-150</v>
      </c>
      <c r="AV55" s="68" t="str">
        <f t="shared" si="32"/>
        <v/>
      </c>
      <c r="AW55" s="70" t="str">
        <f t="shared" si="16"/>
        <v>descr55</v>
      </c>
      <c r="AX55" s="71" t="str">
        <f t="shared" si="17"/>
        <v>reason55</v>
      </c>
    </row>
    <row r="56" spans="1:50" s="73" customFormat="1" ht="40.5" customHeight="1">
      <c r="A56" s="120" t="s">
        <v>27</v>
      </c>
      <c r="B56" s="120" t="str">
        <f t="shared" si="22"/>
        <v>N</v>
      </c>
      <c r="C56" s="120"/>
      <c r="D56" s="121">
        <v>15</v>
      </c>
      <c r="E56" s="121"/>
      <c r="F56" s="122" t="str">
        <f t="shared" si="1"/>
        <v>PRD-BLG-2020-00015</v>
      </c>
      <c r="G56" s="123" t="s">
        <v>200</v>
      </c>
      <c r="H56" s="124" t="s">
        <v>445</v>
      </c>
      <c r="I56" s="239"/>
      <c r="J56" s="80">
        <f t="shared" si="2"/>
        <v>0</v>
      </c>
      <c r="K56" s="177">
        <f t="shared" si="30"/>
        <v>44020</v>
      </c>
      <c r="L56" s="148">
        <v>44020</v>
      </c>
      <c r="M56" s="149"/>
      <c r="N56" s="150"/>
      <c r="O56" s="150"/>
      <c r="P56" s="150"/>
      <c r="Q56" s="200" t="s">
        <v>14</v>
      </c>
      <c r="R56" s="200" t="s">
        <v>4</v>
      </c>
      <c r="S56" s="200"/>
      <c r="T56" s="200"/>
      <c r="U56" s="200"/>
      <c r="V56" s="200"/>
      <c r="W56" s="200"/>
      <c r="X56" s="144" t="s">
        <v>444</v>
      </c>
      <c r="Y56" s="173">
        <f t="shared" si="27"/>
        <v>0</v>
      </c>
      <c r="Z56" s="83">
        <f t="shared" si="5"/>
        <v>0</v>
      </c>
      <c r="AA56" s="84">
        <f t="shared" si="36"/>
        <v>0</v>
      </c>
      <c r="AB56" s="84">
        <f t="shared" si="26"/>
        <v>0</v>
      </c>
      <c r="AC56" s="84">
        <f t="shared" si="8"/>
        <v>0</v>
      </c>
      <c r="AD56" s="84"/>
      <c r="AE56" s="84">
        <f t="shared" si="20"/>
        <v>0</v>
      </c>
      <c r="AF56" s="84">
        <f t="shared" si="10"/>
        <v>0</v>
      </c>
      <c r="AG56" s="94">
        <f t="shared" si="21"/>
        <v>0</v>
      </c>
      <c r="AH56" s="85">
        <f>IFERROR(VLOOKUP(A56,CUSTOMERS!$A:$E,4),"")</f>
        <v>-150</v>
      </c>
      <c r="AI56" s="86" t="str">
        <f t="shared" si="37"/>
        <v/>
      </c>
      <c r="AJ56" s="87">
        <f>IFERROR(VLOOKUP(A56,CUSTOMERS!$A:$F,5),"")</f>
        <v>0</v>
      </c>
      <c r="AK56" s="96"/>
      <c r="AL56" s="96">
        <v>0</v>
      </c>
      <c r="AM56" s="96">
        <v>0</v>
      </c>
      <c r="AN56" s="96"/>
      <c r="AO56" s="96">
        <v>0</v>
      </c>
      <c r="AP56" s="102">
        <f t="shared" si="13"/>
        <v>0</v>
      </c>
      <c r="AQ56" s="102">
        <f t="shared" si="35"/>
        <v>0</v>
      </c>
      <c r="AR56" s="68" t="str">
        <f>IFERROR(VLOOKUP(A56,CUSTOMERS!$A:$B,2),"")</f>
        <v>PRD</v>
      </c>
      <c r="AS56" s="68" t="str">
        <f>IFERROR(VLOOKUP(A56,CUSTOMERS!$A:$D,3),"")</f>
        <v>BLG</v>
      </c>
      <c r="AT56" s="68" t="str">
        <f>IFERROR(VLOOKUP(A56,CUSTOMERS!$A:$F,6),"")</f>
        <v>N</v>
      </c>
      <c r="AU56" s="69">
        <f>IFERROR(VLOOKUP(A56,CUSTOMERS!$A:$E,4),"")</f>
        <v>-150</v>
      </c>
      <c r="AV56" s="68" t="str">
        <f t="shared" si="32"/>
        <v/>
      </c>
      <c r="AW56" s="70" t="str">
        <f t="shared" si="16"/>
        <v>descr56</v>
      </c>
      <c r="AX56" s="71" t="str">
        <f t="shared" si="17"/>
        <v>reason56</v>
      </c>
    </row>
    <row r="57" spans="1:50" s="73" customFormat="1" ht="40.5" hidden="1" customHeight="1">
      <c r="A57" s="120" t="s">
        <v>27</v>
      </c>
      <c r="B57" s="120" t="str">
        <f t="shared" si="22"/>
        <v>N</v>
      </c>
      <c r="C57" s="120"/>
      <c r="D57" s="121">
        <v>33245</v>
      </c>
      <c r="E57" s="121"/>
      <c r="F57" s="122" t="str">
        <f t="shared" si="1"/>
        <v>PRD-BLG-2020-33245</v>
      </c>
      <c r="G57" s="123" t="s">
        <v>339</v>
      </c>
      <c r="H57" s="124" t="s">
        <v>446</v>
      </c>
      <c r="I57" s="239"/>
      <c r="J57" s="80">
        <f t="shared" si="2"/>
        <v>0</v>
      </c>
      <c r="K57" s="177">
        <f t="shared" si="30"/>
        <v>44057</v>
      </c>
      <c r="L57" s="141">
        <v>44057</v>
      </c>
      <c r="M57" s="149"/>
      <c r="N57" s="150"/>
      <c r="O57" s="150"/>
      <c r="P57" s="150"/>
      <c r="Q57" s="200" t="s">
        <v>15</v>
      </c>
      <c r="R57" s="200" t="s">
        <v>25</v>
      </c>
      <c r="S57" s="200"/>
      <c r="T57" s="200"/>
      <c r="U57" s="200"/>
      <c r="V57" s="200"/>
      <c r="W57" s="200"/>
      <c r="X57" s="144"/>
      <c r="Y57" s="173">
        <f t="shared" si="27"/>
        <v>0</v>
      </c>
      <c r="Z57" s="83">
        <f t="shared" si="5"/>
        <v>0</v>
      </c>
      <c r="AA57" s="84">
        <f t="shared" si="36"/>
        <v>0</v>
      </c>
      <c r="AB57" s="84">
        <f t="shared" si="26"/>
        <v>0</v>
      </c>
      <c r="AC57" s="84">
        <f t="shared" si="8"/>
        <v>0</v>
      </c>
      <c r="AD57" s="84"/>
      <c r="AE57" s="84">
        <f t="shared" si="20"/>
        <v>0</v>
      </c>
      <c r="AF57" s="84">
        <f t="shared" si="10"/>
        <v>0</v>
      </c>
      <c r="AG57" s="94">
        <f t="shared" si="21"/>
        <v>0</v>
      </c>
      <c r="AH57" s="85">
        <f>IFERROR(VLOOKUP(A57,CUSTOMERS!$A:$E,4),"")</f>
        <v>-150</v>
      </c>
      <c r="AI57" s="86" t="str">
        <f t="shared" si="37"/>
        <v/>
      </c>
      <c r="AJ57" s="87">
        <f>IFERROR(VLOOKUP(A57,CUSTOMERS!$A:$F,5),"")</f>
        <v>0</v>
      </c>
      <c r="AK57" s="96"/>
      <c r="AL57" s="96">
        <v>0</v>
      </c>
      <c r="AM57" s="96">
        <v>0</v>
      </c>
      <c r="AN57" s="96"/>
      <c r="AO57" s="96">
        <v>0</v>
      </c>
      <c r="AP57" s="102">
        <f t="shared" si="13"/>
        <v>0</v>
      </c>
      <c r="AQ57" s="102">
        <f t="shared" si="35"/>
        <v>0</v>
      </c>
      <c r="AR57" s="68" t="str">
        <f>IFERROR(VLOOKUP(A57,CUSTOMERS!$A:$B,2),"")</f>
        <v>PRD</v>
      </c>
      <c r="AS57" s="68" t="str">
        <f>IFERROR(VLOOKUP(A57,CUSTOMERS!$A:$D,3),"")</f>
        <v>BLG</v>
      </c>
      <c r="AT57" s="68" t="str">
        <f>IFERROR(VLOOKUP(A57,CUSTOMERS!$A:$F,6),"")</f>
        <v>N</v>
      </c>
      <c r="AU57" s="69">
        <f>IFERROR(VLOOKUP(A57,CUSTOMERS!$A:$E,4),"")</f>
        <v>-150</v>
      </c>
      <c r="AV57" s="68" t="str">
        <f t="shared" si="32"/>
        <v/>
      </c>
      <c r="AW57" s="70" t="str">
        <f t="shared" si="16"/>
        <v>descr57</v>
      </c>
      <c r="AX57" s="71" t="str">
        <f t="shared" si="17"/>
        <v>reason57</v>
      </c>
    </row>
    <row r="58" spans="1:50" s="73" customFormat="1" ht="40.5" hidden="1" customHeight="1">
      <c r="A58" s="120" t="s">
        <v>27</v>
      </c>
      <c r="B58" s="120" t="str">
        <f t="shared" si="22"/>
        <v>N</v>
      </c>
      <c r="C58" s="120"/>
      <c r="D58" s="121">
        <v>33252</v>
      </c>
      <c r="E58" s="121"/>
      <c r="F58" s="122" t="str">
        <f t="shared" si="1"/>
        <v>PRD-BLG-2020-33252</v>
      </c>
      <c r="G58" s="123" t="s">
        <v>339</v>
      </c>
      <c r="H58" s="124" t="s">
        <v>447</v>
      </c>
      <c r="I58" s="239"/>
      <c r="J58" s="80">
        <f t="shared" si="2"/>
        <v>0</v>
      </c>
      <c r="K58" s="177">
        <f t="shared" si="30"/>
        <v>44061</v>
      </c>
      <c r="L58" s="141">
        <v>44061</v>
      </c>
      <c r="M58" s="142"/>
      <c r="N58" s="142"/>
      <c r="O58" s="142"/>
      <c r="P58" s="142"/>
      <c r="Q58" s="199" t="s">
        <v>15</v>
      </c>
      <c r="R58" s="199" t="s">
        <v>25</v>
      </c>
      <c r="S58" s="199"/>
      <c r="T58" s="199"/>
      <c r="U58" s="199"/>
      <c r="V58" s="199"/>
      <c r="W58" s="199"/>
      <c r="X58" s="144"/>
      <c r="Y58" s="173">
        <f t="shared" si="27"/>
        <v>0</v>
      </c>
      <c r="Z58" s="83">
        <f t="shared" si="5"/>
        <v>0</v>
      </c>
      <c r="AA58" s="84">
        <f t="shared" si="36"/>
        <v>0</v>
      </c>
      <c r="AB58" s="84">
        <f t="shared" si="26"/>
        <v>0</v>
      </c>
      <c r="AC58" s="84">
        <f t="shared" si="8"/>
        <v>0</v>
      </c>
      <c r="AD58" s="84"/>
      <c r="AE58" s="84">
        <f t="shared" si="20"/>
        <v>0</v>
      </c>
      <c r="AF58" s="84">
        <f t="shared" si="10"/>
        <v>0</v>
      </c>
      <c r="AG58" s="94">
        <f t="shared" si="21"/>
        <v>0</v>
      </c>
      <c r="AH58" s="85">
        <f>IFERROR(VLOOKUP(A58,CUSTOMERS!$A:$E,4),"")</f>
        <v>-150</v>
      </c>
      <c r="AI58" s="86" t="str">
        <f t="shared" si="37"/>
        <v/>
      </c>
      <c r="AJ58" s="87">
        <f>IFERROR(VLOOKUP(A58,CUSTOMERS!$A:$F,5),"")</f>
        <v>0</v>
      </c>
      <c r="AK58" s="96"/>
      <c r="AL58" s="96">
        <v>0</v>
      </c>
      <c r="AM58" s="96">
        <v>0</v>
      </c>
      <c r="AN58" s="96"/>
      <c r="AO58" s="96">
        <v>0</v>
      </c>
      <c r="AP58" s="102">
        <f t="shared" si="13"/>
        <v>0</v>
      </c>
      <c r="AQ58" s="102">
        <f t="shared" si="35"/>
        <v>0</v>
      </c>
      <c r="AR58" s="68" t="str">
        <f>IFERROR(VLOOKUP(A58,CUSTOMERS!$A:$B,2),"")</f>
        <v>PRD</v>
      </c>
      <c r="AS58" s="68" t="str">
        <f>IFERROR(VLOOKUP(A58,CUSTOMERS!$A:$D,3),"")</f>
        <v>BLG</v>
      </c>
      <c r="AT58" s="68" t="str">
        <f>IFERROR(VLOOKUP(A58,CUSTOMERS!$A:$F,6),"")</f>
        <v>N</v>
      </c>
      <c r="AU58" s="69">
        <f>IFERROR(VLOOKUP(A58,CUSTOMERS!$A:$E,4),"")</f>
        <v>-150</v>
      </c>
      <c r="AV58" s="68" t="str">
        <f t="shared" si="32"/>
        <v/>
      </c>
      <c r="AW58" s="70" t="str">
        <f t="shared" si="16"/>
        <v>descr58</v>
      </c>
      <c r="AX58" s="71" t="str">
        <f t="shared" si="17"/>
        <v>reason58</v>
      </c>
    </row>
    <row r="59" spans="1:50" s="73" customFormat="1" ht="40.5" hidden="1" customHeight="1">
      <c r="A59" s="120" t="s">
        <v>27</v>
      </c>
      <c r="B59" s="120" t="str">
        <f t="shared" si="22"/>
        <v>N</v>
      </c>
      <c r="C59" s="120"/>
      <c r="D59" s="121">
        <v>3</v>
      </c>
      <c r="E59" s="121"/>
      <c r="F59" s="122" t="str">
        <f t="shared" si="1"/>
        <v>PRD-BLG-2020-00003</v>
      </c>
      <c r="G59" s="123" t="s">
        <v>100</v>
      </c>
      <c r="H59" s="124" t="s">
        <v>448</v>
      </c>
      <c r="I59" s="239"/>
      <c r="J59" s="80">
        <f t="shared" si="2"/>
        <v>0</v>
      </c>
      <c r="K59" s="177">
        <f t="shared" si="30"/>
        <v>43952</v>
      </c>
      <c r="L59" s="148">
        <v>43952</v>
      </c>
      <c r="M59" s="149"/>
      <c r="N59" s="150"/>
      <c r="O59" s="150"/>
      <c r="P59" s="150"/>
      <c r="Q59" s="200" t="s">
        <v>15</v>
      </c>
      <c r="R59" s="200" t="s">
        <v>25</v>
      </c>
      <c r="S59" s="200"/>
      <c r="T59" s="200"/>
      <c r="U59" s="200"/>
      <c r="V59" s="200"/>
      <c r="W59" s="200"/>
      <c r="X59" s="144" t="s">
        <v>449</v>
      </c>
      <c r="Y59" s="173">
        <f t="shared" si="27"/>
        <v>0</v>
      </c>
      <c r="Z59" s="83">
        <f t="shared" si="5"/>
        <v>0</v>
      </c>
      <c r="AA59" s="84">
        <f t="shared" si="36"/>
        <v>0</v>
      </c>
      <c r="AB59" s="84">
        <f t="shared" si="26"/>
        <v>0</v>
      </c>
      <c r="AC59" s="84">
        <f t="shared" si="8"/>
        <v>0</v>
      </c>
      <c r="AD59" s="84"/>
      <c r="AE59" s="84">
        <f t="shared" si="20"/>
        <v>0</v>
      </c>
      <c r="AF59" s="84">
        <f t="shared" si="10"/>
        <v>0</v>
      </c>
      <c r="AG59" s="94">
        <f t="shared" si="21"/>
        <v>0</v>
      </c>
      <c r="AH59" s="85">
        <f>IFERROR(VLOOKUP(A59,CUSTOMERS!$A:$E,4),"")</f>
        <v>-150</v>
      </c>
      <c r="AI59" s="86" t="str">
        <f t="shared" si="37"/>
        <v/>
      </c>
      <c r="AJ59" s="87">
        <f>IFERROR(VLOOKUP(A59,CUSTOMERS!$A:$F,5),"")</f>
        <v>0</v>
      </c>
      <c r="AK59" s="96"/>
      <c r="AL59" s="96">
        <v>0</v>
      </c>
      <c r="AM59" s="96">
        <v>0</v>
      </c>
      <c r="AN59" s="96"/>
      <c r="AO59" s="96">
        <v>0</v>
      </c>
      <c r="AP59" s="102">
        <f t="shared" si="13"/>
        <v>0</v>
      </c>
      <c r="AQ59" s="102">
        <f t="shared" si="35"/>
        <v>0</v>
      </c>
      <c r="AR59" s="68" t="str">
        <f>IFERROR(VLOOKUP(A59,CUSTOMERS!$A:$B,2),"")</f>
        <v>PRD</v>
      </c>
      <c r="AS59" s="68" t="str">
        <f>IFERROR(VLOOKUP(A59,CUSTOMERS!$A:$D,3),"")</f>
        <v>BLG</v>
      </c>
      <c r="AT59" s="68" t="str">
        <f>IFERROR(VLOOKUP(A59,CUSTOMERS!$A:$F,6),"")</f>
        <v>N</v>
      </c>
      <c r="AU59" s="69">
        <f>IFERROR(VLOOKUP(A59,CUSTOMERS!$A:$E,4),"")</f>
        <v>-150</v>
      </c>
      <c r="AV59" s="68" t="str">
        <f t="shared" si="32"/>
        <v/>
      </c>
      <c r="AW59" s="70" t="str">
        <f t="shared" si="16"/>
        <v>descr59</v>
      </c>
      <c r="AX59" s="71" t="str">
        <f t="shared" si="17"/>
        <v>reason59</v>
      </c>
    </row>
    <row r="60" spans="1:50" s="73" customFormat="1" ht="50.25" hidden="1" customHeight="1">
      <c r="A60" s="120" t="s">
        <v>27</v>
      </c>
      <c r="B60" s="120" t="str">
        <f t="shared" si="22"/>
        <v>N</v>
      </c>
      <c r="C60" s="120"/>
      <c r="D60" s="121">
        <v>11</v>
      </c>
      <c r="E60" s="121"/>
      <c r="F60" s="122" t="str">
        <f t="shared" si="1"/>
        <v>PRD-BLG-2020-00011</v>
      </c>
      <c r="G60" s="123" t="s">
        <v>339</v>
      </c>
      <c r="H60" s="124" t="s">
        <v>30</v>
      </c>
      <c r="I60" s="239"/>
      <c r="J60" s="80">
        <f t="shared" si="2"/>
        <v>0</v>
      </c>
      <c r="K60" s="177">
        <f t="shared" si="30"/>
        <v>44012</v>
      </c>
      <c r="L60" s="148">
        <v>44012</v>
      </c>
      <c r="M60" s="149"/>
      <c r="N60" s="150"/>
      <c r="O60" s="150"/>
      <c r="P60" s="150"/>
      <c r="Q60" s="200" t="s">
        <v>18</v>
      </c>
      <c r="R60" s="200" t="s">
        <v>31</v>
      </c>
      <c r="S60" s="200" t="s">
        <v>311</v>
      </c>
      <c r="T60" s="200" t="s">
        <v>450</v>
      </c>
      <c r="U60" s="200" t="s">
        <v>451</v>
      </c>
      <c r="V60" s="200">
        <v>44356</v>
      </c>
      <c r="W60" s="200" t="s">
        <v>452</v>
      </c>
      <c r="X60" s="144" t="s">
        <v>453</v>
      </c>
      <c r="Y60" s="173">
        <f t="shared" si="27"/>
        <v>0</v>
      </c>
      <c r="Z60" s="83">
        <f t="shared" si="5"/>
        <v>0</v>
      </c>
      <c r="AA60" s="84">
        <f t="shared" si="36"/>
        <v>0</v>
      </c>
      <c r="AB60" s="84">
        <f t="shared" si="26"/>
        <v>0</v>
      </c>
      <c r="AC60" s="84">
        <f t="shared" si="8"/>
        <v>0</v>
      </c>
      <c r="AD60" s="84"/>
      <c r="AE60" s="84">
        <f t="shared" si="20"/>
        <v>0</v>
      </c>
      <c r="AF60" s="84">
        <f t="shared" si="10"/>
        <v>0</v>
      </c>
      <c r="AG60" s="94">
        <f t="shared" si="21"/>
        <v>0</v>
      </c>
      <c r="AH60" s="85">
        <f>IFERROR(VLOOKUP(A60,CUSTOMERS!$A:$E,4),"")</f>
        <v>-150</v>
      </c>
      <c r="AI60" s="86" t="str">
        <f t="shared" si="37"/>
        <v/>
      </c>
      <c r="AJ60" s="87">
        <f>IFERROR(VLOOKUP(A60,CUSTOMERS!$A:$F,5),"")</f>
        <v>0</v>
      </c>
      <c r="AK60" s="96"/>
      <c r="AL60" s="96">
        <v>0</v>
      </c>
      <c r="AM60" s="96">
        <v>0</v>
      </c>
      <c r="AN60" s="96"/>
      <c r="AO60" s="96">
        <v>0</v>
      </c>
      <c r="AP60" s="102">
        <f t="shared" si="13"/>
        <v>0</v>
      </c>
      <c r="AQ60" s="102">
        <f t="shared" si="35"/>
        <v>0</v>
      </c>
      <c r="AR60" s="68" t="str">
        <f>IFERROR(VLOOKUP(A60,CUSTOMERS!$A:$B,2),"")</f>
        <v>PRD</v>
      </c>
      <c r="AS60" s="68" t="str">
        <f>IFERROR(VLOOKUP(A60,CUSTOMERS!$A:$D,3),"")</f>
        <v>BLG</v>
      </c>
      <c r="AT60" s="68" t="str">
        <f>IFERROR(VLOOKUP(A60,CUSTOMERS!$A:$F,6),"")</f>
        <v>N</v>
      </c>
      <c r="AU60" s="69">
        <f>IFERROR(VLOOKUP(A60,CUSTOMERS!$A:$E,4),"")</f>
        <v>-150</v>
      </c>
      <c r="AV60" s="68" t="str">
        <f t="shared" si="32"/>
        <v/>
      </c>
      <c r="AW60" s="70" t="str">
        <f t="shared" si="16"/>
        <v>descr60</v>
      </c>
      <c r="AX60" s="71" t="str">
        <f t="shared" si="17"/>
        <v>reason60</v>
      </c>
    </row>
    <row r="61" spans="1:50" s="73" customFormat="1" ht="52.5" customHeight="1">
      <c r="A61" s="120" t="s">
        <v>27</v>
      </c>
      <c r="B61" s="120" t="str">
        <f t="shared" si="22"/>
        <v>N</v>
      </c>
      <c r="C61" s="120"/>
      <c r="D61" s="121">
        <v>12</v>
      </c>
      <c r="E61" s="121"/>
      <c r="F61" s="122" t="str">
        <f t="shared" si="1"/>
        <v>PRD-BLG-2020-00012</v>
      </c>
      <c r="G61" s="123" t="s">
        <v>29</v>
      </c>
      <c r="H61" s="124" t="s">
        <v>454</v>
      </c>
      <c r="I61" s="239"/>
      <c r="J61" s="80">
        <f t="shared" si="2"/>
        <v>0</v>
      </c>
      <c r="K61" s="177">
        <f t="shared" si="30"/>
        <v>44012</v>
      </c>
      <c r="L61" s="148">
        <v>44012</v>
      </c>
      <c r="M61" s="149"/>
      <c r="N61" s="150"/>
      <c r="O61" s="150"/>
      <c r="P61" s="150"/>
      <c r="Q61" s="200" t="s">
        <v>18</v>
      </c>
      <c r="R61" s="200" t="s">
        <v>31</v>
      </c>
      <c r="S61" s="200" t="s">
        <v>313</v>
      </c>
      <c r="T61" s="200" t="s">
        <v>451</v>
      </c>
      <c r="U61" s="200" t="s">
        <v>455</v>
      </c>
      <c r="V61" s="200"/>
      <c r="W61" s="200"/>
      <c r="X61" s="144" t="s">
        <v>456</v>
      </c>
      <c r="Y61" s="173">
        <f t="shared" si="27"/>
        <v>0</v>
      </c>
      <c r="Z61" s="83">
        <f t="shared" si="5"/>
        <v>0</v>
      </c>
      <c r="AA61" s="84">
        <f t="shared" si="36"/>
        <v>0</v>
      </c>
      <c r="AB61" s="84">
        <f t="shared" si="26"/>
        <v>0</v>
      </c>
      <c r="AC61" s="84">
        <f t="shared" si="8"/>
        <v>0</v>
      </c>
      <c r="AD61" s="84"/>
      <c r="AE61" s="84">
        <f t="shared" si="20"/>
        <v>0</v>
      </c>
      <c r="AF61" s="84">
        <f t="shared" si="10"/>
        <v>0</v>
      </c>
      <c r="AG61" s="94">
        <f t="shared" si="21"/>
        <v>0</v>
      </c>
      <c r="AH61" s="85">
        <f>IFERROR(VLOOKUP(A61,CUSTOMERS!$A:$E,4),"")</f>
        <v>-150</v>
      </c>
      <c r="AI61" s="86" t="str">
        <f t="shared" si="37"/>
        <v/>
      </c>
      <c r="AJ61" s="87">
        <f>IFERROR(VLOOKUP(A61,CUSTOMERS!$A:$F,5),"")</f>
        <v>0</v>
      </c>
      <c r="AK61" s="96"/>
      <c r="AL61" s="96">
        <v>0</v>
      </c>
      <c r="AM61" s="96">
        <v>0</v>
      </c>
      <c r="AN61" s="96"/>
      <c r="AO61" s="96">
        <v>0</v>
      </c>
      <c r="AP61" s="102">
        <f t="shared" si="13"/>
        <v>0</v>
      </c>
      <c r="AQ61" s="102">
        <f t="shared" si="35"/>
        <v>0</v>
      </c>
      <c r="AR61" s="68" t="str">
        <f>IFERROR(VLOOKUP(A61,CUSTOMERS!$A:$B,2),"")</f>
        <v>PRD</v>
      </c>
      <c r="AS61" s="68" t="str">
        <f>IFERROR(VLOOKUP(A61,CUSTOMERS!$A:$D,3),"")</f>
        <v>BLG</v>
      </c>
      <c r="AT61" s="68" t="str">
        <f>IFERROR(VLOOKUP(A61,CUSTOMERS!$A:$F,6),"")</f>
        <v>N</v>
      </c>
      <c r="AU61" s="69">
        <f>IFERROR(VLOOKUP(A61,CUSTOMERS!$A:$E,4),"")</f>
        <v>-150</v>
      </c>
      <c r="AV61" s="68" t="str">
        <f t="shared" si="32"/>
        <v/>
      </c>
      <c r="AW61" s="70" t="str">
        <f t="shared" si="16"/>
        <v>descr61</v>
      </c>
      <c r="AX61" s="71" t="str">
        <f t="shared" si="17"/>
        <v>reason61</v>
      </c>
    </row>
    <row r="62" spans="1:50" s="73" customFormat="1" ht="40.5" hidden="1" customHeight="1">
      <c r="A62" s="120" t="s">
        <v>27</v>
      </c>
      <c r="B62" s="120" t="str">
        <f t="shared" si="22"/>
        <v>N</v>
      </c>
      <c r="C62" s="120"/>
      <c r="D62" s="121">
        <v>14</v>
      </c>
      <c r="E62" s="121"/>
      <c r="F62" s="122" t="str">
        <f t="shared" si="1"/>
        <v>PRD-BLG-2020-00014</v>
      </c>
      <c r="G62" s="123" t="s">
        <v>339</v>
      </c>
      <c r="H62" s="124" t="s">
        <v>457</v>
      </c>
      <c r="I62" s="239"/>
      <c r="J62" s="80">
        <f t="shared" si="2"/>
        <v>0</v>
      </c>
      <c r="K62" s="177">
        <f t="shared" si="30"/>
        <v>44061</v>
      </c>
      <c r="L62" s="141">
        <v>44061</v>
      </c>
      <c r="M62" s="142"/>
      <c r="N62" s="142"/>
      <c r="O62" s="142"/>
      <c r="P62" s="142"/>
      <c r="Q62" s="199" t="s">
        <v>14</v>
      </c>
      <c r="R62" s="199" t="s">
        <v>31</v>
      </c>
      <c r="S62" s="199"/>
      <c r="T62" s="199"/>
      <c r="U62" s="199"/>
      <c r="V62" s="199"/>
      <c r="W62" s="199"/>
      <c r="X62" s="144" t="s">
        <v>458</v>
      </c>
      <c r="Y62" s="173">
        <f t="shared" si="27"/>
        <v>0</v>
      </c>
      <c r="Z62" s="83">
        <f t="shared" si="5"/>
        <v>0</v>
      </c>
      <c r="AA62" s="84">
        <f t="shared" si="36"/>
        <v>0</v>
      </c>
      <c r="AB62" s="84">
        <f t="shared" si="26"/>
        <v>0</v>
      </c>
      <c r="AC62" s="84">
        <f t="shared" si="8"/>
        <v>0</v>
      </c>
      <c r="AD62" s="84"/>
      <c r="AE62" s="84">
        <f t="shared" si="20"/>
        <v>0</v>
      </c>
      <c r="AF62" s="84">
        <f t="shared" si="10"/>
        <v>0</v>
      </c>
      <c r="AG62" s="94">
        <f t="shared" si="21"/>
        <v>0</v>
      </c>
      <c r="AH62" s="85">
        <f>IFERROR(VLOOKUP(A62,CUSTOMERS!$A:$E,4),"")</f>
        <v>-150</v>
      </c>
      <c r="AI62" s="86" t="str">
        <f t="shared" si="37"/>
        <v/>
      </c>
      <c r="AJ62" s="87">
        <f>IFERROR(VLOOKUP(A62,CUSTOMERS!$A:$F,5),"")</f>
        <v>0</v>
      </c>
      <c r="AK62" s="96"/>
      <c r="AL62" s="96">
        <v>0</v>
      </c>
      <c r="AM62" s="96">
        <v>0</v>
      </c>
      <c r="AN62" s="96"/>
      <c r="AO62" s="96">
        <v>0</v>
      </c>
      <c r="AP62" s="102">
        <f t="shared" si="13"/>
        <v>0</v>
      </c>
      <c r="AQ62" s="102">
        <f t="shared" si="35"/>
        <v>0</v>
      </c>
      <c r="AR62" s="68" t="str">
        <f>IFERROR(VLOOKUP(A62,CUSTOMERS!$A:$B,2),"")</f>
        <v>PRD</v>
      </c>
      <c r="AS62" s="68" t="str">
        <f>IFERROR(VLOOKUP(A62,CUSTOMERS!$A:$D,3),"")</f>
        <v>BLG</v>
      </c>
      <c r="AT62" s="68" t="str">
        <f>IFERROR(VLOOKUP(A62,CUSTOMERS!$A:$F,6),"")</f>
        <v>N</v>
      </c>
      <c r="AU62" s="69">
        <f>IFERROR(VLOOKUP(A62,CUSTOMERS!$A:$E,4),"")</f>
        <v>-150</v>
      </c>
      <c r="AV62" s="68" t="str">
        <f t="shared" si="32"/>
        <v/>
      </c>
      <c r="AW62" s="70" t="str">
        <f t="shared" si="16"/>
        <v>descr62</v>
      </c>
      <c r="AX62" s="71" t="str">
        <f t="shared" si="17"/>
        <v>reason62</v>
      </c>
    </row>
    <row r="63" spans="1:50" s="73" customFormat="1" ht="40.5" customHeight="1">
      <c r="A63" s="120" t="s">
        <v>27</v>
      </c>
      <c r="B63" s="120" t="str">
        <f t="shared" si="22"/>
        <v>N</v>
      </c>
      <c r="C63" s="120"/>
      <c r="D63" s="121">
        <v>2</v>
      </c>
      <c r="E63" s="121"/>
      <c r="F63" s="122" t="str">
        <f t="shared" si="1"/>
        <v>PRD-BLG-2020-00002</v>
      </c>
      <c r="G63" s="123" t="s">
        <v>291</v>
      </c>
      <c r="H63" s="124" t="s">
        <v>459</v>
      </c>
      <c r="I63" s="239"/>
      <c r="J63" s="80">
        <f t="shared" si="2"/>
        <v>0</v>
      </c>
      <c r="K63" s="177">
        <f t="shared" si="30"/>
        <v>43952</v>
      </c>
      <c r="L63" s="148">
        <v>43952</v>
      </c>
      <c r="M63" s="149"/>
      <c r="N63" s="150"/>
      <c r="O63" s="150"/>
      <c r="P63" s="150"/>
      <c r="Q63" s="200" t="s">
        <v>15</v>
      </c>
      <c r="R63" s="200" t="s">
        <v>31</v>
      </c>
      <c r="S63" s="200"/>
      <c r="T63" s="200"/>
      <c r="U63" s="200"/>
      <c r="V63" s="200"/>
      <c r="W63" s="200"/>
      <c r="X63" s="144" t="s">
        <v>460</v>
      </c>
      <c r="Y63" s="173">
        <f t="shared" si="27"/>
        <v>0</v>
      </c>
      <c r="Z63" s="83">
        <f t="shared" si="5"/>
        <v>0</v>
      </c>
      <c r="AA63" s="84">
        <f t="shared" si="36"/>
        <v>0</v>
      </c>
      <c r="AB63" s="84">
        <f t="shared" si="26"/>
        <v>0</v>
      </c>
      <c r="AC63" s="84">
        <f t="shared" si="8"/>
        <v>0</v>
      </c>
      <c r="AD63" s="84"/>
      <c r="AE63" s="84">
        <f t="shared" si="20"/>
        <v>0</v>
      </c>
      <c r="AF63" s="84">
        <f t="shared" si="10"/>
        <v>0</v>
      </c>
      <c r="AG63" s="94">
        <f t="shared" si="21"/>
        <v>0</v>
      </c>
      <c r="AH63" s="85">
        <f>IFERROR(VLOOKUP(A63,CUSTOMERS!$A:$E,4),"")</f>
        <v>-150</v>
      </c>
      <c r="AI63" s="86" t="str">
        <f t="shared" si="37"/>
        <v/>
      </c>
      <c r="AJ63" s="87">
        <f>IFERROR(VLOOKUP(A63,CUSTOMERS!$A:$F,5),"")</f>
        <v>0</v>
      </c>
      <c r="AK63" s="96"/>
      <c r="AL63" s="96">
        <v>0</v>
      </c>
      <c r="AM63" s="96">
        <v>0</v>
      </c>
      <c r="AN63" s="96"/>
      <c r="AO63" s="96">
        <v>0</v>
      </c>
      <c r="AP63" s="102">
        <f t="shared" si="13"/>
        <v>0</v>
      </c>
      <c r="AQ63" s="102">
        <f t="shared" si="35"/>
        <v>0</v>
      </c>
      <c r="AR63" s="68" t="str">
        <f>IFERROR(VLOOKUP(A63,CUSTOMERS!$A:$B,2),"")</f>
        <v>PRD</v>
      </c>
      <c r="AS63" s="68" t="str">
        <f>IFERROR(VLOOKUP(A63,CUSTOMERS!$A:$D,3),"")</f>
        <v>BLG</v>
      </c>
      <c r="AT63" s="68" t="str">
        <f>IFERROR(VLOOKUP(A63,CUSTOMERS!$A:$F,6),"")</f>
        <v>N</v>
      </c>
      <c r="AU63" s="69">
        <f>IFERROR(VLOOKUP(A63,CUSTOMERS!$A:$E,4),"")</f>
        <v>-150</v>
      </c>
      <c r="AV63" s="68" t="str">
        <f t="shared" si="32"/>
        <v/>
      </c>
      <c r="AW63" s="70" t="str">
        <f t="shared" si="16"/>
        <v>descr63</v>
      </c>
      <c r="AX63" s="71" t="str">
        <f t="shared" si="17"/>
        <v>reason63</v>
      </c>
    </row>
    <row r="64" spans="1:50" s="73" customFormat="1" ht="71.25" customHeight="1">
      <c r="A64" s="120" t="s">
        <v>50</v>
      </c>
      <c r="B64" s="120" t="str">
        <f t="shared" si="22"/>
        <v>N</v>
      </c>
      <c r="C64" s="120"/>
      <c r="D64" s="121"/>
      <c r="E64" s="121"/>
      <c r="F64" s="122" t="str">
        <f t="shared" si="1"/>
        <v>PRD-REQ-2020-00000</v>
      </c>
      <c r="G64" s="123" t="s">
        <v>35</v>
      </c>
      <c r="H64" s="124" t="s">
        <v>36</v>
      </c>
      <c r="I64" s="239"/>
      <c r="J64" s="80">
        <f t="shared" si="2"/>
        <v>0</v>
      </c>
      <c r="K64" s="177">
        <f t="shared" si="30"/>
        <v>43831</v>
      </c>
      <c r="L64" s="141">
        <v>43831</v>
      </c>
      <c r="M64" s="142"/>
      <c r="N64" s="142"/>
      <c r="O64" s="142"/>
      <c r="P64" s="142"/>
      <c r="Q64" s="199" t="s">
        <v>15</v>
      </c>
      <c r="R64" s="199" t="s">
        <v>25</v>
      </c>
      <c r="S64" s="199" t="s">
        <v>311</v>
      </c>
      <c r="T64" s="199" t="s">
        <v>455</v>
      </c>
      <c r="U64" s="199" t="s">
        <v>455</v>
      </c>
      <c r="V64" s="199"/>
      <c r="W64" s="199"/>
      <c r="X64" s="144" t="s">
        <v>461</v>
      </c>
      <c r="Y64" s="173">
        <f t="shared" si="27"/>
        <v>0</v>
      </c>
      <c r="Z64" s="83">
        <f t="shared" si="5"/>
        <v>0</v>
      </c>
      <c r="AA64" s="84">
        <f t="shared" si="36"/>
        <v>0</v>
      </c>
      <c r="AB64" s="84">
        <f t="shared" si="26"/>
        <v>0</v>
      </c>
      <c r="AC64" s="84">
        <f t="shared" si="8"/>
        <v>0</v>
      </c>
      <c r="AD64" s="84"/>
      <c r="AE64" s="84">
        <f t="shared" si="20"/>
        <v>0</v>
      </c>
      <c r="AF64" s="84">
        <f t="shared" si="10"/>
        <v>0</v>
      </c>
      <c r="AG64" s="94">
        <f t="shared" si="21"/>
        <v>0</v>
      </c>
      <c r="AH64" s="85">
        <f>IFERROR(VLOOKUP(A64,CUSTOMERS!$A:$E,4),"")</f>
        <v>-150</v>
      </c>
      <c r="AI64" s="86" t="str">
        <f t="shared" si="37"/>
        <v/>
      </c>
      <c r="AJ64" s="87">
        <f>IFERROR(VLOOKUP(A64,CUSTOMERS!$A:$F,5),"")</f>
        <v>0</v>
      </c>
      <c r="AK64" s="96"/>
      <c r="AL64" s="96">
        <v>0</v>
      </c>
      <c r="AM64" s="96">
        <v>0</v>
      </c>
      <c r="AN64" s="96"/>
      <c r="AO64" s="96">
        <v>0</v>
      </c>
      <c r="AP64" s="102">
        <f t="shared" si="13"/>
        <v>0</v>
      </c>
      <c r="AQ64" s="102">
        <f t="shared" si="35"/>
        <v>0</v>
      </c>
      <c r="AR64" s="68" t="str">
        <f>IFERROR(VLOOKUP(A64,CUSTOMERS!$A:$B,2),"")</f>
        <v>PRD</v>
      </c>
      <c r="AS64" s="68" t="str">
        <f>IFERROR(VLOOKUP(A64,CUSTOMERS!$A:$D,3),"")</f>
        <v>REQ</v>
      </c>
      <c r="AT64" s="68" t="str">
        <f>IFERROR(VLOOKUP(A64,CUSTOMERS!$A:$F,6),"")</f>
        <v>N</v>
      </c>
      <c r="AU64" s="69">
        <f>IFERROR(VLOOKUP(A64,CUSTOMERS!$A:$E,4),"")</f>
        <v>-150</v>
      </c>
      <c r="AV64" s="68" t="str">
        <f t="shared" si="32"/>
        <v/>
      </c>
      <c r="AW64" s="70" t="str">
        <f t="shared" si="16"/>
        <v>descr64</v>
      </c>
      <c r="AX64" s="71" t="str">
        <f t="shared" si="17"/>
        <v>reason64</v>
      </c>
    </row>
    <row r="65" spans="1:50" s="73" customFormat="1" ht="40.5" hidden="1" customHeight="1">
      <c r="A65" s="120" t="s">
        <v>27</v>
      </c>
      <c r="B65" s="120" t="str">
        <f t="shared" si="22"/>
        <v>N</v>
      </c>
      <c r="C65" s="120"/>
      <c r="D65" s="121"/>
      <c r="E65" s="121"/>
      <c r="F65" s="122" t="str">
        <f t="shared" si="1"/>
        <v>PRD-BLG-2020-00000</v>
      </c>
      <c r="G65" s="207" t="s">
        <v>339</v>
      </c>
      <c r="H65" s="124" t="s">
        <v>462</v>
      </c>
      <c r="I65" s="239"/>
      <c r="J65" s="80">
        <f t="shared" si="2"/>
        <v>0</v>
      </c>
      <c r="K65" s="177">
        <f t="shared" si="30"/>
        <v>44081</v>
      </c>
      <c r="L65" s="141">
        <v>44081</v>
      </c>
      <c r="M65" s="142"/>
      <c r="N65" s="142"/>
      <c r="O65" s="142"/>
      <c r="P65" s="142"/>
      <c r="Q65" s="199" t="s">
        <v>15</v>
      </c>
      <c r="R65" s="199" t="s">
        <v>31</v>
      </c>
      <c r="S65" s="199"/>
      <c r="T65" s="199"/>
      <c r="U65" s="199"/>
      <c r="V65" s="199"/>
      <c r="W65" s="199"/>
      <c r="X65" s="144"/>
      <c r="Y65" s="173">
        <f t="shared" si="27"/>
        <v>0</v>
      </c>
      <c r="Z65" s="83">
        <f t="shared" si="5"/>
        <v>0</v>
      </c>
      <c r="AA65" s="84">
        <f t="shared" si="36"/>
        <v>0</v>
      </c>
      <c r="AB65" s="84">
        <f t="shared" si="26"/>
        <v>0</v>
      </c>
      <c r="AC65" s="84">
        <f t="shared" si="8"/>
        <v>0</v>
      </c>
      <c r="AD65" s="84"/>
      <c r="AE65" s="84">
        <f t="shared" si="20"/>
        <v>0</v>
      </c>
      <c r="AF65" s="84">
        <f t="shared" si="10"/>
        <v>0</v>
      </c>
      <c r="AG65" s="94">
        <f t="shared" si="21"/>
        <v>0</v>
      </c>
      <c r="AH65" s="85">
        <f>IFERROR(VLOOKUP(A65,CUSTOMERS!$A:$E,4),"")</f>
        <v>-150</v>
      </c>
      <c r="AI65" s="86" t="str">
        <f t="shared" si="37"/>
        <v/>
      </c>
      <c r="AJ65" s="87">
        <f>IFERROR(VLOOKUP(A65,CUSTOMERS!$A:$F,5),"")</f>
        <v>0</v>
      </c>
      <c r="AK65" s="96"/>
      <c r="AL65" s="96">
        <v>0</v>
      </c>
      <c r="AM65" s="96">
        <v>0</v>
      </c>
      <c r="AN65" s="96"/>
      <c r="AO65" s="96">
        <v>0</v>
      </c>
      <c r="AP65" s="102">
        <f t="shared" si="13"/>
        <v>0</v>
      </c>
      <c r="AQ65" s="102">
        <f t="shared" si="35"/>
        <v>0</v>
      </c>
      <c r="AR65" s="68" t="str">
        <f>IFERROR(VLOOKUP(A65,CUSTOMERS!$A:$B,2),"")</f>
        <v>PRD</v>
      </c>
      <c r="AS65" s="68" t="str">
        <f>IFERROR(VLOOKUP(A65,CUSTOMERS!$A:$D,3),"")</f>
        <v>BLG</v>
      </c>
      <c r="AT65" s="68" t="str">
        <f>IFERROR(VLOOKUP(A65,CUSTOMERS!$A:$F,6),"")</f>
        <v>N</v>
      </c>
      <c r="AU65" s="69">
        <f>IFERROR(VLOOKUP(A65,CUSTOMERS!$A:$E,4),"")</f>
        <v>-150</v>
      </c>
      <c r="AV65" s="68" t="str">
        <f t="shared" si="32"/>
        <v/>
      </c>
      <c r="AW65" s="70" t="str">
        <f t="shared" si="16"/>
        <v>descr65</v>
      </c>
      <c r="AX65" s="71" t="str">
        <f t="shared" si="17"/>
        <v>reason65</v>
      </c>
    </row>
    <row r="66" spans="1:50" s="73" customFormat="1" ht="40.5" hidden="1" customHeight="1">
      <c r="A66" s="120" t="s">
        <v>27</v>
      </c>
      <c r="B66" s="120" t="str">
        <f t="shared" si="22"/>
        <v>N</v>
      </c>
      <c r="C66" s="120"/>
      <c r="D66" s="121"/>
      <c r="E66" s="121"/>
      <c r="F66" s="122" t="str">
        <f t="shared" si="1"/>
        <v>PRD-BLG-2020-00000</v>
      </c>
      <c r="G66" s="207" t="s">
        <v>339</v>
      </c>
      <c r="H66" s="124" t="s">
        <v>463</v>
      </c>
      <c r="I66" s="239"/>
      <c r="J66" s="80">
        <f t="shared" si="2"/>
        <v>0</v>
      </c>
      <c r="K66" s="177">
        <f t="shared" si="30"/>
        <v>44091</v>
      </c>
      <c r="L66" s="141">
        <v>44091</v>
      </c>
      <c r="M66" s="142"/>
      <c r="N66" s="142"/>
      <c r="O66" s="142"/>
      <c r="P66" s="142"/>
      <c r="Q66" s="199" t="s">
        <v>18</v>
      </c>
      <c r="R66" s="199" t="s">
        <v>31</v>
      </c>
      <c r="S66" s="199"/>
      <c r="T66" s="199"/>
      <c r="U66" s="199"/>
      <c r="V66" s="199"/>
      <c r="W66" s="199"/>
      <c r="X66" s="144" t="s">
        <v>412</v>
      </c>
      <c r="Y66" s="173">
        <f t="shared" si="27"/>
        <v>0</v>
      </c>
      <c r="Z66" s="83">
        <f t="shared" si="5"/>
        <v>0</v>
      </c>
      <c r="AA66" s="84">
        <f t="shared" si="36"/>
        <v>0</v>
      </c>
      <c r="AB66" s="84">
        <f t="shared" si="26"/>
        <v>0</v>
      </c>
      <c r="AC66" s="84">
        <f t="shared" si="8"/>
        <v>0</v>
      </c>
      <c r="AD66" s="84"/>
      <c r="AE66" s="84">
        <f t="shared" si="20"/>
        <v>0</v>
      </c>
      <c r="AF66" s="84">
        <f t="shared" si="10"/>
        <v>0</v>
      </c>
      <c r="AG66" s="94">
        <f t="shared" si="21"/>
        <v>0</v>
      </c>
      <c r="AH66" s="85">
        <f>IFERROR(VLOOKUP(A66,CUSTOMERS!$A:$E,4),"")</f>
        <v>-150</v>
      </c>
      <c r="AI66" s="86" t="str">
        <f t="shared" si="37"/>
        <v/>
      </c>
      <c r="AJ66" s="87">
        <f>IFERROR(VLOOKUP(A66,CUSTOMERS!$A:$F,5),"")</f>
        <v>0</v>
      </c>
      <c r="AK66" s="96"/>
      <c r="AL66" s="96">
        <v>0</v>
      </c>
      <c r="AM66" s="96">
        <v>0</v>
      </c>
      <c r="AN66" s="96"/>
      <c r="AO66" s="96">
        <v>0</v>
      </c>
      <c r="AP66" s="102">
        <f t="shared" si="13"/>
        <v>0</v>
      </c>
      <c r="AQ66" s="102">
        <f t="shared" si="35"/>
        <v>0</v>
      </c>
      <c r="AR66" s="68" t="str">
        <f>IFERROR(VLOOKUP(A66,CUSTOMERS!$A:$B,2),"")</f>
        <v>PRD</v>
      </c>
      <c r="AS66" s="68" t="str">
        <f>IFERROR(VLOOKUP(A66,CUSTOMERS!$A:$D,3),"")</f>
        <v>BLG</v>
      </c>
      <c r="AT66" s="68" t="str">
        <f>IFERROR(VLOOKUP(A66,CUSTOMERS!$A:$F,6),"")</f>
        <v>N</v>
      </c>
      <c r="AU66" s="69">
        <f>IFERROR(VLOOKUP(A66,CUSTOMERS!$A:$E,4),"")</f>
        <v>-150</v>
      </c>
      <c r="AV66" s="68" t="str">
        <f t="shared" si="32"/>
        <v/>
      </c>
      <c r="AW66" s="70" t="str">
        <f t="shared" si="16"/>
        <v>descr66</v>
      </c>
      <c r="AX66" s="71" t="str">
        <f t="shared" si="17"/>
        <v>reason66</v>
      </c>
    </row>
    <row r="67" spans="1:50" ht="40.5" customHeight="1">
      <c r="A67" s="120" t="s">
        <v>27</v>
      </c>
      <c r="B67" s="120" t="str">
        <f t="shared" si="22"/>
        <v>N</v>
      </c>
      <c r="C67" s="120"/>
      <c r="D67" s="121">
        <v>7</v>
      </c>
      <c r="E67" s="121"/>
      <c r="F67" s="122" t="str">
        <f t="shared" si="1"/>
        <v>PRD-BLG-2020-00007</v>
      </c>
      <c r="G67" s="123" t="s">
        <v>291</v>
      </c>
      <c r="H67" s="124" t="s">
        <v>464</v>
      </c>
      <c r="I67" s="239"/>
      <c r="J67" s="80">
        <f t="shared" si="2"/>
        <v>0</v>
      </c>
      <c r="K67" s="177">
        <f t="shared" si="30"/>
        <v>43952</v>
      </c>
      <c r="L67" s="148">
        <v>43952</v>
      </c>
      <c r="M67" s="149"/>
      <c r="N67" s="150"/>
      <c r="O67" s="150"/>
      <c r="P67" s="150"/>
      <c r="Q67" s="200" t="s">
        <v>18</v>
      </c>
      <c r="R67" s="200" t="s">
        <v>31</v>
      </c>
      <c r="S67" s="200"/>
      <c r="T67" s="200"/>
      <c r="U67" s="200"/>
      <c r="V67" s="200"/>
      <c r="W67" s="200"/>
      <c r="X67" s="144"/>
      <c r="Y67" s="173">
        <f t="shared" si="27"/>
        <v>0</v>
      </c>
      <c r="Z67" s="83">
        <f t="shared" si="5"/>
        <v>0</v>
      </c>
      <c r="AA67" s="84">
        <f t="shared" si="36"/>
        <v>0</v>
      </c>
      <c r="AB67" s="84">
        <f t="shared" si="26"/>
        <v>0</v>
      </c>
      <c r="AC67" s="84">
        <f t="shared" si="8"/>
        <v>0</v>
      </c>
      <c r="AD67" s="84"/>
      <c r="AE67" s="84">
        <f t="shared" si="20"/>
        <v>0</v>
      </c>
      <c r="AF67" s="84">
        <f t="shared" ref="AF67:AF130" si="38">IFERROR(SUM(Z67:AE67),"")</f>
        <v>0</v>
      </c>
      <c r="AG67" s="94">
        <f t="shared" si="21"/>
        <v>0</v>
      </c>
      <c r="AH67" s="85">
        <f>IFERROR(VLOOKUP(A67,CUSTOMERS!$A:$E,4),"")</f>
        <v>-150</v>
      </c>
      <c r="AI67" s="86" t="str">
        <f t="shared" si="37"/>
        <v/>
      </c>
      <c r="AJ67" s="87">
        <f>IFERROR(VLOOKUP(A67,CUSTOMERS!$A:$F,5),"")</f>
        <v>0</v>
      </c>
      <c r="AK67" s="96"/>
      <c r="AL67" s="96">
        <v>0</v>
      </c>
      <c r="AM67" s="96">
        <v>0</v>
      </c>
      <c r="AN67" s="96"/>
      <c r="AO67" s="96">
        <v>0</v>
      </c>
      <c r="AP67" s="102">
        <f t="shared" si="13"/>
        <v>0</v>
      </c>
      <c r="AQ67" s="102">
        <f t="shared" si="35"/>
        <v>0</v>
      </c>
      <c r="AR67" s="68" t="str">
        <f>IFERROR(VLOOKUP(A67,CUSTOMERS!$A:$B,2),"")</f>
        <v>PRD</v>
      </c>
      <c r="AS67" s="68" t="str">
        <f>IFERROR(VLOOKUP(A67,CUSTOMERS!$A:$D,3),"")</f>
        <v>BLG</v>
      </c>
      <c r="AT67" s="68" t="str">
        <f>IFERROR(VLOOKUP(A67,CUSTOMERS!$A:$F,6),"")</f>
        <v>N</v>
      </c>
      <c r="AU67" s="69">
        <f>IFERROR(VLOOKUP(A67,CUSTOMERS!$A:$E,4),"")</f>
        <v>-150</v>
      </c>
      <c r="AV67" s="68" t="str">
        <f t="shared" si="32"/>
        <v/>
      </c>
      <c r="AW67" s="70" t="str">
        <f t="shared" si="16"/>
        <v>descr67</v>
      </c>
      <c r="AX67" s="71" t="str">
        <f t="shared" si="17"/>
        <v>reason67</v>
      </c>
    </row>
    <row r="68" spans="1:50" ht="40.5" hidden="1" customHeight="1">
      <c r="A68" s="120" t="s">
        <v>27</v>
      </c>
      <c r="B68" s="120" t="str">
        <f t="shared" si="22"/>
        <v>N</v>
      </c>
      <c r="C68" s="120"/>
      <c r="D68" s="121">
        <v>23</v>
      </c>
      <c r="E68" s="121"/>
      <c r="F68" s="122" t="str">
        <f t="shared" si="1"/>
        <v>PRD-BLG-2020-00023</v>
      </c>
      <c r="G68" s="123" t="s">
        <v>339</v>
      </c>
      <c r="H68" s="124" t="s">
        <v>38</v>
      </c>
      <c r="I68" s="239"/>
      <c r="J68" s="80">
        <f t="shared" si="2"/>
        <v>0</v>
      </c>
      <c r="K68" s="177">
        <f t="shared" si="30"/>
        <v>44131</v>
      </c>
      <c r="L68" s="141">
        <v>44131</v>
      </c>
      <c r="M68" s="142"/>
      <c r="N68" s="142"/>
      <c r="O68" s="142"/>
      <c r="P68" s="142"/>
      <c r="Q68" s="199" t="s">
        <v>15</v>
      </c>
      <c r="R68" s="199" t="s">
        <v>25</v>
      </c>
      <c r="S68" s="199" t="s">
        <v>313</v>
      </c>
      <c r="T68" s="199"/>
      <c r="U68" s="199"/>
      <c r="V68" s="199">
        <v>44356</v>
      </c>
      <c r="W68" s="199" t="s">
        <v>465</v>
      </c>
      <c r="X68" s="144" t="s">
        <v>466</v>
      </c>
      <c r="Y68" s="173">
        <f t="shared" si="27"/>
        <v>0</v>
      </c>
      <c r="Z68" s="83">
        <f t="shared" si="5"/>
        <v>0</v>
      </c>
      <c r="AA68" s="84">
        <f t="shared" si="36"/>
        <v>0</v>
      </c>
      <c r="AB68" s="84">
        <f t="shared" si="26"/>
        <v>0</v>
      </c>
      <c r="AC68" s="84">
        <f t="shared" si="8"/>
        <v>0</v>
      </c>
      <c r="AD68" s="84"/>
      <c r="AE68" s="84">
        <f t="shared" si="20"/>
        <v>0</v>
      </c>
      <c r="AF68" s="84">
        <f t="shared" si="38"/>
        <v>0</v>
      </c>
      <c r="AG68" s="94">
        <f t="shared" si="21"/>
        <v>0</v>
      </c>
      <c r="AH68" s="85">
        <f>IFERROR(VLOOKUP(A68,CUSTOMERS!$A:$E,4),"")</f>
        <v>-150</v>
      </c>
      <c r="AI68" s="86" t="str">
        <f t="shared" si="37"/>
        <v/>
      </c>
      <c r="AJ68" s="87">
        <f>IFERROR(VLOOKUP(A68,CUSTOMERS!$A:$F,5),"")</f>
        <v>0</v>
      </c>
      <c r="AK68" s="96"/>
      <c r="AL68" s="96">
        <v>0</v>
      </c>
      <c r="AM68" s="96">
        <v>0</v>
      </c>
      <c r="AN68" s="96"/>
      <c r="AO68" s="96">
        <v>0</v>
      </c>
      <c r="AP68" s="102">
        <f t="shared" si="13"/>
        <v>0</v>
      </c>
      <c r="AQ68" s="102">
        <f t="shared" si="35"/>
        <v>0</v>
      </c>
      <c r="AR68" s="68" t="str">
        <f>IFERROR(VLOOKUP(A68,CUSTOMERS!$A:$B,2),"")</f>
        <v>PRD</v>
      </c>
      <c r="AS68" s="68" t="str">
        <f>IFERROR(VLOOKUP(A68,CUSTOMERS!$A:$D,3),"")</f>
        <v>BLG</v>
      </c>
      <c r="AT68" s="68" t="str">
        <f>IFERROR(VLOOKUP(A68,CUSTOMERS!$A:$F,6),"")</f>
        <v>N</v>
      </c>
      <c r="AU68" s="69">
        <f>IFERROR(VLOOKUP(A68,CUSTOMERS!$A:$E,4),"")</f>
        <v>-150</v>
      </c>
      <c r="AV68" s="68" t="str">
        <f t="shared" si="32"/>
        <v/>
      </c>
      <c r="AW68" s="70" t="str">
        <f t="shared" si="16"/>
        <v>descr68</v>
      </c>
      <c r="AX68" s="71" t="str">
        <f t="shared" si="17"/>
        <v>reason68</v>
      </c>
    </row>
    <row r="69" spans="1:50" ht="40.5" customHeight="1">
      <c r="A69" s="120" t="s">
        <v>27</v>
      </c>
      <c r="B69" s="120" t="str">
        <f t="shared" si="22"/>
        <v>N</v>
      </c>
      <c r="C69" s="120"/>
      <c r="D69" s="121">
        <v>25</v>
      </c>
      <c r="E69" s="121"/>
      <c r="F69" s="122" t="str">
        <f t="shared" ref="F69:F133" si="39">IF(AS69&lt;&gt;"",_xlfn.CONCAT(AR69,"-",AS69,"-",IF(L69&lt;&gt;"",TEXT(L69,"yyyy"),"0000"),"-",REPT(0,5-LEN(D69))&amp;D69),"")</f>
        <v>PRD-BLG-0000-00025</v>
      </c>
      <c r="G69" s="123" t="s">
        <v>35</v>
      </c>
      <c r="H69" s="124" t="s">
        <v>40</v>
      </c>
      <c r="I69" s="239"/>
      <c r="J69" s="80">
        <f t="shared" si="2"/>
        <v>0</v>
      </c>
      <c r="K69" s="177">
        <f t="shared" si="30"/>
        <v>0</v>
      </c>
      <c r="L69" s="141"/>
      <c r="M69" s="142"/>
      <c r="N69" s="142"/>
      <c r="O69" s="142"/>
      <c r="P69" s="142"/>
      <c r="Q69" s="199" t="s">
        <v>18</v>
      </c>
      <c r="R69" s="199" t="s">
        <v>31</v>
      </c>
      <c r="S69" s="199" t="s">
        <v>313</v>
      </c>
      <c r="T69" s="199" t="s">
        <v>455</v>
      </c>
      <c r="U69" s="199" t="s">
        <v>450</v>
      </c>
      <c r="V69" s="199"/>
      <c r="W69" s="199"/>
      <c r="X69" s="144" t="s">
        <v>467</v>
      </c>
      <c r="Y69" s="173">
        <f t="shared" si="27"/>
        <v>0</v>
      </c>
      <c r="Z69" s="83">
        <f t="shared" si="5"/>
        <v>0</v>
      </c>
      <c r="AA69" s="84">
        <f t="shared" si="36"/>
        <v>0</v>
      </c>
      <c r="AB69" s="84">
        <f t="shared" si="26"/>
        <v>0</v>
      </c>
      <c r="AC69" s="84">
        <f t="shared" si="8"/>
        <v>0</v>
      </c>
      <c r="AD69" s="84"/>
      <c r="AE69" s="84">
        <f t="shared" si="20"/>
        <v>0</v>
      </c>
      <c r="AF69" s="84">
        <f t="shared" si="38"/>
        <v>0</v>
      </c>
      <c r="AG69" s="94">
        <f t="shared" si="21"/>
        <v>0</v>
      </c>
      <c r="AH69" s="85">
        <f>IFERROR(VLOOKUP(A69,CUSTOMERS!$A:$E,4),"")</f>
        <v>-150</v>
      </c>
      <c r="AI69" s="86" t="str">
        <f t="shared" si="37"/>
        <v/>
      </c>
      <c r="AJ69" s="87">
        <f>IFERROR(VLOOKUP(A69,CUSTOMERS!$A:$F,5),"")</f>
        <v>0</v>
      </c>
      <c r="AK69" s="96"/>
      <c r="AL69" s="96">
        <v>0</v>
      </c>
      <c r="AM69" s="96">
        <v>0</v>
      </c>
      <c r="AN69" s="96"/>
      <c r="AO69" s="96">
        <v>0</v>
      </c>
      <c r="AP69" s="102">
        <f t="shared" si="13"/>
        <v>0</v>
      </c>
      <c r="AQ69" s="102">
        <f t="shared" si="35"/>
        <v>0</v>
      </c>
      <c r="AR69" s="68" t="str">
        <f>IFERROR(VLOOKUP(A69,CUSTOMERS!$A:$B,2),"")</f>
        <v>PRD</v>
      </c>
      <c r="AS69" s="68" t="str">
        <f>IFERROR(VLOOKUP(A69,CUSTOMERS!$A:$D,3),"")</f>
        <v>BLG</v>
      </c>
      <c r="AT69" s="68" t="str">
        <f>IFERROR(VLOOKUP(A69,CUSTOMERS!$A:$F,6),"")</f>
        <v>N</v>
      </c>
      <c r="AU69" s="69">
        <f>IFERROR(VLOOKUP(A69,CUSTOMERS!$A:$E,4),"")</f>
        <v>-150</v>
      </c>
      <c r="AV69" s="68" t="str">
        <f t="shared" si="32"/>
        <v/>
      </c>
      <c r="AW69" s="70" t="str">
        <f>"descr"&amp;ROW()</f>
        <v>descr69</v>
      </c>
      <c r="AX69" s="71" t="str">
        <f t="shared" si="17"/>
        <v>reason69</v>
      </c>
    </row>
    <row r="70" spans="1:50" ht="40.5" hidden="1" customHeight="1">
      <c r="A70" s="120" t="s">
        <v>27</v>
      </c>
      <c r="B70" s="120" t="str">
        <f t="shared" si="22"/>
        <v>N</v>
      </c>
      <c r="C70" s="120"/>
      <c r="D70" s="121">
        <v>18</v>
      </c>
      <c r="E70" s="121"/>
      <c r="F70" s="122" t="str">
        <f t="shared" si="39"/>
        <v>PRD-BLG-2020-00018</v>
      </c>
      <c r="G70" s="207" t="s">
        <v>339</v>
      </c>
      <c r="H70" s="124" t="s">
        <v>468</v>
      </c>
      <c r="I70" s="239"/>
      <c r="J70" s="80">
        <f t="shared" si="2"/>
        <v>0</v>
      </c>
      <c r="K70" s="177">
        <f t="shared" si="30"/>
        <v>44070</v>
      </c>
      <c r="L70" s="141">
        <v>44070</v>
      </c>
      <c r="M70" s="142"/>
      <c r="N70" s="142"/>
      <c r="O70" s="142"/>
      <c r="P70" s="142"/>
      <c r="Q70" s="200" t="s">
        <v>18</v>
      </c>
      <c r="R70" s="199" t="s">
        <v>31</v>
      </c>
      <c r="S70" s="199"/>
      <c r="T70" s="199"/>
      <c r="U70" s="199"/>
      <c r="V70" s="199"/>
      <c r="W70" s="199"/>
      <c r="X70" s="144" t="s">
        <v>469</v>
      </c>
      <c r="Y70" s="173">
        <f t="shared" si="27"/>
        <v>0</v>
      </c>
      <c r="Z70" s="83">
        <f t="shared" si="5"/>
        <v>0</v>
      </c>
      <c r="AA70" s="84">
        <f t="shared" si="36"/>
        <v>0</v>
      </c>
      <c r="AB70" s="84">
        <f t="shared" si="26"/>
        <v>0</v>
      </c>
      <c r="AC70" s="84">
        <f t="shared" si="8"/>
        <v>0</v>
      </c>
      <c r="AD70" s="84"/>
      <c r="AE70" s="84">
        <f t="shared" si="20"/>
        <v>0</v>
      </c>
      <c r="AF70" s="84">
        <f t="shared" si="38"/>
        <v>0</v>
      </c>
      <c r="AG70" s="94">
        <f t="shared" si="21"/>
        <v>0</v>
      </c>
      <c r="AH70" s="85">
        <f>IFERROR(VLOOKUP(A70,CUSTOMERS!$A:$E,4),"")</f>
        <v>-150</v>
      </c>
      <c r="AI70" s="86" t="str">
        <f t="shared" si="37"/>
        <v/>
      </c>
      <c r="AJ70" s="87">
        <f>IFERROR(VLOOKUP(A70,CUSTOMERS!$A:$F,5),"")</f>
        <v>0</v>
      </c>
      <c r="AK70" s="96"/>
      <c r="AL70" s="96">
        <v>0</v>
      </c>
      <c r="AM70" s="96">
        <v>0</v>
      </c>
      <c r="AN70" s="96"/>
      <c r="AO70" s="96">
        <v>0</v>
      </c>
      <c r="AP70" s="102">
        <f t="shared" si="13"/>
        <v>0</v>
      </c>
      <c r="AQ70" s="102">
        <f t="shared" si="35"/>
        <v>0</v>
      </c>
      <c r="AR70" s="68" t="str">
        <f>IFERROR(VLOOKUP(A70,CUSTOMERS!$A:$B,2),"")</f>
        <v>PRD</v>
      </c>
      <c r="AS70" s="68" t="str">
        <f>IFERROR(VLOOKUP(A70,CUSTOMERS!$A:$D,3),"")</f>
        <v>BLG</v>
      </c>
      <c r="AT70" s="68" t="str">
        <f>IFERROR(VLOOKUP(A70,CUSTOMERS!$A:$F,6),"")</f>
        <v>N</v>
      </c>
      <c r="AU70" s="69">
        <f>IFERROR(VLOOKUP(A70,CUSTOMERS!$A:$E,4),"")</f>
        <v>-150</v>
      </c>
      <c r="AV70" s="68" t="str">
        <f t="shared" si="32"/>
        <v/>
      </c>
      <c r="AW70" s="70" t="str">
        <f t="shared" ref="AW70:AW91" si="40">"descr"&amp;ROW()</f>
        <v>descr70</v>
      </c>
      <c r="AX70" s="71" t="str">
        <f t="shared" si="17"/>
        <v>reason70</v>
      </c>
    </row>
    <row r="71" spans="1:50" ht="40.5" customHeight="1">
      <c r="A71" s="120" t="s">
        <v>27</v>
      </c>
      <c r="B71" s="120" t="str">
        <f t="shared" si="22"/>
        <v>N</v>
      </c>
      <c r="C71" s="120"/>
      <c r="D71" s="121">
        <v>20</v>
      </c>
      <c r="E71" s="121"/>
      <c r="F71" s="122" t="str">
        <f t="shared" si="39"/>
        <v>PRD-BLG-2020-00020</v>
      </c>
      <c r="G71" s="123" t="s">
        <v>291</v>
      </c>
      <c r="H71" s="124" t="s">
        <v>470</v>
      </c>
      <c r="I71" s="239"/>
      <c r="J71" s="80">
        <f t="shared" si="2"/>
        <v>0</v>
      </c>
      <c r="K71" s="177">
        <f t="shared" si="30"/>
        <v>44070</v>
      </c>
      <c r="L71" s="141">
        <v>44070</v>
      </c>
      <c r="M71" s="142"/>
      <c r="N71" s="142"/>
      <c r="O71" s="142"/>
      <c r="P71" s="142"/>
      <c r="Q71" s="199" t="s">
        <v>291</v>
      </c>
      <c r="R71" s="199" t="s">
        <v>31</v>
      </c>
      <c r="S71" s="199"/>
      <c r="T71" s="199"/>
      <c r="U71" s="199"/>
      <c r="V71" s="199"/>
      <c r="W71" s="199"/>
      <c r="X71" s="144" t="s">
        <v>469</v>
      </c>
      <c r="Y71" s="173">
        <f t="shared" si="27"/>
        <v>0</v>
      </c>
      <c r="Z71" s="83">
        <f t="shared" si="5"/>
        <v>0</v>
      </c>
      <c r="AA71" s="84">
        <f t="shared" si="36"/>
        <v>0</v>
      </c>
      <c r="AB71" s="84">
        <f t="shared" si="26"/>
        <v>0</v>
      </c>
      <c r="AC71" s="84">
        <f t="shared" si="8"/>
        <v>0</v>
      </c>
      <c r="AD71" s="84"/>
      <c r="AE71" s="84">
        <f t="shared" si="20"/>
        <v>0</v>
      </c>
      <c r="AF71" s="84">
        <f t="shared" si="38"/>
        <v>0</v>
      </c>
      <c r="AG71" s="94">
        <f t="shared" si="21"/>
        <v>0</v>
      </c>
      <c r="AH71" s="85">
        <f>IFERROR(VLOOKUP(A71,CUSTOMERS!$A:$E,4),"")</f>
        <v>-150</v>
      </c>
      <c r="AI71" s="86" t="str">
        <f t="shared" si="37"/>
        <v/>
      </c>
      <c r="AJ71" s="87">
        <f>IFERROR(VLOOKUP(A71,CUSTOMERS!$A:$F,5),"")</f>
        <v>0</v>
      </c>
      <c r="AK71" s="96"/>
      <c r="AL71" s="96">
        <v>0</v>
      </c>
      <c r="AM71" s="96">
        <v>0</v>
      </c>
      <c r="AN71" s="96"/>
      <c r="AO71" s="96">
        <v>0</v>
      </c>
      <c r="AP71" s="102">
        <f t="shared" si="13"/>
        <v>0</v>
      </c>
      <c r="AQ71" s="102">
        <f t="shared" si="35"/>
        <v>0</v>
      </c>
      <c r="AR71" s="68" t="str">
        <f>IFERROR(VLOOKUP(A71,CUSTOMERS!$A:$B,2),"")</f>
        <v>PRD</v>
      </c>
      <c r="AS71" s="68" t="str">
        <f>IFERROR(VLOOKUP(A71,CUSTOMERS!$A:$D,3),"")</f>
        <v>BLG</v>
      </c>
      <c r="AT71" s="68" t="str">
        <f>IFERROR(VLOOKUP(A71,CUSTOMERS!$A:$F,6),"")</f>
        <v>N</v>
      </c>
      <c r="AU71" s="69">
        <f>IFERROR(VLOOKUP(A71,CUSTOMERS!$A:$E,4),"")</f>
        <v>-150</v>
      </c>
      <c r="AV71" s="68" t="str">
        <f t="shared" si="32"/>
        <v/>
      </c>
      <c r="AW71" s="70" t="str">
        <f t="shared" si="40"/>
        <v>descr71</v>
      </c>
      <c r="AX71" s="71" t="str">
        <f t="shared" si="17"/>
        <v>reason71</v>
      </c>
    </row>
    <row r="72" spans="1:50" ht="40.5" hidden="1" customHeight="1">
      <c r="A72" s="120" t="s">
        <v>27</v>
      </c>
      <c r="B72" s="120" t="str">
        <f t="shared" si="22"/>
        <v>N</v>
      </c>
      <c r="C72" s="120"/>
      <c r="D72" s="121">
        <v>33665</v>
      </c>
      <c r="E72" s="121"/>
      <c r="F72" s="122" t="str">
        <f t="shared" si="39"/>
        <v>PRD-BLG-2020-33665</v>
      </c>
      <c r="G72" s="207" t="s">
        <v>339</v>
      </c>
      <c r="H72" s="124" t="s">
        <v>471</v>
      </c>
      <c r="I72" s="239"/>
      <c r="J72" s="80">
        <f t="shared" si="2"/>
        <v>0</v>
      </c>
      <c r="K72" s="177">
        <v>44152</v>
      </c>
      <c r="L72" s="141">
        <v>44083</v>
      </c>
      <c r="M72" s="142"/>
      <c r="N72" s="142"/>
      <c r="O72" s="142"/>
      <c r="P72" s="142"/>
      <c r="Q72" s="199" t="s">
        <v>15</v>
      </c>
      <c r="R72" s="199" t="s">
        <v>31</v>
      </c>
      <c r="S72" s="199"/>
      <c r="T72" s="199"/>
      <c r="U72" s="199"/>
      <c r="V72" s="199"/>
      <c r="W72" s="199"/>
      <c r="X72" s="144" t="s">
        <v>472</v>
      </c>
      <c r="Y72" s="173">
        <f t="shared" si="27"/>
        <v>0</v>
      </c>
      <c r="Z72" s="83">
        <f t="shared" si="5"/>
        <v>0</v>
      </c>
      <c r="AA72" s="84">
        <f t="shared" si="36"/>
        <v>0</v>
      </c>
      <c r="AB72" s="84">
        <f t="shared" si="26"/>
        <v>0</v>
      </c>
      <c r="AC72" s="84">
        <f t="shared" si="8"/>
        <v>0</v>
      </c>
      <c r="AD72" s="84"/>
      <c r="AE72" s="84">
        <f t="shared" si="20"/>
        <v>0</v>
      </c>
      <c r="AF72" s="84">
        <f t="shared" si="38"/>
        <v>0</v>
      </c>
      <c r="AG72" s="94">
        <f t="shared" si="21"/>
        <v>0</v>
      </c>
      <c r="AH72" s="85">
        <f>IFERROR(VLOOKUP(A72,CUSTOMERS!$A:$E,4),"")</f>
        <v>-150</v>
      </c>
      <c r="AI72" s="86" t="str">
        <f t="shared" si="37"/>
        <v/>
      </c>
      <c r="AJ72" s="87">
        <f>IFERROR(VLOOKUP(A72,CUSTOMERS!$A:$F,5),"")</f>
        <v>0</v>
      </c>
      <c r="AK72" s="96"/>
      <c r="AL72" s="96">
        <v>0</v>
      </c>
      <c r="AM72" s="96">
        <v>0</v>
      </c>
      <c r="AN72" s="96"/>
      <c r="AO72" s="96">
        <v>0</v>
      </c>
      <c r="AP72" s="102">
        <f t="shared" si="13"/>
        <v>0</v>
      </c>
      <c r="AQ72" s="102">
        <f t="shared" si="35"/>
        <v>0</v>
      </c>
      <c r="AR72" s="68" t="str">
        <f>IFERROR(VLOOKUP(A72,CUSTOMERS!$A:$B,2),"")</f>
        <v>PRD</v>
      </c>
      <c r="AS72" s="68" t="str">
        <f>IFERROR(VLOOKUP(A72,CUSTOMERS!$A:$D,3),"")</f>
        <v>BLG</v>
      </c>
      <c r="AT72" s="68" t="str">
        <f>IFERROR(VLOOKUP(A72,CUSTOMERS!$A:$F,6),"")</f>
        <v>N</v>
      </c>
      <c r="AU72" s="69">
        <f>IFERROR(VLOOKUP(A72,CUSTOMERS!$A:$E,4),"")</f>
        <v>-150</v>
      </c>
      <c r="AV72" s="68" t="str">
        <f t="shared" si="32"/>
        <v/>
      </c>
      <c r="AW72" s="70" t="str">
        <f t="shared" si="40"/>
        <v>descr72</v>
      </c>
      <c r="AX72" s="71" t="str">
        <f t="shared" si="17"/>
        <v>reason72</v>
      </c>
    </row>
    <row r="73" spans="1:50" ht="40.5" hidden="1" customHeight="1">
      <c r="A73" s="120" t="s">
        <v>27</v>
      </c>
      <c r="B73" s="120" t="str">
        <f t="shared" si="22"/>
        <v>N</v>
      </c>
      <c r="C73" s="120"/>
      <c r="D73" s="121"/>
      <c r="E73" s="121"/>
      <c r="F73" s="122" t="str">
        <f t="shared" si="39"/>
        <v>PRD-BLG-2020-00000</v>
      </c>
      <c r="G73" s="207" t="s">
        <v>339</v>
      </c>
      <c r="H73" s="124" t="s">
        <v>473</v>
      </c>
      <c r="I73" s="239"/>
      <c r="J73" s="80">
        <f t="shared" si="2"/>
        <v>0</v>
      </c>
      <c r="K73" s="177">
        <v>44152</v>
      </c>
      <c r="L73" s="141">
        <v>44083</v>
      </c>
      <c r="M73" s="142"/>
      <c r="N73" s="142"/>
      <c r="O73" s="142"/>
      <c r="P73" s="142"/>
      <c r="Q73" s="199" t="s">
        <v>15</v>
      </c>
      <c r="R73" s="199" t="s">
        <v>31</v>
      </c>
      <c r="S73" s="199"/>
      <c r="T73" s="199"/>
      <c r="U73" s="199"/>
      <c r="V73" s="199"/>
      <c r="W73" s="199"/>
      <c r="X73" s="144" t="s">
        <v>474</v>
      </c>
      <c r="Y73" s="173">
        <f t="shared" si="27"/>
        <v>0</v>
      </c>
      <c r="Z73" s="83">
        <f t="shared" si="5"/>
        <v>0</v>
      </c>
      <c r="AA73" s="84">
        <f t="shared" si="36"/>
        <v>0</v>
      </c>
      <c r="AB73" s="84">
        <f t="shared" si="26"/>
        <v>0</v>
      </c>
      <c r="AC73" s="84">
        <f t="shared" si="8"/>
        <v>0</v>
      </c>
      <c r="AD73" s="84"/>
      <c r="AE73" s="84">
        <f t="shared" si="20"/>
        <v>0</v>
      </c>
      <c r="AF73" s="84">
        <f t="shared" si="38"/>
        <v>0</v>
      </c>
      <c r="AG73" s="94">
        <f t="shared" si="21"/>
        <v>0</v>
      </c>
      <c r="AH73" s="85">
        <f>IFERROR(VLOOKUP(A73,CUSTOMERS!$A:$E,4),"")</f>
        <v>-150</v>
      </c>
      <c r="AI73" s="86" t="str">
        <f t="shared" si="37"/>
        <v/>
      </c>
      <c r="AJ73" s="87">
        <f>IFERROR(VLOOKUP(A73,CUSTOMERS!$A:$F,5),"")</f>
        <v>0</v>
      </c>
      <c r="AK73" s="96"/>
      <c r="AL73" s="96">
        <v>0</v>
      </c>
      <c r="AM73" s="96">
        <v>0</v>
      </c>
      <c r="AN73" s="96"/>
      <c r="AO73" s="96">
        <v>0</v>
      </c>
      <c r="AP73" s="102">
        <f t="shared" si="13"/>
        <v>0</v>
      </c>
      <c r="AQ73" s="102">
        <f t="shared" si="35"/>
        <v>0</v>
      </c>
      <c r="AR73" s="68" t="str">
        <f>IFERROR(VLOOKUP(A73,CUSTOMERS!$A:$B,2),"")</f>
        <v>PRD</v>
      </c>
      <c r="AS73" s="68" t="str">
        <f>IFERROR(VLOOKUP(A73,CUSTOMERS!$A:$D,3),"")</f>
        <v>BLG</v>
      </c>
      <c r="AT73" s="68" t="str">
        <f>IFERROR(VLOOKUP(A73,CUSTOMERS!$A:$F,6),"")</f>
        <v>N</v>
      </c>
      <c r="AU73" s="69">
        <f>IFERROR(VLOOKUP(A73,CUSTOMERS!$A:$E,4),"")</f>
        <v>-150</v>
      </c>
      <c r="AV73" s="68" t="str">
        <f t="shared" si="32"/>
        <v/>
      </c>
      <c r="AW73" s="70" t="str">
        <f t="shared" si="40"/>
        <v>descr73</v>
      </c>
      <c r="AX73" s="71" t="str">
        <f t="shared" si="17"/>
        <v>reason73</v>
      </c>
    </row>
    <row r="74" spans="1:50" ht="40.5" hidden="1" customHeight="1">
      <c r="A74" s="120" t="s">
        <v>27</v>
      </c>
      <c r="B74" s="120" t="str">
        <f t="shared" si="22"/>
        <v>N</v>
      </c>
      <c r="C74" s="120"/>
      <c r="D74" s="121">
        <v>33669</v>
      </c>
      <c r="E74" s="121"/>
      <c r="F74" s="122" t="str">
        <f t="shared" si="39"/>
        <v>PRD-BLG-2020-33669</v>
      </c>
      <c r="G74" s="123" t="s">
        <v>339</v>
      </c>
      <c r="H74" s="124" t="s">
        <v>475</v>
      </c>
      <c r="I74" s="239"/>
      <c r="J74" s="80">
        <f t="shared" si="2"/>
        <v>0</v>
      </c>
      <c r="K74" s="177">
        <f>MAX(L74:R74)</f>
        <v>44098</v>
      </c>
      <c r="L74" s="141">
        <v>44098</v>
      </c>
      <c r="M74" s="142"/>
      <c r="N74" s="142"/>
      <c r="O74" s="142"/>
      <c r="P74" s="142"/>
      <c r="Q74" s="199" t="s">
        <v>15</v>
      </c>
      <c r="R74" s="199" t="s">
        <v>31</v>
      </c>
      <c r="S74" s="199"/>
      <c r="T74" s="199"/>
      <c r="U74" s="199"/>
      <c r="V74" s="199"/>
      <c r="W74" s="199"/>
      <c r="X74" s="144" t="s">
        <v>476</v>
      </c>
      <c r="Y74" s="173">
        <f t="shared" si="27"/>
        <v>0</v>
      </c>
      <c r="Z74" s="83">
        <f t="shared" si="5"/>
        <v>0</v>
      </c>
      <c r="AA74" s="84">
        <f t="shared" si="36"/>
        <v>0</v>
      </c>
      <c r="AB74" s="84">
        <f t="shared" si="26"/>
        <v>0</v>
      </c>
      <c r="AC74" s="84">
        <f t="shared" si="8"/>
        <v>0</v>
      </c>
      <c r="AD74" s="84"/>
      <c r="AE74" s="84">
        <f t="shared" si="20"/>
        <v>0</v>
      </c>
      <c r="AF74" s="84">
        <f t="shared" si="38"/>
        <v>0</v>
      </c>
      <c r="AG74" s="94">
        <f t="shared" si="21"/>
        <v>0</v>
      </c>
      <c r="AH74" s="85">
        <f>IFERROR(VLOOKUP(A74,CUSTOMERS!$A:$E,4),"")</f>
        <v>-150</v>
      </c>
      <c r="AI74" s="86" t="str">
        <f t="shared" si="37"/>
        <v/>
      </c>
      <c r="AJ74" s="87">
        <f>IFERROR(VLOOKUP(A74,CUSTOMERS!$A:$F,5),"")</f>
        <v>0</v>
      </c>
      <c r="AK74" s="96"/>
      <c r="AL74" s="96">
        <v>0</v>
      </c>
      <c r="AM74" s="96">
        <v>0</v>
      </c>
      <c r="AN74" s="96"/>
      <c r="AO74" s="96">
        <v>0</v>
      </c>
      <c r="AP74" s="102">
        <f t="shared" si="13"/>
        <v>0</v>
      </c>
      <c r="AQ74" s="102">
        <f t="shared" si="35"/>
        <v>0</v>
      </c>
      <c r="AR74" s="68" t="str">
        <f>IFERROR(VLOOKUP(A74,CUSTOMERS!$A:$B,2),"")</f>
        <v>PRD</v>
      </c>
      <c r="AS74" s="68" t="str">
        <f>IFERROR(VLOOKUP(A74,CUSTOMERS!$A:$D,3),"")</f>
        <v>BLG</v>
      </c>
      <c r="AT74" s="68" t="str">
        <f>IFERROR(VLOOKUP(A74,CUSTOMERS!$A:$F,6),"")</f>
        <v>N</v>
      </c>
      <c r="AU74" s="69">
        <f>IFERROR(VLOOKUP(A74,CUSTOMERS!$A:$E,4),"")</f>
        <v>-150</v>
      </c>
      <c r="AV74" s="68" t="str">
        <f t="shared" si="32"/>
        <v/>
      </c>
      <c r="AW74" s="70" t="str">
        <f t="shared" si="40"/>
        <v>descr74</v>
      </c>
      <c r="AX74" s="71" t="str">
        <f t="shared" si="17"/>
        <v>reason74</v>
      </c>
    </row>
    <row r="75" spans="1:50" ht="40.5" customHeight="1">
      <c r="A75" s="120" t="s">
        <v>27</v>
      </c>
      <c r="B75" s="120" t="str">
        <f t="shared" si="22"/>
        <v>N</v>
      </c>
      <c r="C75" s="120"/>
      <c r="D75" s="121">
        <v>27428</v>
      </c>
      <c r="E75" s="121"/>
      <c r="F75" s="122" t="str">
        <f t="shared" si="39"/>
        <v>PRD-BLG-2020-27428</v>
      </c>
      <c r="G75" s="123" t="s">
        <v>291</v>
      </c>
      <c r="H75" s="124" t="s">
        <v>477</v>
      </c>
      <c r="I75" s="239"/>
      <c r="J75" s="80">
        <f t="shared" si="2"/>
        <v>0</v>
      </c>
      <c r="K75" s="177">
        <v>44152</v>
      </c>
      <c r="L75" s="141">
        <v>44098</v>
      </c>
      <c r="M75" s="142"/>
      <c r="N75" s="142"/>
      <c r="O75" s="142"/>
      <c r="P75" s="142"/>
      <c r="Q75" s="199" t="s">
        <v>15</v>
      </c>
      <c r="R75" s="199" t="s">
        <v>31</v>
      </c>
      <c r="S75" s="199"/>
      <c r="T75" s="199"/>
      <c r="U75" s="199"/>
      <c r="V75" s="199"/>
      <c r="W75" s="199"/>
      <c r="X75" s="144" t="s">
        <v>474</v>
      </c>
      <c r="Y75" s="173">
        <f t="shared" si="27"/>
        <v>0</v>
      </c>
      <c r="Z75" s="83">
        <f t="shared" si="5"/>
        <v>0</v>
      </c>
      <c r="AA75" s="84">
        <f t="shared" si="36"/>
        <v>0</v>
      </c>
      <c r="AB75" s="84">
        <f t="shared" si="26"/>
        <v>0</v>
      </c>
      <c r="AC75" s="84">
        <f t="shared" si="8"/>
        <v>0</v>
      </c>
      <c r="AD75" s="84"/>
      <c r="AE75" s="84">
        <f t="shared" si="20"/>
        <v>0</v>
      </c>
      <c r="AF75" s="84">
        <f t="shared" si="38"/>
        <v>0</v>
      </c>
      <c r="AG75" s="94">
        <f t="shared" si="21"/>
        <v>0</v>
      </c>
      <c r="AH75" s="85">
        <f>IFERROR(VLOOKUP(A75,CUSTOMERS!$A:$E,4),"")</f>
        <v>-150</v>
      </c>
      <c r="AI75" s="86" t="str">
        <f t="shared" si="37"/>
        <v/>
      </c>
      <c r="AJ75" s="87">
        <f>IFERROR(VLOOKUP(A75,CUSTOMERS!$A:$F,5),"")</f>
        <v>0</v>
      </c>
      <c r="AK75" s="96"/>
      <c r="AL75" s="96">
        <v>0</v>
      </c>
      <c r="AM75" s="96">
        <v>0</v>
      </c>
      <c r="AN75" s="96"/>
      <c r="AO75" s="96">
        <v>0</v>
      </c>
      <c r="AP75" s="102">
        <f t="shared" si="13"/>
        <v>0</v>
      </c>
      <c r="AQ75" s="102">
        <f t="shared" si="35"/>
        <v>0</v>
      </c>
      <c r="AR75" s="68" t="str">
        <f>IFERROR(VLOOKUP(A75,CUSTOMERS!$A:$B,2),"")</f>
        <v>PRD</v>
      </c>
      <c r="AS75" s="68" t="str">
        <f>IFERROR(VLOOKUP(A75,CUSTOMERS!$A:$D,3),"")</f>
        <v>BLG</v>
      </c>
      <c r="AT75" s="68" t="str">
        <f>IFERROR(VLOOKUP(A75,CUSTOMERS!$A:$F,6),"")</f>
        <v>N</v>
      </c>
      <c r="AU75" s="69">
        <f>IFERROR(VLOOKUP(A75,CUSTOMERS!$A:$E,4),"")</f>
        <v>-150</v>
      </c>
      <c r="AV75" s="68" t="str">
        <f t="shared" si="32"/>
        <v/>
      </c>
      <c r="AW75" s="70" t="str">
        <f t="shared" si="40"/>
        <v>descr75</v>
      </c>
      <c r="AX75" s="71" t="str">
        <f t="shared" si="17"/>
        <v>reason75</v>
      </c>
    </row>
    <row r="76" spans="1:50" ht="40.5" customHeight="1">
      <c r="A76" s="120" t="s">
        <v>27</v>
      </c>
      <c r="B76" s="120" t="str">
        <f t="shared" si="22"/>
        <v>N</v>
      </c>
      <c r="C76" s="120"/>
      <c r="D76" s="121"/>
      <c r="E76" s="121"/>
      <c r="F76" s="122" t="str">
        <f t="shared" si="39"/>
        <v>PRD-BLG-2020-00000</v>
      </c>
      <c r="G76" s="123" t="s">
        <v>35</v>
      </c>
      <c r="H76" s="124" t="s">
        <v>41</v>
      </c>
      <c r="I76" s="239"/>
      <c r="J76" s="80">
        <f t="shared" si="2"/>
        <v>0</v>
      </c>
      <c r="K76" s="177">
        <f t="shared" ref="K76:K115" si="41">MAX(L76:R76)</f>
        <v>44153</v>
      </c>
      <c r="L76" s="141">
        <v>44153</v>
      </c>
      <c r="M76" s="142"/>
      <c r="N76" s="142"/>
      <c r="O76" s="142"/>
      <c r="P76" s="142"/>
      <c r="Q76" s="199" t="s">
        <v>15</v>
      </c>
      <c r="R76" s="199" t="s">
        <v>42</v>
      </c>
      <c r="S76" s="199" t="s">
        <v>311</v>
      </c>
      <c r="T76" s="199"/>
      <c r="U76" s="199"/>
      <c r="V76" s="199"/>
      <c r="W76" s="199"/>
      <c r="X76" s="144" t="s">
        <v>478</v>
      </c>
      <c r="Y76" s="173">
        <f t="shared" si="27"/>
        <v>0</v>
      </c>
      <c r="Z76" s="83">
        <f t="shared" si="5"/>
        <v>0</v>
      </c>
      <c r="AA76" s="84">
        <f t="shared" si="36"/>
        <v>0</v>
      </c>
      <c r="AB76" s="84">
        <f t="shared" si="26"/>
        <v>0</v>
      </c>
      <c r="AC76" s="84">
        <f t="shared" si="8"/>
        <v>0</v>
      </c>
      <c r="AD76" s="84"/>
      <c r="AE76" s="84">
        <f t="shared" si="20"/>
        <v>0</v>
      </c>
      <c r="AF76" s="84">
        <f t="shared" si="38"/>
        <v>0</v>
      </c>
      <c r="AG76" s="94">
        <f t="shared" si="21"/>
        <v>0</v>
      </c>
      <c r="AH76" s="85">
        <f>IFERROR(VLOOKUP(A76,CUSTOMERS!$A:$E,4),"")</f>
        <v>-150</v>
      </c>
      <c r="AI76" s="86" t="str">
        <f t="shared" si="37"/>
        <v/>
      </c>
      <c r="AJ76" s="87">
        <f>IFERROR(VLOOKUP(A76,CUSTOMERS!$A:$F,5),"")</f>
        <v>0</v>
      </c>
      <c r="AK76" s="96"/>
      <c r="AL76" s="96">
        <v>0</v>
      </c>
      <c r="AM76" s="96">
        <v>0</v>
      </c>
      <c r="AN76" s="96"/>
      <c r="AO76" s="96">
        <v>0</v>
      </c>
      <c r="AP76" s="103">
        <f t="shared" si="13"/>
        <v>0</v>
      </c>
      <c r="AQ76" s="103">
        <f t="shared" si="35"/>
        <v>0</v>
      </c>
      <c r="AR76" s="68" t="str">
        <f>IFERROR(VLOOKUP(A76,CUSTOMERS!$A:$B,2),"")</f>
        <v>PRD</v>
      </c>
      <c r="AS76" s="68" t="str">
        <f>IFERROR(VLOOKUP(A76,CUSTOMERS!$A:$D,3),"")</f>
        <v>BLG</v>
      </c>
      <c r="AT76" s="68" t="str">
        <f>IFERROR(VLOOKUP(A76,CUSTOMERS!$A:$F,6),"")</f>
        <v>N</v>
      </c>
      <c r="AU76" s="69">
        <f>IFERROR(VLOOKUP(A76,CUSTOMERS!$A:$E,4),"")</f>
        <v>-150</v>
      </c>
      <c r="AV76" s="68" t="str">
        <f t="shared" si="32"/>
        <v/>
      </c>
      <c r="AW76" s="74" t="s">
        <v>479</v>
      </c>
      <c r="AX76" s="75" t="s">
        <v>480</v>
      </c>
    </row>
    <row r="77" spans="1:50" ht="40.5" customHeight="1">
      <c r="A77" s="120" t="s">
        <v>27</v>
      </c>
      <c r="B77" s="120" t="str">
        <f t="shared" si="22"/>
        <v>N</v>
      </c>
      <c r="C77" s="120"/>
      <c r="D77" s="121"/>
      <c r="E77" s="121"/>
      <c r="F77" s="122" t="str">
        <f t="shared" si="39"/>
        <v>PRD-BLG-2020-00000</v>
      </c>
      <c r="G77" s="123" t="s">
        <v>35</v>
      </c>
      <c r="H77" s="124" t="s">
        <v>43</v>
      </c>
      <c r="I77" s="239"/>
      <c r="J77" s="80">
        <f t="shared" si="2"/>
        <v>0</v>
      </c>
      <c r="K77" s="177">
        <f t="shared" si="41"/>
        <v>44153</v>
      </c>
      <c r="L77" s="141">
        <v>44153</v>
      </c>
      <c r="M77" s="142"/>
      <c r="N77" s="142"/>
      <c r="O77" s="142"/>
      <c r="P77" s="142"/>
      <c r="Q77" s="199" t="s">
        <v>15</v>
      </c>
      <c r="R77" s="199" t="s">
        <v>42</v>
      </c>
      <c r="S77" s="199" t="s">
        <v>308</v>
      </c>
      <c r="T77" s="199"/>
      <c r="U77" s="199"/>
      <c r="V77" s="199"/>
      <c r="W77" s="199"/>
      <c r="X77" s="144" t="s">
        <v>481</v>
      </c>
      <c r="Y77" s="173">
        <f t="shared" si="27"/>
        <v>0</v>
      </c>
      <c r="Z77" s="83">
        <f t="shared" si="5"/>
        <v>0</v>
      </c>
      <c r="AA77" s="84">
        <f t="shared" si="36"/>
        <v>0</v>
      </c>
      <c r="AB77" s="84">
        <f t="shared" si="26"/>
        <v>0</v>
      </c>
      <c r="AC77" s="84">
        <f t="shared" si="8"/>
        <v>0</v>
      </c>
      <c r="AD77" s="84"/>
      <c r="AE77" s="84">
        <f t="shared" si="20"/>
        <v>0</v>
      </c>
      <c r="AF77" s="84">
        <f t="shared" si="38"/>
        <v>0</v>
      </c>
      <c r="AG77" s="94">
        <f t="shared" si="21"/>
        <v>0</v>
      </c>
      <c r="AH77" s="85">
        <f>IFERROR(VLOOKUP(A77,CUSTOMERS!$A:$E,4),"")</f>
        <v>-150</v>
      </c>
      <c r="AI77" s="86" t="str">
        <f t="shared" si="37"/>
        <v/>
      </c>
      <c r="AJ77" s="87">
        <f>IFERROR(VLOOKUP(A77,CUSTOMERS!$A:$F,5),"")</f>
        <v>0</v>
      </c>
      <c r="AK77" s="96"/>
      <c r="AL77" s="96">
        <v>0</v>
      </c>
      <c r="AM77" s="96">
        <v>0</v>
      </c>
      <c r="AN77" s="96"/>
      <c r="AO77" s="96">
        <v>0</v>
      </c>
      <c r="AP77" s="103">
        <f t="shared" si="13"/>
        <v>0</v>
      </c>
      <c r="AQ77" s="103">
        <f t="shared" si="35"/>
        <v>0</v>
      </c>
      <c r="AR77" s="68" t="str">
        <f>IFERROR(VLOOKUP(A77,CUSTOMERS!$A:$B,2),"")</f>
        <v>PRD</v>
      </c>
      <c r="AS77" s="68" t="str">
        <f>IFERROR(VLOOKUP(A77,CUSTOMERS!$A:$D,3),"")</f>
        <v>BLG</v>
      </c>
      <c r="AT77" s="68" t="str">
        <f>IFERROR(VLOOKUP(A77,CUSTOMERS!$A:$F,6),"")</f>
        <v>N</v>
      </c>
      <c r="AU77" s="69">
        <f>IFERROR(VLOOKUP(A77,CUSTOMERS!$A:$E,4),"")</f>
        <v>-150</v>
      </c>
      <c r="AV77" s="68" t="str">
        <f t="shared" si="32"/>
        <v/>
      </c>
      <c r="AW77" s="70" t="str">
        <f t="shared" si="40"/>
        <v>descr77</v>
      </c>
      <c r="AX77" s="71" t="str">
        <f t="shared" si="17"/>
        <v>reason77</v>
      </c>
    </row>
    <row r="78" spans="1:50" ht="40.5" customHeight="1">
      <c r="A78" s="188" t="s">
        <v>27</v>
      </c>
      <c r="B78" s="120" t="str">
        <f t="shared" si="22"/>
        <v>N</v>
      </c>
      <c r="C78" s="120"/>
      <c r="D78" s="121"/>
      <c r="E78" s="121"/>
      <c r="F78" s="122" t="str">
        <f t="shared" si="39"/>
        <v>PRD-BLG-2020-00000</v>
      </c>
      <c r="G78" s="123" t="s">
        <v>200</v>
      </c>
      <c r="H78" s="124" t="s">
        <v>482</v>
      </c>
      <c r="I78" s="239"/>
      <c r="J78" s="80">
        <f t="shared" si="2"/>
        <v>0</v>
      </c>
      <c r="K78" s="177">
        <f t="shared" si="41"/>
        <v>44153</v>
      </c>
      <c r="L78" s="141">
        <v>44153</v>
      </c>
      <c r="M78" s="142"/>
      <c r="N78" s="142"/>
      <c r="O78" s="142"/>
      <c r="P78" s="142"/>
      <c r="Q78" s="199" t="s">
        <v>18</v>
      </c>
      <c r="R78" s="199" t="s">
        <v>4</v>
      </c>
      <c r="S78" s="199"/>
      <c r="T78" s="199"/>
      <c r="U78" s="199"/>
      <c r="V78" s="199"/>
      <c r="W78" s="199"/>
      <c r="X78" s="144" t="s">
        <v>483</v>
      </c>
      <c r="Y78" s="173">
        <f t="shared" si="27"/>
        <v>0</v>
      </c>
      <c r="Z78" s="83">
        <f t="shared" si="5"/>
        <v>0</v>
      </c>
      <c r="AA78" s="84">
        <f t="shared" si="36"/>
        <v>0</v>
      </c>
      <c r="AB78" s="84">
        <f t="shared" si="26"/>
        <v>0</v>
      </c>
      <c r="AC78" s="84">
        <f t="shared" si="8"/>
        <v>0</v>
      </c>
      <c r="AD78" s="84"/>
      <c r="AE78" s="84">
        <f t="shared" si="20"/>
        <v>0</v>
      </c>
      <c r="AF78" s="84">
        <f t="shared" si="38"/>
        <v>0</v>
      </c>
      <c r="AG78" s="94">
        <f t="shared" si="21"/>
        <v>0</v>
      </c>
      <c r="AH78" s="85">
        <f>IFERROR(VLOOKUP(A78,CUSTOMERS!$A:$E,4),"")</f>
        <v>-150</v>
      </c>
      <c r="AI78" s="86" t="str">
        <f t="shared" si="37"/>
        <v/>
      </c>
      <c r="AJ78" s="87">
        <f>IFERROR(VLOOKUP(A78,CUSTOMERS!$A:$F,5),"")</f>
        <v>0</v>
      </c>
      <c r="AK78" s="96"/>
      <c r="AL78" s="96">
        <v>0</v>
      </c>
      <c r="AM78" s="96">
        <v>0</v>
      </c>
      <c r="AN78" s="96"/>
      <c r="AO78" s="96">
        <v>0</v>
      </c>
      <c r="AP78" s="103">
        <f t="shared" si="13"/>
        <v>0</v>
      </c>
      <c r="AQ78" s="103">
        <f t="shared" si="35"/>
        <v>0</v>
      </c>
      <c r="AR78" s="68" t="str">
        <f>IFERROR(VLOOKUP(A78,CUSTOMERS!$A:$B,2),"")</f>
        <v>PRD</v>
      </c>
      <c r="AS78" s="68" t="str">
        <f>IFERROR(VLOOKUP(A78,CUSTOMERS!$A:$D,3),"")</f>
        <v>BLG</v>
      </c>
      <c r="AT78" s="68" t="str">
        <f>IFERROR(VLOOKUP(A78,CUSTOMERS!$A:$F,6),"")</f>
        <v>N</v>
      </c>
      <c r="AU78" s="69">
        <f>IFERROR(VLOOKUP(A78,CUSTOMERS!$A:$E,4),"")</f>
        <v>-150</v>
      </c>
      <c r="AV78" s="68" t="str">
        <f t="shared" si="32"/>
        <v/>
      </c>
      <c r="AW78" s="70" t="str">
        <f t="shared" si="40"/>
        <v>descr78</v>
      </c>
      <c r="AX78" s="71" t="str">
        <f t="shared" si="17"/>
        <v>reason78</v>
      </c>
    </row>
    <row r="79" spans="1:50" ht="40.5" hidden="1" customHeight="1">
      <c r="A79" s="188" t="s">
        <v>27</v>
      </c>
      <c r="B79" s="120" t="str">
        <f t="shared" si="22"/>
        <v>N</v>
      </c>
      <c r="C79" s="120"/>
      <c r="D79" s="121">
        <v>33783</v>
      </c>
      <c r="E79" s="121"/>
      <c r="F79" s="122" t="str">
        <f t="shared" si="39"/>
        <v>PRD-BLG-2021-33783</v>
      </c>
      <c r="G79" s="207" t="s">
        <v>339</v>
      </c>
      <c r="H79" s="124" t="s">
        <v>484</v>
      </c>
      <c r="I79" s="239"/>
      <c r="J79" s="80">
        <f t="shared" si="2"/>
        <v>0</v>
      </c>
      <c r="K79" s="177">
        <f t="shared" si="41"/>
        <v>44200</v>
      </c>
      <c r="L79" s="141">
        <v>44200</v>
      </c>
      <c r="M79" s="142"/>
      <c r="N79" s="142"/>
      <c r="O79" s="142"/>
      <c r="P79" s="142"/>
      <c r="Q79" s="199" t="s">
        <v>15</v>
      </c>
      <c r="R79" s="199" t="s">
        <v>4</v>
      </c>
      <c r="S79" s="199"/>
      <c r="T79" s="199"/>
      <c r="U79" s="199"/>
      <c r="V79" s="199"/>
      <c r="W79" s="199"/>
      <c r="X79" s="144" t="s">
        <v>485</v>
      </c>
      <c r="Y79" s="173">
        <f t="shared" si="27"/>
        <v>0</v>
      </c>
      <c r="Z79" s="83">
        <f t="shared" si="5"/>
        <v>0</v>
      </c>
      <c r="AA79" s="84">
        <f t="shared" si="36"/>
        <v>0</v>
      </c>
      <c r="AB79" s="84">
        <f t="shared" si="26"/>
        <v>0</v>
      </c>
      <c r="AC79" s="84">
        <f t="shared" si="8"/>
        <v>0</v>
      </c>
      <c r="AD79" s="84"/>
      <c r="AE79" s="84">
        <f t="shared" si="20"/>
        <v>0</v>
      </c>
      <c r="AF79" s="84">
        <f t="shared" si="38"/>
        <v>0</v>
      </c>
      <c r="AG79" s="94">
        <f t="shared" si="21"/>
        <v>0</v>
      </c>
      <c r="AH79" s="85">
        <f>IFERROR(VLOOKUP(A79,CUSTOMERS!$A:$E,4),"")</f>
        <v>-150</v>
      </c>
      <c r="AI79" s="86" t="str">
        <f t="shared" si="37"/>
        <v/>
      </c>
      <c r="AJ79" s="87">
        <f>IFERROR(VLOOKUP(A79,CUSTOMERS!$A:$F,5),"")</f>
        <v>0</v>
      </c>
      <c r="AK79" s="96"/>
      <c r="AL79" s="96">
        <v>0</v>
      </c>
      <c r="AM79" s="96">
        <v>0</v>
      </c>
      <c r="AN79" s="96"/>
      <c r="AO79" s="96">
        <v>0</v>
      </c>
      <c r="AP79" s="103">
        <f t="shared" si="13"/>
        <v>0</v>
      </c>
      <c r="AQ79" s="103">
        <f t="shared" si="35"/>
        <v>0</v>
      </c>
      <c r="AR79" s="68" t="str">
        <f>IFERROR(VLOOKUP(A79,CUSTOMERS!$A:$B,2),"")</f>
        <v>PRD</v>
      </c>
      <c r="AS79" s="68" t="str">
        <f>IFERROR(VLOOKUP(A79,CUSTOMERS!$A:$D,3),"")</f>
        <v>BLG</v>
      </c>
      <c r="AT79" s="68" t="str">
        <f>IFERROR(VLOOKUP(A79,CUSTOMERS!$A:$F,6),"")</f>
        <v>N</v>
      </c>
      <c r="AU79" s="69">
        <f>IFERROR(VLOOKUP(A79,CUSTOMERS!$A:$E,4),"")</f>
        <v>-150</v>
      </c>
      <c r="AV79" s="68" t="str">
        <f t="shared" si="32"/>
        <v/>
      </c>
      <c r="AW79" s="70" t="str">
        <f t="shared" si="40"/>
        <v>descr79</v>
      </c>
      <c r="AX79" s="71" t="str">
        <f t="shared" si="17"/>
        <v>reason79</v>
      </c>
    </row>
    <row r="80" spans="1:50" ht="40.5" hidden="1" customHeight="1">
      <c r="A80" s="188" t="s">
        <v>27</v>
      </c>
      <c r="B80" s="120" t="str">
        <f t="shared" si="22"/>
        <v>N</v>
      </c>
      <c r="C80" s="120"/>
      <c r="D80" s="121">
        <v>33765</v>
      </c>
      <c r="E80" s="121"/>
      <c r="F80" s="122" t="str">
        <f t="shared" si="39"/>
        <v>PRD-BLG-2021-33765</v>
      </c>
      <c r="G80" s="207" t="s">
        <v>339</v>
      </c>
      <c r="H80" s="124" t="s">
        <v>486</v>
      </c>
      <c r="I80" s="239"/>
      <c r="J80" s="80">
        <f t="shared" si="2"/>
        <v>0</v>
      </c>
      <c r="K80" s="177">
        <f t="shared" si="41"/>
        <v>44200</v>
      </c>
      <c r="L80" s="141">
        <v>44200</v>
      </c>
      <c r="M80" s="147"/>
      <c r="N80" s="147"/>
      <c r="O80" s="147"/>
      <c r="P80" s="147"/>
      <c r="Q80" s="199" t="s">
        <v>295</v>
      </c>
      <c r="R80" s="199" t="s">
        <v>4</v>
      </c>
      <c r="S80" s="199"/>
      <c r="T80" s="199"/>
      <c r="U80" s="199"/>
      <c r="V80" s="199"/>
      <c r="W80" s="199"/>
      <c r="X80" s="144" t="s">
        <v>485</v>
      </c>
      <c r="Y80" s="173">
        <f t="shared" si="27"/>
        <v>0</v>
      </c>
      <c r="Z80" s="83">
        <f t="shared" si="5"/>
        <v>0</v>
      </c>
      <c r="AA80" s="84">
        <f t="shared" si="36"/>
        <v>0</v>
      </c>
      <c r="AB80" s="84">
        <f t="shared" si="26"/>
        <v>0</v>
      </c>
      <c r="AC80" s="84">
        <f t="shared" si="8"/>
        <v>0</v>
      </c>
      <c r="AD80" s="84"/>
      <c r="AE80" s="84">
        <f t="shared" si="20"/>
        <v>0</v>
      </c>
      <c r="AF80" s="84">
        <f t="shared" si="38"/>
        <v>0</v>
      </c>
      <c r="AG80" s="94">
        <f t="shared" si="21"/>
        <v>0</v>
      </c>
      <c r="AH80" s="85">
        <f>IFERROR(VLOOKUP(A80,CUSTOMERS!$A:$E,4),"")</f>
        <v>-150</v>
      </c>
      <c r="AI80" s="86" t="str">
        <f t="shared" si="37"/>
        <v/>
      </c>
      <c r="AJ80" s="87">
        <f>IFERROR(VLOOKUP(A80,CUSTOMERS!$A:$F,5),"")</f>
        <v>0</v>
      </c>
      <c r="AK80" s="96"/>
      <c r="AL80" s="96">
        <v>0</v>
      </c>
      <c r="AM80" s="96">
        <v>0</v>
      </c>
      <c r="AN80" s="96"/>
      <c r="AO80" s="96">
        <v>0</v>
      </c>
      <c r="AP80" s="103">
        <f t="shared" si="13"/>
        <v>0</v>
      </c>
      <c r="AQ80" s="103">
        <f t="shared" si="35"/>
        <v>0</v>
      </c>
      <c r="AR80" s="68" t="str">
        <f>IFERROR(VLOOKUP(A80,CUSTOMERS!$A:$B,2),"")</f>
        <v>PRD</v>
      </c>
      <c r="AS80" s="68" t="str">
        <f>IFERROR(VLOOKUP(A80,CUSTOMERS!$A:$D,3),"")</f>
        <v>BLG</v>
      </c>
      <c r="AT80" s="68" t="str">
        <f>IFERROR(VLOOKUP(A80,CUSTOMERS!$A:$F,6),"")</f>
        <v>N</v>
      </c>
      <c r="AU80" s="69">
        <f>IFERROR(VLOOKUP(A80,CUSTOMERS!$A:$E,4),"")</f>
        <v>-150</v>
      </c>
      <c r="AV80" s="68" t="str">
        <f t="shared" si="32"/>
        <v/>
      </c>
      <c r="AW80" s="70" t="str">
        <f t="shared" si="40"/>
        <v>descr80</v>
      </c>
      <c r="AX80" s="71" t="str">
        <f t="shared" si="17"/>
        <v>reason80</v>
      </c>
    </row>
    <row r="81" spans="1:50" ht="40.5" hidden="1" customHeight="1">
      <c r="A81" s="188" t="s">
        <v>27</v>
      </c>
      <c r="B81" s="120" t="str">
        <f t="shared" si="22"/>
        <v>N</v>
      </c>
      <c r="C81" s="120"/>
      <c r="D81" s="121">
        <v>33758</v>
      </c>
      <c r="E81" s="121"/>
      <c r="F81" s="122" t="str">
        <f t="shared" si="39"/>
        <v>PRD-BLG-2021-33758</v>
      </c>
      <c r="G81" s="207" t="s">
        <v>339</v>
      </c>
      <c r="H81" s="124" t="s">
        <v>487</v>
      </c>
      <c r="I81" s="239"/>
      <c r="J81" s="80">
        <f t="shared" si="2"/>
        <v>0</v>
      </c>
      <c r="K81" s="177">
        <f t="shared" si="41"/>
        <v>44200</v>
      </c>
      <c r="L81" s="141">
        <v>44200</v>
      </c>
      <c r="M81" s="147"/>
      <c r="N81" s="147"/>
      <c r="O81" s="147"/>
      <c r="P81" s="147"/>
      <c r="Q81" s="199" t="s">
        <v>295</v>
      </c>
      <c r="R81" s="199" t="s">
        <v>4</v>
      </c>
      <c r="S81" s="199"/>
      <c r="T81" s="199"/>
      <c r="U81" s="199"/>
      <c r="V81" s="199"/>
      <c r="W81" s="199"/>
      <c r="X81" s="144" t="s">
        <v>485</v>
      </c>
      <c r="Y81" s="173">
        <f t="shared" si="27"/>
        <v>0</v>
      </c>
      <c r="Z81" s="83">
        <f t="shared" si="5"/>
        <v>0</v>
      </c>
      <c r="AA81" s="84">
        <f t="shared" si="36"/>
        <v>0</v>
      </c>
      <c r="AB81" s="84">
        <f t="shared" si="26"/>
        <v>0</v>
      </c>
      <c r="AC81" s="84">
        <f t="shared" si="8"/>
        <v>0</v>
      </c>
      <c r="AD81" s="84"/>
      <c r="AE81" s="84">
        <f t="shared" si="20"/>
        <v>0</v>
      </c>
      <c r="AF81" s="84">
        <f t="shared" si="38"/>
        <v>0</v>
      </c>
      <c r="AG81" s="94">
        <f t="shared" si="21"/>
        <v>0</v>
      </c>
      <c r="AH81" s="85">
        <f>IFERROR(VLOOKUP(A81,CUSTOMERS!$A:$E,4),"")</f>
        <v>-150</v>
      </c>
      <c r="AI81" s="86" t="str">
        <f t="shared" si="37"/>
        <v/>
      </c>
      <c r="AJ81" s="87">
        <f>IFERROR(VLOOKUP(A81,CUSTOMERS!$A:$F,5),"")</f>
        <v>0</v>
      </c>
      <c r="AK81" s="96"/>
      <c r="AL81" s="96">
        <v>0</v>
      </c>
      <c r="AM81" s="96">
        <v>0</v>
      </c>
      <c r="AN81" s="96"/>
      <c r="AO81" s="96">
        <v>0</v>
      </c>
      <c r="AP81" s="103">
        <f t="shared" si="13"/>
        <v>0</v>
      </c>
      <c r="AQ81" s="103">
        <f t="shared" si="35"/>
        <v>0</v>
      </c>
      <c r="AR81" s="68" t="str">
        <f>IFERROR(VLOOKUP(A81,CUSTOMERS!$A:$B,2),"")</f>
        <v>PRD</v>
      </c>
      <c r="AS81" s="68" t="str">
        <f>IFERROR(VLOOKUP(A81,CUSTOMERS!$A:$D,3),"")</f>
        <v>BLG</v>
      </c>
      <c r="AT81" s="68" t="str">
        <f>IFERROR(VLOOKUP(A81,CUSTOMERS!$A:$F,6),"")</f>
        <v>N</v>
      </c>
      <c r="AU81" s="69">
        <f>IFERROR(VLOOKUP(A81,CUSTOMERS!$A:$E,4),"")</f>
        <v>-150</v>
      </c>
      <c r="AV81" s="68" t="str">
        <f t="shared" si="32"/>
        <v/>
      </c>
      <c r="AW81" s="70" t="str">
        <f t="shared" si="40"/>
        <v>descr81</v>
      </c>
      <c r="AX81" s="71" t="str">
        <f t="shared" si="17"/>
        <v>reason81</v>
      </c>
    </row>
    <row r="82" spans="1:50" ht="40.5" customHeight="1">
      <c r="A82" s="188" t="s">
        <v>27</v>
      </c>
      <c r="B82" s="120" t="str">
        <f t="shared" si="22"/>
        <v>N</v>
      </c>
      <c r="C82" s="120"/>
      <c r="D82" s="121">
        <v>2</v>
      </c>
      <c r="E82" s="121"/>
      <c r="F82" s="122" t="str">
        <f t="shared" si="39"/>
        <v>PRD-BLG-2021-00002</v>
      </c>
      <c r="G82" s="123" t="s">
        <v>35</v>
      </c>
      <c r="H82" s="124" t="s">
        <v>45</v>
      </c>
      <c r="I82" s="239"/>
      <c r="J82" s="80">
        <f t="shared" ref="J82:J146" si="42">Y82</f>
        <v>0</v>
      </c>
      <c r="K82" s="177">
        <f t="shared" si="41"/>
        <v>44216</v>
      </c>
      <c r="L82" s="146">
        <v>44216</v>
      </c>
      <c r="M82" s="147"/>
      <c r="N82" s="147"/>
      <c r="O82" s="147"/>
      <c r="P82" s="147"/>
      <c r="Q82" s="199" t="s">
        <v>15</v>
      </c>
      <c r="R82" s="199" t="s">
        <v>42</v>
      </c>
      <c r="S82" s="199" t="s">
        <v>308</v>
      </c>
      <c r="T82" s="199"/>
      <c r="U82" s="199"/>
      <c r="V82" s="199"/>
      <c r="W82" s="199"/>
      <c r="X82" s="144" t="s">
        <v>488</v>
      </c>
      <c r="Y82" s="173">
        <f t="shared" si="27"/>
        <v>0</v>
      </c>
      <c r="Z82" s="83">
        <f t="shared" ref="Z82:Z146" si="43">IFERROR((AK82*AH82)*7.5,"")</f>
        <v>0</v>
      </c>
      <c r="AA82" s="84">
        <f t="shared" si="36"/>
        <v>0</v>
      </c>
      <c r="AB82" s="84">
        <f t="shared" si="26"/>
        <v>0</v>
      </c>
      <c r="AC82" s="84">
        <f t="shared" ref="AC82:AC146" si="44">IFERROR((AN82*AH82)*7.5,"")</f>
        <v>0</v>
      </c>
      <c r="AD82" s="84"/>
      <c r="AE82" s="84">
        <f t="shared" si="20"/>
        <v>0</v>
      </c>
      <c r="AF82" s="84">
        <f t="shared" si="38"/>
        <v>0</v>
      </c>
      <c r="AG82" s="94">
        <f t="shared" si="21"/>
        <v>0</v>
      </c>
      <c r="AH82" s="85">
        <f>IFERROR(VLOOKUP(A82,CUSTOMERS!$A:$E,4),"")</f>
        <v>-150</v>
      </c>
      <c r="AI82" s="86" t="str">
        <f t="shared" si="37"/>
        <v/>
      </c>
      <c r="AJ82" s="87">
        <f>IFERROR(VLOOKUP(A82,CUSTOMERS!$A:$F,5),"")</f>
        <v>0</v>
      </c>
      <c r="AK82" s="96"/>
      <c r="AL82" s="96">
        <v>0</v>
      </c>
      <c r="AM82" s="96"/>
      <c r="AN82" s="96"/>
      <c r="AO82" s="96">
        <v>0</v>
      </c>
      <c r="AP82" s="103">
        <f t="shared" ref="AP82:AP146" si="45">SUM(AK82:AO82)</f>
        <v>0</v>
      </c>
      <c r="AQ82" s="103">
        <f t="shared" si="35"/>
        <v>0</v>
      </c>
      <c r="AR82" s="68" t="str">
        <f>IFERROR(VLOOKUP(A82,CUSTOMERS!$A:$B,2),"")</f>
        <v>PRD</v>
      </c>
      <c r="AS82" s="68" t="str">
        <f>IFERROR(VLOOKUP(A82,CUSTOMERS!$A:$D,3),"")</f>
        <v>BLG</v>
      </c>
      <c r="AT82" s="68" t="str">
        <f>IFERROR(VLOOKUP(A82,CUSTOMERS!$A:$F,6),"")</f>
        <v>N</v>
      </c>
      <c r="AU82" s="69">
        <f>IFERROR(VLOOKUP(A82,CUSTOMERS!$A:$E,4),"")</f>
        <v>-150</v>
      </c>
      <c r="AV82" s="68" t="str">
        <f t="shared" si="32"/>
        <v/>
      </c>
      <c r="AW82" s="74" t="s">
        <v>489</v>
      </c>
      <c r="AX82" s="75" t="s">
        <v>490</v>
      </c>
    </row>
    <row r="83" spans="1:50" ht="40.5" hidden="1" customHeight="1">
      <c r="A83" s="188" t="s">
        <v>27</v>
      </c>
      <c r="B83" s="120" t="str">
        <f t="shared" si="22"/>
        <v>N</v>
      </c>
      <c r="C83" s="120"/>
      <c r="D83" s="121"/>
      <c r="E83" s="121"/>
      <c r="F83" s="122" t="str">
        <f t="shared" si="39"/>
        <v>PRD-BLG-2021-00000</v>
      </c>
      <c r="G83" s="207" t="s">
        <v>339</v>
      </c>
      <c r="H83" s="124" t="s">
        <v>491</v>
      </c>
      <c r="I83" s="239"/>
      <c r="J83" s="80">
        <f t="shared" si="42"/>
        <v>0</v>
      </c>
      <c r="K83" s="177">
        <f t="shared" si="41"/>
        <v>44236</v>
      </c>
      <c r="L83" s="146">
        <v>44236</v>
      </c>
      <c r="M83" s="147"/>
      <c r="N83" s="147"/>
      <c r="O83" s="147"/>
      <c r="P83" s="147"/>
      <c r="Q83" s="199" t="s">
        <v>15</v>
      </c>
      <c r="R83" s="199" t="s">
        <v>31</v>
      </c>
      <c r="S83" s="199"/>
      <c r="T83" s="199"/>
      <c r="U83" s="199"/>
      <c r="V83" s="199"/>
      <c r="W83" s="199"/>
      <c r="X83" s="144"/>
      <c r="Y83" s="173">
        <f t="shared" si="27"/>
        <v>0</v>
      </c>
      <c r="Z83" s="83">
        <f t="shared" si="43"/>
        <v>0</v>
      </c>
      <c r="AA83" s="84">
        <f t="shared" si="36"/>
        <v>0</v>
      </c>
      <c r="AB83" s="84">
        <f t="shared" si="26"/>
        <v>0</v>
      </c>
      <c r="AC83" s="84">
        <f t="shared" si="44"/>
        <v>0</v>
      </c>
      <c r="AD83" s="84"/>
      <c r="AE83" s="84">
        <f t="shared" si="20"/>
        <v>0</v>
      </c>
      <c r="AF83" s="84">
        <f t="shared" si="38"/>
        <v>0</v>
      </c>
      <c r="AG83" s="94">
        <f t="shared" si="21"/>
        <v>0</v>
      </c>
      <c r="AH83" s="85">
        <f>IFERROR(VLOOKUP(A83,CUSTOMERS!$A:$E,4),"")</f>
        <v>-150</v>
      </c>
      <c r="AI83" s="86" t="str">
        <f t="shared" si="37"/>
        <v/>
      </c>
      <c r="AJ83" s="87">
        <f>IFERROR(VLOOKUP(A83,CUSTOMERS!$A:$F,5),"")</f>
        <v>0</v>
      </c>
      <c r="AK83" s="96"/>
      <c r="AL83" s="96">
        <v>0</v>
      </c>
      <c r="AM83" s="96">
        <v>0</v>
      </c>
      <c r="AN83" s="96"/>
      <c r="AO83" s="96">
        <v>0</v>
      </c>
      <c r="AP83" s="103">
        <f t="shared" si="45"/>
        <v>0</v>
      </c>
      <c r="AQ83" s="103">
        <f t="shared" si="35"/>
        <v>0</v>
      </c>
      <c r="AR83" s="68" t="str">
        <f>IFERROR(VLOOKUP(A83,CUSTOMERS!$A:$B,2),"")</f>
        <v>PRD</v>
      </c>
      <c r="AS83" s="68" t="str">
        <f>IFERROR(VLOOKUP(A83,CUSTOMERS!$A:$D,3),"")</f>
        <v>BLG</v>
      </c>
      <c r="AT83" s="68" t="str">
        <f>IFERROR(VLOOKUP(A83,CUSTOMERS!$A:$F,6),"")</f>
        <v>N</v>
      </c>
      <c r="AU83" s="69">
        <f>IFERROR(VLOOKUP(A83,CUSTOMERS!$A:$E,4),"")</f>
        <v>-150</v>
      </c>
      <c r="AV83" s="68" t="str">
        <f t="shared" si="32"/>
        <v/>
      </c>
      <c r="AW83" s="74" t="s">
        <v>492</v>
      </c>
      <c r="AX83" s="75" t="s">
        <v>493</v>
      </c>
    </row>
    <row r="84" spans="1:50" ht="65.25" customHeight="1">
      <c r="A84" s="188" t="s">
        <v>27</v>
      </c>
      <c r="B84" s="120" t="str">
        <f t="shared" si="22"/>
        <v>N</v>
      </c>
      <c r="C84" s="120"/>
      <c r="D84" s="121"/>
      <c r="E84" s="121"/>
      <c r="F84" s="122" t="str">
        <f t="shared" si="39"/>
        <v>PRD-BLG-2021-00000</v>
      </c>
      <c r="G84" s="123" t="s">
        <v>29</v>
      </c>
      <c r="H84" s="124" t="s">
        <v>47</v>
      </c>
      <c r="I84" s="239"/>
      <c r="J84" s="80">
        <f t="shared" si="42"/>
        <v>0</v>
      </c>
      <c r="K84" s="177">
        <f t="shared" si="41"/>
        <v>44242</v>
      </c>
      <c r="L84" s="146">
        <v>44242</v>
      </c>
      <c r="M84" s="147"/>
      <c r="N84" s="147"/>
      <c r="O84" s="147"/>
      <c r="P84" s="147"/>
      <c r="Q84" s="199" t="s">
        <v>18</v>
      </c>
      <c r="R84" s="199" t="s">
        <v>25</v>
      </c>
      <c r="S84" s="199" t="s">
        <v>313</v>
      </c>
      <c r="T84" s="199"/>
      <c r="U84" s="199"/>
      <c r="V84" s="199"/>
      <c r="W84" s="199"/>
      <c r="X84" s="144"/>
      <c r="Y84" s="173">
        <f t="shared" si="27"/>
        <v>0</v>
      </c>
      <c r="Z84" s="83">
        <f t="shared" si="43"/>
        <v>0</v>
      </c>
      <c r="AA84" s="84">
        <f t="shared" si="36"/>
        <v>0</v>
      </c>
      <c r="AB84" s="84">
        <f t="shared" si="26"/>
        <v>0</v>
      </c>
      <c r="AC84" s="84">
        <f t="shared" si="44"/>
        <v>0</v>
      </c>
      <c r="AD84" s="84"/>
      <c r="AE84" s="84">
        <f t="shared" si="20"/>
        <v>0</v>
      </c>
      <c r="AF84" s="84">
        <f t="shared" si="38"/>
        <v>0</v>
      </c>
      <c r="AG84" s="94">
        <f t="shared" si="21"/>
        <v>0</v>
      </c>
      <c r="AH84" s="85">
        <f>IFERROR(VLOOKUP(A84,CUSTOMERS!$A:$E,4),"")</f>
        <v>-150</v>
      </c>
      <c r="AI84" s="86" t="str">
        <f t="shared" si="37"/>
        <v/>
      </c>
      <c r="AJ84" s="87">
        <f>IFERROR(VLOOKUP(A84,CUSTOMERS!$A:$F,5),"")</f>
        <v>0</v>
      </c>
      <c r="AK84" s="96"/>
      <c r="AL84" s="96">
        <v>0</v>
      </c>
      <c r="AM84" s="96">
        <v>0</v>
      </c>
      <c r="AN84" s="96"/>
      <c r="AO84" s="96">
        <v>0</v>
      </c>
      <c r="AP84" s="103">
        <f t="shared" si="45"/>
        <v>0</v>
      </c>
      <c r="AQ84" s="103">
        <f t="shared" si="35"/>
        <v>0</v>
      </c>
      <c r="AR84" s="68" t="str">
        <f>IFERROR(VLOOKUP(A84,CUSTOMERS!$A:$B,2),"")</f>
        <v>PRD</v>
      </c>
      <c r="AS84" s="68" t="str">
        <f>IFERROR(VLOOKUP(A84,CUSTOMERS!$A:$D,3),"")</f>
        <v>BLG</v>
      </c>
      <c r="AT84" s="68" t="str">
        <f>IFERROR(VLOOKUP(A84,CUSTOMERS!$A:$F,6),"")</f>
        <v>N</v>
      </c>
      <c r="AU84" s="69">
        <f>IFERROR(VLOOKUP(A84,CUSTOMERS!$A:$E,4),"")</f>
        <v>-150</v>
      </c>
      <c r="AV84" s="68" t="str">
        <f t="shared" si="32"/>
        <v/>
      </c>
      <c r="AW84" s="74" t="s">
        <v>494</v>
      </c>
      <c r="AX84" s="75" t="s">
        <v>495</v>
      </c>
    </row>
    <row r="85" spans="1:50" ht="40.5" hidden="1" customHeight="1">
      <c r="A85" s="188" t="s">
        <v>27</v>
      </c>
      <c r="B85" s="120" t="str">
        <f t="shared" ref="B85:B99" si="46">AT85</f>
        <v>N</v>
      </c>
      <c r="C85" s="120"/>
      <c r="D85" s="121"/>
      <c r="E85" s="121"/>
      <c r="F85" s="122" t="str">
        <f t="shared" si="39"/>
        <v>PRD-BLG-2021-00000</v>
      </c>
      <c r="G85" s="207" t="s">
        <v>339</v>
      </c>
      <c r="H85" s="124" t="s">
        <v>496</v>
      </c>
      <c r="I85" s="239"/>
      <c r="J85" s="80">
        <f t="shared" si="42"/>
        <v>0</v>
      </c>
      <c r="K85" s="177">
        <f t="shared" si="41"/>
        <v>44244</v>
      </c>
      <c r="L85" s="146">
        <v>44244</v>
      </c>
      <c r="M85" s="147"/>
      <c r="N85" s="147"/>
      <c r="O85" s="147"/>
      <c r="P85" s="147"/>
      <c r="Q85" s="199" t="s">
        <v>15</v>
      </c>
      <c r="R85" s="199" t="s">
        <v>42</v>
      </c>
      <c r="S85" s="199"/>
      <c r="T85" s="199"/>
      <c r="U85" s="199"/>
      <c r="V85" s="199"/>
      <c r="W85" s="199"/>
      <c r="X85" s="144" t="s">
        <v>497</v>
      </c>
      <c r="Y85" s="173">
        <f t="shared" si="27"/>
        <v>0</v>
      </c>
      <c r="Z85" s="83">
        <f t="shared" si="43"/>
        <v>0</v>
      </c>
      <c r="AA85" s="84">
        <f t="shared" si="36"/>
        <v>0</v>
      </c>
      <c r="AB85" s="84">
        <f t="shared" si="26"/>
        <v>0</v>
      </c>
      <c r="AC85" s="84">
        <f t="shared" si="44"/>
        <v>0</v>
      </c>
      <c r="AD85" s="84"/>
      <c r="AE85" s="84">
        <f t="shared" si="20"/>
        <v>0</v>
      </c>
      <c r="AF85" s="84">
        <f t="shared" si="38"/>
        <v>0</v>
      </c>
      <c r="AG85" s="94">
        <f t="shared" si="21"/>
        <v>0</v>
      </c>
      <c r="AH85" s="85">
        <f>IFERROR(VLOOKUP(A85,CUSTOMERS!$A:$E,4),"")</f>
        <v>-150</v>
      </c>
      <c r="AI85" s="86" t="str">
        <f t="shared" si="37"/>
        <v/>
      </c>
      <c r="AJ85" s="87">
        <f>IFERROR(VLOOKUP(A85,CUSTOMERS!$A:$F,5),"")</f>
        <v>0</v>
      </c>
      <c r="AK85" s="96"/>
      <c r="AL85" s="96">
        <v>0</v>
      </c>
      <c r="AM85" s="96">
        <v>0</v>
      </c>
      <c r="AN85" s="96"/>
      <c r="AO85" s="96">
        <v>0</v>
      </c>
      <c r="AP85" s="103">
        <f t="shared" si="45"/>
        <v>0</v>
      </c>
      <c r="AQ85" s="103">
        <f t="shared" si="35"/>
        <v>0</v>
      </c>
      <c r="AR85" s="68" t="str">
        <f>IFERROR(VLOOKUP(A85,CUSTOMERS!$A:$B,2),"")</f>
        <v>PRD</v>
      </c>
      <c r="AS85" s="68" t="str">
        <f>IFERROR(VLOOKUP(A85,CUSTOMERS!$A:$D,3),"")</f>
        <v>BLG</v>
      </c>
      <c r="AT85" s="68" t="str">
        <f>IFERROR(VLOOKUP(A85,CUSTOMERS!$A:$F,6),"")</f>
        <v>N</v>
      </c>
      <c r="AU85" s="69">
        <f>IFERROR(VLOOKUP(A85,CUSTOMERS!$A:$E,4),"")</f>
        <v>-150</v>
      </c>
      <c r="AV85" s="68" t="str">
        <f t="shared" si="32"/>
        <v/>
      </c>
      <c r="AW85" s="70" t="str">
        <f t="shared" si="40"/>
        <v>descr85</v>
      </c>
      <c r="AX85" s="71" t="str">
        <f t="shared" ref="AX85:AX149" si="47">"reason"&amp;ROW()</f>
        <v>reason85</v>
      </c>
    </row>
    <row r="86" spans="1:50" ht="40.5" hidden="1" customHeight="1">
      <c r="A86" s="188" t="s">
        <v>27</v>
      </c>
      <c r="B86" s="120" t="str">
        <f t="shared" si="46"/>
        <v>N</v>
      </c>
      <c r="C86" s="120"/>
      <c r="D86" s="121"/>
      <c r="E86" s="121"/>
      <c r="F86" s="122" t="str">
        <f t="shared" si="39"/>
        <v>PRD-BLG-2021-00000</v>
      </c>
      <c r="G86" s="207" t="s">
        <v>339</v>
      </c>
      <c r="H86" s="124" t="s">
        <v>498</v>
      </c>
      <c r="I86" s="239"/>
      <c r="J86" s="80">
        <f t="shared" si="42"/>
        <v>0</v>
      </c>
      <c r="K86" s="177">
        <f t="shared" si="41"/>
        <v>44242</v>
      </c>
      <c r="L86" s="146">
        <v>44242</v>
      </c>
      <c r="M86" s="147"/>
      <c r="N86" s="147"/>
      <c r="O86" s="147"/>
      <c r="P86" s="147"/>
      <c r="Q86" s="199" t="s">
        <v>15</v>
      </c>
      <c r="R86" s="199" t="s">
        <v>42</v>
      </c>
      <c r="S86" s="199"/>
      <c r="T86" s="199"/>
      <c r="U86" s="199"/>
      <c r="V86" s="199"/>
      <c r="W86" s="199"/>
      <c r="X86" s="144" t="s">
        <v>499</v>
      </c>
      <c r="Y86" s="173">
        <f t="shared" si="27"/>
        <v>0</v>
      </c>
      <c r="Z86" s="83">
        <f t="shared" si="43"/>
        <v>0</v>
      </c>
      <c r="AA86" s="84">
        <f t="shared" si="36"/>
        <v>0</v>
      </c>
      <c r="AB86" s="84">
        <f t="shared" si="26"/>
        <v>0</v>
      </c>
      <c r="AC86" s="84">
        <f t="shared" si="44"/>
        <v>0</v>
      </c>
      <c r="AD86" s="84"/>
      <c r="AE86" s="84">
        <f t="shared" si="20"/>
        <v>0</v>
      </c>
      <c r="AF86" s="84">
        <f t="shared" si="38"/>
        <v>0</v>
      </c>
      <c r="AG86" s="94">
        <f t="shared" si="21"/>
        <v>0</v>
      </c>
      <c r="AH86" s="85">
        <f>IFERROR(VLOOKUP(A86,CUSTOMERS!$A:$E,4),"")</f>
        <v>-150</v>
      </c>
      <c r="AI86" s="86" t="str">
        <f t="shared" si="37"/>
        <v/>
      </c>
      <c r="AJ86" s="87">
        <f>IFERROR(VLOOKUP(A86,CUSTOMERS!$A:$F,5),"")</f>
        <v>0</v>
      </c>
      <c r="AK86" s="96"/>
      <c r="AL86" s="96">
        <v>0</v>
      </c>
      <c r="AM86" s="96">
        <v>0</v>
      </c>
      <c r="AN86" s="96"/>
      <c r="AO86" s="96">
        <v>0</v>
      </c>
      <c r="AP86" s="103">
        <f t="shared" si="45"/>
        <v>0</v>
      </c>
      <c r="AQ86" s="103">
        <f t="shared" si="35"/>
        <v>0</v>
      </c>
      <c r="AR86" s="68" t="str">
        <f>IFERROR(VLOOKUP(A86,CUSTOMERS!$A:$B,2),"")</f>
        <v>PRD</v>
      </c>
      <c r="AS86" s="68" t="str">
        <f>IFERROR(VLOOKUP(A86,CUSTOMERS!$A:$D,3),"")</f>
        <v>BLG</v>
      </c>
      <c r="AT86" s="68" t="str">
        <f>IFERROR(VLOOKUP(A86,CUSTOMERS!$A:$F,6),"")</f>
        <v>N</v>
      </c>
      <c r="AU86" s="69">
        <f>IFERROR(VLOOKUP(A86,CUSTOMERS!$A:$E,4),"")</f>
        <v>-150</v>
      </c>
      <c r="AV86" s="68" t="str">
        <f t="shared" si="32"/>
        <v/>
      </c>
      <c r="AW86" s="70" t="str">
        <f t="shared" si="40"/>
        <v>descr86</v>
      </c>
      <c r="AX86" s="71" t="str">
        <f t="shared" si="47"/>
        <v>reason86</v>
      </c>
    </row>
    <row r="87" spans="1:50" ht="39" customHeight="1">
      <c r="A87" s="188" t="s">
        <v>27</v>
      </c>
      <c r="B87" s="125" t="str">
        <f t="shared" si="46"/>
        <v>N</v>
      </c>
      <c r="C87" s="125"/>
      <c r="D87" s="126"/>
      <c r="E87" s="126"/>
      <c r="F87" s="122" t="str">
        <f t="shared" si="39"/>
        <v>PRD-BLG-2021-00000</v>
      </c>
      <c r="G87" s="123" t="s">
        <v>29</v>
      </c>
      <c r="H87" s="124" t="s">
        <v>500</v>
      </c>
      <c r="I87" s="239"/>
      <c r="J87" s="80">
        <f t="shared" si="42"/>
        <v>0</v>
      </c>
      <c r="K87" s="177">
        <f t="shared" si="41"/>
        <v>44271</v>
      </c>
      <c r="L87" s="146">
        <v>44271</v>
      </c>
      <c r="M87" s="147"/>
      <c r="N87" s="147"/>
      <c r="O87" s="147"/>
      <c r="P87" s="147"/>
      <c r="Q87" s="199" t="s">
        <v>15</v>
      </c>
      <c r="R87" s="199" t="s">
        <v>42</v>
      </c>
      <c r="S87" s="199" t="s">
        <v>308</v>
      </c>
      <c r="T87" s="199" t="s">
        <v>455</v>
      </c>
      <c r="U87" s="199" t="s">
        <v>450</v>
      </c>
      <c r="V87" s="199"/>
      <c r="W87" s="199"/>
      <c r="X87" s="236" t="s">
        <v>501</v>
      </c>
      <c r="Y87" s="173">
        <f t="shared" si="27"/>
        <v>0</v>
      </c>
      <c r="Z87" s="83">
        <f t="shared" si="43"/>
        <v>0</v>
      </c>
      <c r="AA87" s="84">
        <f t="shared" si="36"/>
        <v>0</v>
      </c>
      <c r="AB87" s="84">
        <f t="shared" si="26"/>
        <v>0</v>
      </c>
      <c r="AC87" s="84">
        <f t="shared" si="44"/>
        <v>0</v>
      </c>
      <c r="AD87" s="84"/>
      <c r="AE87" s="84">
        <f t="shared" si="20"/>
        <v>0</v>
      </c>
      <c r="AF87" s="84">
        <f t="shared" si="38"/>
        <v>0</v>
      </c>
      <c r="AG87" s="94">
        <f t="shared" si="21"/>
        <v>0</v>
      </c>
      <c r="AH87" s="85">
        <f>IFERROR(VLOOKUP(A87,CUSTOMERS!$A:$E,4),"")</f>
        <v>-150</v>
      </c>
      <c r="AI87" s="86" t="str">
        <f t="shared" si="37"/>
        <v/>
      </c>
      <c r="AJ87" s="87">
        <f>IFERROR(VLOOKUP(A87,CUSTOMERS!$A:$F,5),"")</f>
        <v>0</v>
      </c>
      <c r="AK87" s="96"/>
      <c r="AL87" s="96">
        <v>0</v>
      </c>
      <c r="AM87" s="96">
        <v>0</v>
      </c>
      <c r="AN87" s="96"/>
      <c r="AO87" s="96">
        <v>0</v>
      </c>
      <c r="AP87" s="103">
        <f t="shared" si="45"/>
        <v>0</v>
      </c>
      <c r="AQ87" s="103">
        <f t="shared" si="35"/>
        <v>0</v>
      </c>
      <c r="AR87" s="68" t="str">
        <f>IFERROR(VLOOKUP(A87,CUSTOMERS!$A:$B,2),"")</f>
        <v>PRD</v>
      </c>
      <c r="AS87" s="68" t="str">
        <f>IFERROR(VLOOKUP(A87,CUSTOMERS!$A:$D,3),"")</f>
        <v>BLG</v>
      </c>
      <c r="AT87" s="68" t="str">
        <f>IFERROR(VLOOKUP(A87,CUSTOMERS!$A:$F,6),"")</f>
        <v>N</v>
      </c>
      <c r="AU87" s="69">
        <f>IFERROR(VLOOKUP(A87,CUSTOMERS!$A:$E,4),"")</f>
        <v>-150</v>
      </c>
      <c r="AV87" s="68" t="str">
        <f t="shared" si="32"/>
        <v/>
      </c>
      <c r="AW87" s="74" t="s">
        <v>502</v>
      </c>
      <c r="AX87" s="75" t="s">
        <v>503</v>
      </c>
    </row>
    <row r="88" spans="1:50" ht="40.5" hidden="1" customHeight="1">
      <c r="A88" s="188" t="s">
        <v>27</v>
      </c>
      <c r="B88" s="125" t="str">
        <f t="shared" si="46"/>
        <v>N</v>
      </c>
      <c r="C88" s="125"/>
      <c r="D88" s="126"/>
      <c r="E88" s="126"/>
      <c r="F88" s="122" t="str">
        <f t="shared" si="39"/>
        <v>PRD-BLG-2021-00000</v>
      </c>
      <c r="G88" s="123" t="s">
        <v>339</v>
      </c>
      <c r="H88" s="124" t="s">
        <v>49</v>
      </c>
      <c r="I88" s="239"/>
      <c r="J88" s="80">
        <f t="shared" si="42"/>
        <v>0</v>
      </c>
      <c r="K88" s="177">
        <f t="shared" si="41"/>
        <v>44284</v>
      </c>
      <c r="L88" s="146">
        <v>44284</v>
      </c>
      <c r="M88" s="147"/>
      <c r="N88" s="147"/>
      <c r="O88" s="147"/>
      <c r="P88" s="147"/>
      <c r="Q88" s="199" t="s">
        <v>13</v>
      </c>
      <c r="R88" s="199" t="s">
        <v>31</v>
      </c>
      <c r="S88" s="199" t="s">
        <v>311</v>
      </c>
      <c r="T88" s="199" t="s">
        <v>450</v>
      </c>
      <c r="U88" s="199" t="s">
        <v>450</v>
      </c>
      <c r="V88" s="200">
        <v>44356</v>
      </c>
      <c r="W88" s="215" t="s">
        <v>504</v>
      </c>
      <c r="X88" s="144" t="s">
        <v>505</v>
      </c>
      <c r="Y88" s="173">
        <f t="shared" si="27"/>
        <v>0</v>
      </c>
      <c r="Z88" s="83">
        <f t="shared" si="43"/>
        <v>0</v>
      </c>
      <c r="AA88" s="84">
        <f t="shared" si="36"/>
        <v>0</v>
      </c>
      <c r="AB88" s="84">
        <f t="shared" si="26"/>
        <v>0</v>
      </c>
      <c r="AC88" s="84">
        <f t="shared" si="44"/>
        <v>0</v>
      </c>
      <c r="AD88" s="84"/>
      <c r="AE88" s="84">
        <f t="shared" si="20"/>
        <v>0</v>
      </c>
      <c r="AF88" s="84">
        <f t="shared" si="38"/>
        <v>0</v>
      </c>
      <c r="AG88" s="94">
        <f t="shared" si="21"/>
        <v>0</v>
      </c>
      <c r="AH88" s="85">
        <f>IFERROR(VLOOKUP(A88,CUSTOMERS!$A:$E,4),"")</f>
        <v>-150</v>
      </c>
      <c r="AI88" s="86" t="str">
        <f t="shared" si="37"/>
        <v/>
      </c>
      <c r="AJ88" s="87">
        <f>IFERROR(VLOOKUP(A88,CUSTOMERS!$A:$F,5),"")</f>
        <v>0</v>
      </c>
      <c r="AK88" s="96"/>
      <c r="AL88" s="96">
        <v>0</v>
      </c>
      <c r="AM88" s="96">
        <v>0</v>
      </c>
      <c r="AN88" s="96"/>
      <c r="AO88" s="96">
        <v>0</v>
      </c>
      <c r="AP88" s="103">
        <f t="shared" si="45"/>
        <v>0</v>
      </c>
      <c r="AQ88" s="103">
        <f t="shared" si="35"/>
        <v>0</v>
      </c>
      <c r="AR88" s="68" t="str">
        <f>IFERROR(VLOOKUP(A88,CUSTOMERS!$A:$B,2),"")</f>
        <v>PRD</v>
      </c>
      <c r="AS88" s="68" t="str">
        <f>IFERROR(VLOOKUP(A88,CUSTOMERS!$A:$D,3),"")</f>
        <v>BLG</v>
      </c>
      <c r="AT88" s="68" t="str">
        <f>IFERROR(VLOOKUP(A88,CUSTOMERS!$A:$F,6),"")</f>
        <v>N</v>
      </c>
      <c r="AU88" s="69">
        <f>IFERROR(VLOOKUP(A88,CUSTOMERS!$A:$E,4),"")</f>
        <v>-150</v>
      </c>
      <c r="AV88" s="68" t="str">
        <f t="shared" si="32"/>
        <v/>
      </c>
      <c r="AW88" s="70" t="str">
        <f t="shared" si="40"/>
        <v>descr88</v>
      </c>
      <c r="AX88" s="71" t="str">
        <f t="shared" si="47"/>
        <v>reason88</v>
      </c>
    </row>
    <row r="89" spans="1:50" ht="40.5" customHeight="1">
      <c r="A89" s="188" t="s">
        <v>50</v>
      </c>
      <c r="B89" s="120" t="str">
        <f t="shared" si="46"/>
        <v>N</v>
      </c>
      <c r="C89" s="120"/>
      <c r="D89" s="121">
        <v>1</v>
      </c>
      <c r="E89" s="121"/>
      <c r="F89" s="122" t="str">
        <f t="shared" si="39"/>
        <v>PRD-REQ-2020-00001</v>
      </c>
      <c r="G89" s="123" t="s">
        <v>291</v>
      </c>
      <c r="H89" s="124" t="s">
        <v>506</v>
      </c>
      <c r="I89" s="239"/>
      <c r="J89" s="80">
        <f t="shared" si="42"/>
        <v>0</v>
      </c>
      <c r="K89" s="177">
        <f t="shared" si="41"/>
        <v>43952</v>
      </c>
      <c r="L89" s="148">
        <v>43952</v>
      </c>
      <c r="M89" s="149"/>
      <c r="N89" s="150"/>
      <c r="O89" s="150"/>
      <c r="P89" s="150"/>
      <c r="Q89" s="200" t="s">
        <v>291</v>
      </c>
      <c r="R89" s="200" t="s">
        <v>31</v>
      </c>
      <c r="S89" s="200"/>
      <c r="T89" s="200"/>
      <c r="U89" s="200"/>
      <c r="V89" s="200"/>
      <c r="W89" s="200"/>
      <c r="X89" s="144" t="s">
        <v>469</v>
      </c>
      <c r="Y89" s="173">
        <f t="shared" si="27"/>
        <v>0</v>
      </c>
      <c r="Z89" s="83">
        <f t="shared" si="43"/>
        <v>0</v>
      </c>
      <c r="AA89" s="84">
        <f t="shared" si="36"/>
        <v>0</v>
      </c>
      <c r="AB89" s="84">
        <f t="shared" si="26"/>
        <v>0</v>
      </c>
      <c r="AC89" s="84">
        <f t="shared" si="44"/>
        <v>0</v>
      </c>
      <c r="AD89" s="84"/>
      <c r="AE89" s="84">
        <f t="shared" si="20"/>
        <v>0</v>
      </c>
      <c r="AF89" s="84">
        <f t="shared" si="38"/>
        <v>0</v>
      </c>
      <c r="AG89" s="94">
        <f t="shared" si="21"/>
        <v>0</v>
      </c>
      <c r="AH89" s="85">
        <f>IFERROR(VLOOKUP(A89,CUSTOMERS!$A:$E,4),"")</f>
        <v>-150</v>
      </c>
      <c r="AI89" s="86" t="str">
        <f t="shared" si="37"/>
        <v/>
      </c>
      <c r="AJ89" s="87">
        <f>IFERROR(VLOOKUP(A89,CUSTOMERS!$A:$F,5),"")</f>
        <v>0</v>
      </c>
      <c r="AK89" s="96"/>
      <c r="AL89" s="96">
        <v>0</v>
      </c>
      <c r="AM89" s="96">
        <v>0</v>
      </c>
      <c r="AN89" s="96"/>
      <c r="AO89" s="96">
        <v>0</v>
      </c>
      <c r="AP89" s="102">
        <f t="shared" si="45"/>
        <v>0</v>
      </c>
      <c r="AQ89" s="102">
        <f t="shared" si="35"/>
        <v>0</v>
      </c>
      <c r="AR89" s="68" t="str">
        <f>IFERROR(VLOOKUP(A89,CUSTOMERS!$A:$B,2),"")</f>
        <v>PRD</v>
      </c>
      <c r="AS89" s="68" t="str">
        <f>IFERROR(VLOOKUP(A89,CUSTOMERS!$A:$D,3),"")</f>
        <v>REQ</v>
      </c>
      <c r="AT89" s="68" t="str">
        <f>IFERROR(VLOOKUP(A89,CUSTOMERS!$A:$F,6),"")</f>
        <v>N</v>
      </c>
      <c r="AU89" s="69">
        <f>IFERROR(VLOOKUP(A89,CUSTOMERS!$A:$E,4),"")</f>
        <v>-150</v>
      </c>
      <c r="AV89" s="68" t="str">
        <f t="shared" si="32"/>
        <v/>
      </c>
      <c r="AW89" s="70" t="str">
        <f t="shared" si="40"/>
        <v>descr89</v>
      </c>
      <c r="AX89" s="71" t="str">
        <f t="shared" si="47"/>
        <v>reason89</v>
      </c>
    </row>
    <row r="90" spans="1:50" ht="40.5" customHeight="1">
      <c r="A90" s="188" t="s">
        <v>50</v>
      </c>
      <c r="B90" s="120" t="str">
        <f t="shared" si="46"/>
        <v>N</v>
      </c>
      <c r="C90" s="120"/>
      <c r="D90" s="121">
        <v>4</v>
      </c>
      <c r="E90" s="121"/>
      <c r="F90" s="122" t="str">
        <f t="shared" si="39"/>
        <v>PRD-REQ-2020-00004</v>
      </c>
      <c r="G90" s="123" t="s">
        <v>291</v>
      </c>
      <c r="H90" s="124" t="s">
        <v>507</v>
      </c>
      <c r="I90" s="239"/>
      <c r="J90" s="80">
        <f t="shared" si="42"/>
        <v>0</v>
      </c>
      <c r="K90" s="177">
        <f t="shared" si="41"/>
        <v>43952</v>
      </c>
      <c r="L90" s="148">
        <v>43952</v>
      </c>
      <c r="M90" s="149"/>
      <c r="N90" s="150"/>
      <c r="O90" s="150"/>
      <c r="P90" s="150"/>
      <c r="Q90" s="200" t="s">
        <v>16</v>
      </c>
      <c r="R90" s="200" t="s">
        <v>31</v>
      </c>
      <c r="S90" s="200"/>
      <c r="T90" s="200"/>
      <c r="U90" s="200"/>
      <c r="V90" s="200"/>
      <c r="W90" s="200"/>
      <c r="X90" s="144" t="s">
        <v>469</v>
      </c>
      <c r="Y90" s="173">
        <f t="shared" si="27"/>
        <v>0</v>
      </c>
      <c r="Z90" s="83">
        <f t="shared" si="43"/>
        <v>0</v>
      </c>
      <c r="AA90" s="84">
        <f t="shared" si="36"/>
        <v>0</v>
      </c>
      <c r="AB90" s="84">
        <f t="shared" si="26"/>
        <v>0</v>
      </c>
      <c r="AC90" s="84">
        <f t="shared" si="44"/>
        <v>0</v>
      </c>
      <c r="AD90" s="84"/>
      <c r="AE90" s="84">
        <f t="shared" si="20"/>
        <v>0</v>
      </c>
      <c r="AF90" s="84">
        <f t="shared" si="38"/>
        <v>0</v>
      </c>
      <c r="AG90" s="94">
        <f t="shared" si="21"/>
        <v>0</v>
      </c>
      <c r="AH90" s="85">
        <f>IFERROR(VLOOKUP(A90,CUSTOMERS!$A:$E,4),"")</f>
        <v>-150</v>
      </c>
      <c r="AI90" s="86" t="str">
        <f t="shared" si="37"/>
        <v/>
      </c>
      <c r="AJ90" s="87">
        <f>IFERROR(VLOOKUP(A90,CUSTOMERS!$A:$F,5),"")</f>
        <v>0</v>
      </c>
      <c r="AK90" s="96"/>
      <c r="AL90" s="96">
        <v>0</v>
      </c>
      <c r="AM90" s="96">
        <v>0</v>
      </c>
      <c r="AN90" s="96"/>
      <c r="AO90" s="96">
        <v>0</v>
      </c>
      <c r="AP90" s="102">
        <f t="shared" si="45"/>
        <v>0</v>
      </c>
      <c r="AQ90" s="102">
        <f t="shared" si="35"/>
        <v>0</v>
      </c>
      <c r="AR90" s="68" t="str">
        <f>IFERROR(VLOOKUP(A90,CUSTOMERS!$A:$B,2),"")</f>
        <v>PRD</v>
      </c>
      <c r="AS90" s="68" t="str">
        <f>IFERROR(VLOOKUP(A90,CUSTOMERS!$A:$D,3),"")</f>
        <v>REQ</v>
      </c>
      <c r="AT90" s="68" t="str">
        <f>IFERROR(VLOOKUP(A90,CUSTOMERS!$A:$F,6),"")</f>
        <v>N</v>
      </c>
      <c r="AU90" s="69">
        <f>IFERROR(VLOOKUP(A90,CUSTOMERS!$A:$E,4),"")</f>
        <v>-150</v>
      </c>
      <c r="AV90" s="68" t="str">
        <f t="shared" si="32"/>
        <v/>
      </c>
      <c r="AW90" s="70" t="str">
        <f t="shared" si="40"/>
        <v>descr90</v>
      </c>
      <c r="AX90" s="71" t="str">
        <f t="shared" si="47"/>
        <v>reason90</v>
      </c>
    </row>
    <row r="91" spans="1:50" ht="40.5" hidden="1" customHeight="1">
      <c r="A91" s="188" t="s">
        <v>50</v>
      </c>
      <c r="B91" s="120" t="str">
        <f t="shared" si="46"/>
        <v>N</v>
      </c>
      <c r="C91" s="120"/>
      <c r="D91" s="121">
        <v>6</v>
      </c>
      <c r="E91" s="121"/>
      <c r="F91" s="122" t="str">
        <f t="shared" si="39"/>
        <v>PRD-REQ-2020-00006</v>
      </c>
      <c r="G91" s="123" t="s">
        <v>339</v>
      </c>
      <c r="H91" s="124" t="s">
        <v>52</v>
      </c>
      <c r="I91" s="239"/>
      <c r="J91" s="80">
        <f t="shared" si="42"/>
        <v>0</v>
      </c>
      <c r="K91" s="177">
        <f t="shared" si="41"/>
        <v>43952</v>
      </c>
      <c r="L91" s="148">
        <v>43952</v>
      </c>
      <c r="M91" s="149"/>
      <c r="N91" s="150"/>
      <c r="O91" s="150"/>
      <c r="P91" s="150"/>
      <c r="Q91" s="200" t="s">
        <v>16</v>
      </c>
      <c r="R91" s="200" t="s">
        <v>31</v>
      </c>
      <c r="S91" s="200" t="s">
        <v>311</v>
      </c>
      <c r="T91" s="200" t="s">
        <v>450</v>
      </c>
      <c r="U91" s="200" t="s">
        <v>451</v>
      </c>
      <c r="V91" s="200">
        <v>44356</v>
      </c>
      <c r="W91" s="200" t="s">
        <v>508</v>
      </c>
      <c r="X91" s="144" t="s">
        <v>509</v>
      </c>
      <c r="Y91" s="173">
        <f t="shared" si="27"/>
        <v>0</v>
      </c>
      <c r="Z91" s="83">
        <f t="shared" si="43"/>
        <v>0</v>
      </c>
      <c r="AA91" s="84">
        <f t="shared" si="36"/>
        <v>0</v>
      </c>
      <c r="AB91" s="84">
        <f t="shared" si="26"/>
        <v>0</v>
      </c>
      <c r="AC91" s="84">
        <f t="shared" si="44"/>
        <v>0</v>
      </c>
      <c r="AD91" s="84"/>
      <c r="AE91" s="84">
        <f t="shared" si="20"/>
        <v>0</v>
      </c>
      <c r="AF91" s="84">
        <f t="shared" si="38"/>
        <v>0</v>
      </c>
      <c r="AG91" s="94">
        <f t="shared" si="21"/>
        <v>0</v>
      </c>
      <c r="AH91" s="85">
        <f>IFERROR(VLOOKUP(A91,CUSTOMERS!$A:$E,4),"")</f>
        <v>-150</v>
      </c>
      <c r="AI91" s="86" t="str">
        <f t="shared" si="37"/>
        <v/>
      </c>
      <c r="AJ91" s="87">
        <f>IFERROR(VLOOKUP(A91,CUSTOMERS!$A:$F,5),"")</f>
        <v>0</v>
      </c>
      <c r="AK91" s="96"/>
      <c r="AL91" s="96">
        <v>0</v>
      </c>
      <c r="AM91" s="96">
        <v>0</v>
      </c>
      <c r="AN91" s="96"/>
      <c r="AO91" s="96">
        <v>0</v>
      </c>
      <c r="AP91" s="102">
        <f t="shared" si="45"/>
        <v>0</v>
      </c>
      <c r="AQ91" s="102">
        <f t="shared" si="35"/>
        <v>0</v>
      </c>
      <c r="AR91" s="68" t="str">
        <f>IFERROR(VLOOKUP(A91,CUSTOMERS!$A:$B,2),"")</f>
        <v>PRD</v>
      </c>
      <c r="AS91" s="68" t="str">
        <f>IFERROR(VLOOKUP(A91,CUSTOMERS!$A:$D,3),"")</f>
        <v>REQ</v>
      </c>
      <c r="AT91" s="68" t="str">
        <f>IFERROR(VLOOKUP(A91,CUSTOMERS!$A:$F,6),"")</f>
        <v>N</v>
      </c>
      <c r="AU91" s="69">
        <f>IFERROR(VLOOKUP(A91,CUSTOMERS!$A:$E,4),"")</f>
        <v>-150</v>
      </c>
      <c r="AV91" s="68" t="str">
        <f t="shared" si="32"/>
        <v/>
      </c>
      <c r="AW91" s="70" t="str">
        <f t="shared" si="40"/>
        <v>descr91</v>
      </c>
      <c r="AX91" s="71" t="str">
        <f t="shared" si="47"/>
        <v>reason91</v>
      </c>
    </row>
    <row r="92" spans="1:50" ht="40.5" customHeight="1">
      <c r="A92" s="188" t="s">
        <v>50</v>
      </c>
      <c r="B92" s="120" t="str">
        <f t="shared" si="46"/>
        <v>N</v>
      </c>
      <c r="C92" s="120"/>
      <c r="D92" s="121">
        <v>8</v>
      </c>
      <c r="E92" s="121"/>
      <c r="F92" s="122" t="str">
        <f t="shared" si="39"/>
        <v>PRD-REQ-2020-00008</v>
      </c>
      <c r="G92" s="123" t="s">
        <v>291</v>
      </c>
      <c r="H92" s="124" t="s">
        <v>510</v>
      </c>
      <c r="I92" s="239"/>
      <c r="J92" s="80">
        <f t="shared" si="42"/>
        <v>0</v>
      </c>
      <c r="K92" s="177">
        <f t="shared" si="41"/>
        <v>43952</v>
      </c>
      <c r="L92" s="148">
        <v>43952</v>
      </c>
      <c r="M92" s="149"/>
      <c r="N92" s="150"/>
      <c r="O92" s="150"/>
      <c r="P92" s="150"/>
      <c r="Q92" s="200" t="s">
        <v>291</v>
      </c>
      <c r="R92" s="200" t="s">
        <v>31</v>
      </c>
      <c r="S92" s="200"/>
      <c r="T92" s="200"/>
      <c r="U92" s="200"/>
      <c r="V92" s="200"/>
      <c r="W92" s="200"/>
      <c r="X92" s="144"/>
      <c r="Y92" s="173">
        <f t="shared" si="27"/>
        <v>0</v>
      </c>
      <c r="Z92" s="83">
        <f t="shared" si="43"/>
        <v>0</v>
      </c>
      <c r="AA92" s="84">
        <f t="shared" si="36"/>
        <v>0</v>
      </c>
      <c r="AB92" s="84">
        <f t="shared" si="26"/>
        <v>0</v>
      </c>
      <c r="AC92" s="84">
        <f t="shared" si="44"/>
        <v>0</v>
      </c>
      <c r="AD92" s="84"/>
      <c r="AE92" s="84">
        <f t="shared" si="20"/>
        <v>0</v>
      </c>
      <c r="AF92" s="84">
        <f t="shared" si="38"/>
        <v>0</v>
      </c>
      <c r="AG92" s="94">
        <f t="shared" si="21"/>
        <v>0</v>
      </c>
      <c r="AH92" s="85">
        <f>IFERROR(VLOOKUP(A92,CUSTOMERS!$A:$E,4),"")</f>
        <v>-150</v>
      </c>
      <c r="AI92" s="86" t="str">
        <f t="shared" si="37"/>
        <v/>
      </c>
      <c r="AJ92" s="87">
        <f>IFERROR(VLOOKUP(A92,CUSTOMERS!$A:$F,5),"")</f>
        <v>0</v>
      </c>
      <c r="AK92" s="96"/>
      <c r="AL92" s="96">
        <v>0</v>
      </c>
      <c r="AM92" s="96">
        <v>0</v>
      </c>
      <c r="AN92" s="96"/>
      <c r="AO92" s="96">
        <v>0</v>
      </c>
      <c r="AP92" s="102">
        <f t="shared" si="45"/>
        <v>0</v>
      </c>
      <c r="AQ92" s="102">
        <f t="shared" si="35"/>
        <v>0</v>
      </c>
      <c r="AR92" s="68" t="str">
        <f>IFERROR(VLOOKUP(A92,CUSTOMERS!$A:$B,2),"")</f>
        <v>PRD</v>
      </c>
      <c r="AS92" s="68" t="str">
        <f>IFERROR(VLOOKUP(A92,CUSTOMERS!$A:$D,3),"")</f>
        <v>REQ</v>
      </c>
      <c r="AT92" s="68" t="str">
        <f>IFERROR(VLOOKUP(A92,CUSTOMERS!$A:$F,6),"")</f>
        <v>N</v>
      </c>
      <c r="AU92" s="69">
        <f>IFERROR(VLOOKUP(A92,CUSTOMERS!$A:$E,4),"")</f>
        <v>-150</v>
      </c>
      <c r="AV92" s="68" t="str">
        <f t="shared" si="32"/>
        <v/>
      </c>
      <c r="AX92" s="71" t="str">
        <f t="shared" si="47"/>
        <v>reason92</v>
      </c>
    </row>
    <row r="93" spans="1:50" ht="40.5" customHeight="1">
      <c r="A93" s="188" t="s">
        <v>27</v>
      </c>
      <c r="B93" s="120" t="str">
        <f t="shared" si="46"/>
        <v>N</v>
      </c>
      <c r="C93" s="120"/>
      <c r="D93" s="121">
        <v>9</v>
      </c>
      <c r="E93" s="121"/>
      <c r="F93" s="122" t="str">
        <f t="shared" si="39"/>
        <v>PRD-BLG-2020-00009</v>
      </c>
      <c r="G93" s="123" t="s">
        <v>29</v>
      </c>
      <c r="H93" s="124" t="s">
        <v>54</v>
      </c>
      <c r="I93" s="239"/>
      <c r="J93" s="80">
        <f t="shared" si="42"/>
        <v>0</v>
      </c>
      <c r="K93" s="177">
        <f t="shared" si="41"/>
        <v>44020</v>
      </c>
      <c r="L93" s="151">
        <v>44020</v>
      </c>
      <c r="M93" s="149"/>
      <c r="N93" s="150"/>
      <c r="O93" s="150"/>
      <c r="P93" s="150"/>
      <c r="Q93" s="200" t="s">
        <v>17</v>
      </c>
      <c r="R93" s="200" t="s">
        <v>4</v>
      </c>
      <c r="S93" s="200" t="s">
        <v>311</v>
      </c>
      <c r="T93" s="200" t="s">
        <v>450</v>
      </c>
      <c r="U93" s="200" t="s">
        <v>451</v>
      </c>
      <c r="V93" s="200"/>
      <c r="W93" s="200"/>
      <c r="X93" s="144" t="s">
        <v>511</v>
      </c>
      <c r="Y93" s="173">
        <f t="shared" si="27"/>
        <v>0</v>
      </c>
      <c r="Z93" s="83">
        <f t="shared" si="43"/>
        <v>0</v>
      </c>
      <c r="AA93" s="84">
        <f t="shared" si="36"/>
        <v>0</v>
      </c>
      <c r="AB93" s="84">
        <f t="shared" si="26"/>
        <v>0</v>
      </c>
      <c r="AC93" s="84">
        <f t="shared" si="44"/>
        <v>0</v>
      </c>
      <c r="AD93" s="84"/>
      <c r="AE93" s="84">
        <f t="shared" si="20"/>
        <v>0</v>
      </c>
      <c r="AF93" s="84">
        <f t="shared" si="38"/>
        <v>0</v>
      </c>
      <c r="AG93" s="94">
        <f t="shared" si="21"/>
        <v>0</v>
      </c>
      <c r="AH93" s="85">
        <f>IFERROR(VLOOKUP(A93,CUSTOMERS!$A:$E,4),"")</f>
        <v>-150</v>
      </c>
      <c r="AI93" s="86" t="str">
        <f t="shared" si="37"/>
        <v/>
      </c>
      <c r="AJ93" s="87">
        <f>IFERROR(VLOOKUP(A93,CUSTOMERS!$A:$F,5),"")</f>
        <v>0</v>
      </c>
      <c r="AK93" s="96"/>
      <c r="AL93" s="96">
        <v>0</v>
      </c>
      <c r="AM93" s="96">
        <v>0</v>
      </c>
      <c r="AN93" s="96"/>
      <c r="AO93" s="96">
        <v>0</v>
      </c>
      <c r="AP93" s="102">
        <f t="shared" si="45"/>
        <v>0</v>
      </c>
      <c r="AQ93" s="102">
        <f t="shared" si="35"/>
        <v>0</v>
      </c>
      <c r="AR93" s="68" t="str">
        <f>IFERROR(VLOOKUP(A93,CUSTOMERS!$A:$B,2),"")</f>
        <v>PRD</v>
      </c>
      <c r="AS93" s="68" t="str">
        <f>IFERROR(VLOOKUP(A93,CUSTOMERS!$A:$D,3),"")</f>
        <v>BLG</v>
      </c>
      <c r="AT93" s="68" t="str">
        <f>IFERROR(VLOOKUP(A93,CUSTOMERS!$A:$F,6),"")</f>
        <v>N</v>
      </c>
      <c r="AU93" s="69">
        <f>IFERROR(VLOOKUP(A93,CUSTOMERS!$A:$E,4),"")</f>
        <v>-150</v>
      </c>
      <c r="AV93" s="68" t="str">
        <f t="shared" si="32"/>
        <v/>
      </c>
      <c r="AX93" s="71" t="str">
        <f t="shared" si="47"/>
        <v>reason93</v>
      </c>
    </row>
    <row r="94" spans="1:50" ht="40.5" customHeight="1">
      <c r="A94" s="188" t="s">
        <v>27</v>
      </c>
      <c r="B94" s="120" t="str">
        <f t="shared" si="46"/>
        <v>N</v>
      </c>
      <c r="C94" s="120"/>
      <c r="D94" s="121">
        <v>10</v>
      </c>
      <c r="E94" s="121"/>
      <c r="F94" s="122" t="str">
        <f t="shared" si="39"/>
        <v>PRD-BLG-2020-00010</v>
      </c>
      <c r="G94" s="123" t="s">
        <v>56</v>
      </c>
      <c r="H94" s="124" t="s">
        <v>57</v>
      </c>
      <c r="I94" s="239"/>
      <c r="J94" s="80">
        <f t="shared" si="42"/>
        <v>-11250</v>
      </c>
      <c r="K94" s="177">
        <f t="shared" si="41"/>
        <v>43874</v>
      </c>
      <c r="L94" s="148">
        <v>43874</v>
      </c>
      <c r="M94" s="149"/>
      <c r="N94" s="150"/>
      <c r="O94" s="150"/>
      <c r="P94" s="150"/>
      <c r="Q94" s="200" t="s">
        <v>17</v>
      </c>
      <c r="R94" s="200" t="s">
        <v>4</v>
      </c>
      <c r="S94" s="200" t="s">
        <v>308</v>
      </c>
      <c r="T94" s="200" t="s">
        <v>450</v>
      </c>
      <c r="U94" s="200" t="s">
        <v>450</v>
      </c>
      <c r="V94" s="200"/>
      <c r="W94" s="200"/>
      <c r="X94" s="144" t="s">
        <v>512</v>
      </c>
      <c r="Y94" s="173">
        <f t="shared" si="27"/>
        <v>-11250</v>
      </c>
      <c r="Z94" s="83">
        <f t="shared" si="43"/>
        <v>-1377.5510204081634</v>
      </c>
      <c r="AA94" s="84">
        <f t="shared" si="36"/>
        <v>-5280.6122448979595</v>
      </c>
      <c r="AB94" s="84">
        <f t="shared" si="26"/>
        <v>-1836.7346938775509</v>
      </c>
      <c r="AC94" s="84">
        <f t="shared" si="44"/>
        <v>-1377.5510204081634</v>
      </c>
      <c r="AD94" s="84"/>
      <c r="AE94" s="84">
        <f t="shared" si="20"/>
        <v>-1377.5510204081634</v>
      </c>
      <c r="AF94" s="84">
        <f t="shared" si="38"/>
        <v>-11250</v>
      </c>
      <c r="AG94" s="94">
        <f t="shared" si="21"/>
        <v>0</v>
      </c>
      <c r="AH94" s="85">
        <f>IFERROR(VLOOKUP(A94,CUSTOMERS!$A:$E,4),"")</f>
        <v>-150</v>
      </c>
      <c r="AI94" s="86" t="str">
        <f t="shared" si="37"/>
        <v/>
      </c>
      <c r="AJ94" s="87">
        <f>IFERROR(VLOOKUP(A94,CUSTOMERS!$A:$F,5),"")</f>
        <v>0</v>
      </c>
      <c r="AK94" s="97">
        <v>1.2244897959183674</v>
      </c>
      <c r="AL94" s="97">
        <v>4.6938775510204085</v>
      </c>
      <c r="AM94" s="97">
        <v>1.6326530612244896</v>
      </c>
      <c r="AN94" s="97">
        <v>1.2244897959183674</v>
      </c>
      <c r="AO94" s="97">
        <v>1.2244897959183674</v>
      </c>
      <c r="AP94" s="102">
        <f t="shared" si="45"/>
        <v>10.000000000000002</v>
      </c>
      <c r="AQ94" s="102">
        <f t="shared" si="35"/>
        <v>0</v>
      </c>
      <c r="AR94" s="68" t="str">
        <f>IFERROR(VLOOKUP(A94,CUSTOMERS!$A:$B,2),"")</f>
        <v>PRD</v>
      </c>
      <c r="AS94" s="68" t="str">
        <f>IFERROR(VLOOKUP(A94,CUSTOMERS!$A:$D,3),"")</f>
        <v>BLG</v>
      </c>
      <c r="AT94" s="68" t="str">
        <f>IFERROR(VLOOKUP(A94,CUSTOMERS!$A:$F,6),"")</f>
        <v>N</v>
      </c>
      <c r="AU94" s="69">
        <f>IFERROR(VLOOKUP(A94,CUSTOMERS!$A:$E,4),"")</f>
        <v>-150</v>
      </c>
      <c r="AV94" s="68" t="str">
        <f t="shared" si="32"/>
        <v/>
      </c>
      <c r="AX94" s="71" t="str">
        <f t="shared" si="47"/>
        <v>reason94</v>
      </c>
    </row>
    <row r="95" spans="1:50" ht="47.25">
      <c r="A95" s="188" t="s">
        <v>27</v>
      </c>
      <c r="B95" s="120" t="str">
        <f t="shared" si="46"/>
        <v>N</v>
      </c>
      <c r="C95" s="120"/>
      <c r="D95" s="121">
        <v>13</v>
      </c>
      <c r="E95" s="121"/>
      <c r="F95" s="122" t="str">
        <f t="shared" si="39"/>
        <v>PRD-BLG-2020-00013</v>
      </c>
      <c r="G95" s="123" t="s">
        <v>29</v>
      </c>
      <c r="H95" s="124" t="s">
        <v>513</v>
      </c>
      <c r="I95" s="239"/>
      <c r="J95" s="80">
        <f t="shared" si="42"/>
        <v>0</v>
      </c>
      <c r="K95" s="177">
        <f t="shared" si="41"/>
        <v>44173</v>
      </c>
      <c r="L95" s="141">
        <v>44173</v>
      </c>
      <c r="M95" s="149"/>
      <c r="N95" s="150"/>
      <c r="O95" s="150"/>
      <c r="P95" s="150"/>
      <c r="Q95" s="200" t="s">
        <v>15</v>
      </c>
      <c r="R95" s="200" t="s">
        <v>42</v>
      </c>
      <c r="S95" s="200" t="s">
        <v>308</v>
      </c>
      <c r="T95" s="200" t="s">
        <v>451</v>
      </c>
      <c r="U95" s="200" t="s">
        <v>451</v>
      </c>
      <c r="V95" s="200"/>
      <c r="W95" s="200"/>
      <c r="X95" s="144" t="s">
        <v>514</v>
      </c>
      <c r="Y95" s="173">
        <f t="shared" si="27"/>
        <v>0</v>
      </c>
      <c r="Z95" s="83">
        <f t="shared" si="43"/>
        <v>0</v>
      </c>
      <c r="AA95" s="84">
        <f t="shared" si="36"/>
        <v>0</v>
      </c>
      <c r="AB95" s="84">
        <f t="shared" si="26"/>
        <v>0</v>
      </c>
      <c r="AC95" s="84">
        <f t="shared" si="44"/>
        <v>0</v>
      </c>
      <c r="AD95" s="84"/>
      <c r="AE95" s="84">
        <f t="shared" si="20"/>
        <v>0</v>
      </c>
      <c r="AF95" s="84">
        <f t="shared" si="38"/>
        <v>0</v>
      </c>
      <c r="AG95" s="94">
        <f t="shared" si="21"/>
        <v>0</v>
      </c>
      <c r="AH95" s="85">
        <f>IFERROR(VLOOKUP(A95,CUSTOMERS!$A:$E,4),"")</f>
        <v>-150</v>
      </c>
      <c r="AI95" s="86" t="str">
        <f t="shared" si="37"/>
        <v/>
      </c>
      <c r="AJ95" s="87">
        <f>IFERROR(VLOOKUP(A95,CUSTOMERS!$A:$F,5),"")</f>
        <v>0</v>
      </c>
      <c r="AK95" s="96"/>
      <c r="AL95" s="96">
        <v>0</v>
      </c>
      <c r="AM95" s="96">
        <v>0</v>
      </c>
      <c r="AN95" s="96"/>
      <c r="AO95" s="96">
        <v>0</v>
      </c>
      <c r="AP95" s="102">
        <f t="shared" si="45"/>
        <v>0</v>
      </c>
      <c r="AQ95" s="102">
        <f t="shared" si="35"/>
        <v>0</v>
      </c>
      <c r="AR95" s="68" t="str">
        <f>IFERROR(VLOOKUP(A95,CUSTOMERS!$A:$B,2),"")</f>
        <v>PRD</v>
      </c>
      <c r="AS95" s="68" t="str">
        <f>IFERROR(VLOOKUP(A95,CUSTOMERS!$A:$D,3),"")</f>
        <v>BLG</v>
      </c>
      <c r="AT95" s="68" t="str">
        <f>IFERROR(VLOOKUP(A95,CUSTOMERS!$A:$F,6),"")</f>
        <v>N</v>
      </c>
      <c r="AU95" s="69">
        <f>IFERROR(VLOOKUP(A95,CUSTOMERS!$A:$E,4),"")</f>
        <v>-150</v>
      </c>
      <c r="AV95" s="68" t="str">
        <f t="shared" si="32"/>
        <v/>
      </c>
      <c r="AX95" s="71" t="str">
        <f t="shared" si="47"/>
        <v>reason95</v>
      </c>
    </row>
    <row r="96" spans="1:50" ht="40.5" customHeight="1">
      <c r="A96" s="188" t="s">
        <v>50</v>
      </c>
      <c r="B96" s="120" t="str">
        <f t="shared" si="46"/>
        <v>N</v>
      </c>
      <c r="C96" s="120"/>
      <c r="D96" s="121">
        <v>15</v>
      </c>
      <c r="E96" s="121"/>
      <c r="F96" s="122" t="str">
        <f t="shared" si="39"/>
        <v>PRD-REQ-2020-00015</v>
      </c>
      <c r="G96" s="123" t="s">
        <v>29</v>
      </c>
      <c r="H96" s="124" t="s">
        <v>61</v>
      </c>
      <c r="I96" s="239"/>
      <c r="J96" s="80">
        <f t="shared" si="42"/>
        <v>0</v>
      </c>
      <c r="K96" s="177">
        <f t="shared" si="41"/>
        <v>44040</v>
      </c>
      <c r="L96" s="141">
        <v>44040</v>
      </c>
      <c r="M96" s="142"/>
      <c r="N96" s="142"/>
      <c r="O96" s="142"/>
      <c r="P96" s="142"/>
      <c r="Q96" s="199" t="s">
        <v>14</v>
      </c>
      <c r="R96" s="199" t="s">
        <v>25</v>
      </c>
      <c r="S96" s="199" t="s">
        <v>308</v>
      </c>
      <c r="T96" s="199"/>
      <c r="U96" s="199"/>
      <c r="V96" s="199"/>
      <c r="W96" s="199"/>
      <c r="X96" s="144" t="s">
        <v>515</v>
      </c>
      <c r="Y96" s="173">
        <f t="shared" si="27"/>
        <v>0</v>
      </c>
      <c r="Z96" s="83">
        <f t="shared" si="43"/>
        <v>0</v>
      </c>
      <c r="AA96" s="84">
        <f t="shared" si="36"/>
        <v>0</v>
      </c>
      <c r="AB96" s="84">
        <f t="shared" si="26"/>
        <v>0</v>
      </c>
      <c r="AC96" s="84">
        <f t="shared" si="44"/>
        <v>0</v>
      </c>
      <c r="AD96" s="84"/>
      <c r="AE96" s="84">
        <f t="shared" si="20"/>
        <v>0</v>
      </c>
      <c r="AF96" s="84">
        <f t="shared" si="38"/>
        <v>0</v>
      </c>
      <c r="AG96" s="94">
        <f t="shared" si="21"/>
        <v>0</v>
      </c>
      <c r="AH96" s="85">
        <f>IFERROR(VLOOKUP(A96,CUSTOMERS!$A:$E,4),"")</f>
        <v>-150</v>
      </c>
      <c r="AI96" s="86" t="str">
        <f t="shared" si="37"/>
        <v/>
      </c>
      <c r="AJ96" s="87">
        <f>IFERROR(VLOOKUP(A96,CUSTOMERS!$A:$F,5),"")</f>
        <v>0</v>
      </c>
      <c r="AK96" s="96"/>
      <c r="AL96" s="96">
        <v>0</v>
      </c>
      <c r="AM96" s="96">
        <v>0</v>
      </c>
      <c r="AN96" s="96"/>
      <c r="AO96" s="96">
        <v>0</v>
      </c>
      <c r="AP96" s="102">
        <f t="shared" si="45"/>
        <v>0</v>
      </c>
      <c r="AQ96" s="102">
        <f t="shared" si="35"/>
        <v>0</v>
      </c>
      <c r="AR96" s="68" t="str">
        <f>IFERROR(VLOOKUP(A96,CUSTOMERS!$A:$B,2),"")</f>
        <v>PRD</v>
      </c>
      <c r="AS96" s="68" t="str">
        <f>IFERROR(VLOOKUP(A96,CUSTOMERS!$A:$D,3),"")</f>
        <v>REQ</v>
      </c>
      <c r="AT96" s="68" t="str">
        <f>IFERROR(VLOOKUP(A96,CUSTOMERS!$A:$F,6),"")</f>
        <v>N</v>
      </c>
      <c r="AU96" s="69">
        <f>IFERROR(VLOOKUP(A96,CUSTOMERS!$A:$E,4),"")</f>
        <v>-150</v>
      </c>
      <c r="AV96" s="68" t="str">
        <f t="shared" si="32"/>
        <v/>
      </c>
      <c r="AX96" s="71" t="str">
        <f t="shared" si="47"/>
        <v>reason96</v>
      </c>
    </row>
    <row r="97" spans="1:50" ht="40.5" customHeight="1">
      <c r="A97" s="188" t="s">
        <v>50</v>
      </c>
      <c r="B97" s="120" t="str">
        <f t="shared" si="46"/>
        <v>N</v>
      </c>
      <c r="C97" s="120"/>
      <c r="D97" s="121">
        <v>16</v>
      </c>
      <c r="E97" s="121"/>
      <c r="F97" s="122" t="str">
        <f t="shared" si="39"/>
        <v>PRD-REQ-2020-00016</v>
      </c>
      <c r="G97" s="123" t="s">
        <v>29</v>
      </c>
      <c r="H97" s="124" t="s">
        <v>63</v>
      </c>
      <c r="I97" s="239"/>
      <c r="J97" s="80">
        <f t="shared" si="42"/>
        <v>0</v>
      </c>
      <c r="K97" s="177">
        <f t="shared" si="41"/>
        <v>44040</v>
      </c>
      <c r="L97" s="141">
        <v>44040</v>
      </c>
      <c r="M97" s="142"/>
      <c r="N97" s="142"/>
      <c r="O97" s="142"/>
      <c r="P97" s="142"/>
      <c r="Q97" s="199" t="s">
        <v>13</v>
      </c>
      <c r="R97" s="199" t="s">
        <v>25</v>
      </c>
      <c r="S97" s="199" t="s">
        <v>308</v>
      </c>
      <c r="T97" s="199"/>
      <c r="U97" s="199"/>
      <c r="V97" s="199"/>
      <c r="W97" s="199"/>
      <c r="X97" s="144" t="s">
        <v>515</v>
      </c>
      <c r="Y97" s="173">
        <f t="shared" si="27"/>
        <v>0</v>
      </c>
      <c r="Z97" s="83">
        <f t="shared" si="43"/>
        <v>0</v>
      </c>
      <c r="AA97" s="84">
        <f t="shared" si="36"/>
        <v>0</v>
      </c>
      <c r="AB97" s="84">
        <f t="shared" si="26"/>
        <v>0</v>
      </c>
      <c r="AC97" s="84">
        <f t="shared" si="44"/>
        <v>0</v>
      </c>
      <c r="AD97" s="84"/>
      <c r="AE97" s="84">
        <f t="shared" si="20"/>
        <v>0</v>
      </c>
      <c r="AF97" s="84">
        <f t="shared" si="38"/>
        <v>0</v>
      </c>
      <c r="AG97" s="94">
        <f t="shared" si="21"/>
        <v>0</v>
      </c>
      <c r="AH97" s="85">
        <f>IFERROR(VLOOKUP(A97,CUSTOMERS!$A:$E,4),"")</f>
        <v>-150</v>
      </c>
      <c r="AI97" s="86" t="str">
        <f t="shared" si="37"/>
        <v/>
      </c>
      <c r="AJ97" s="87">
        <f>IFERROR(VLOOKUP(A97,CUSTOMERS!$A:$F,5),"")</f>
        <v>0</v>
      </c>
      <c r="AK97" s="96"/>
      <c r="AL97" s="96">
        <v>0</v>
      </c>
      <c r="AM97" s="96">
        <v>0</v>
      </c>
      <c r="AN97" s="96"/>
      <c r="AO97" s="96">
        <v>0</v>
      </c>
      <c r="AP97" s="102">
        <f t="shared" si="45"/>
        <v>0</v>
      </c>
      <c r="AQ97" s="102">
        <f t="shared" si="35"/>
        <v>0</v>
      </c>
      <c r="AR97" s="68" t="str">
        <f>IFERROR(VLOOKUP(A97,CUSTOMERS!$A:$B,2),"")</f>
        <v>PRD</v>
      </c>
      <c r="AS97" s="68" t="str">
        <f>IFERROR(VLOOKUP(A97,CUSTOMERS!$A:$D,3),"")</f>
        <v>REQ</v>
      </c>
      <c r="AT97" s="68" t="str">
        <f>IFERROR(VLOOKUP(A97,CUSTOMERS!$A:$F,6),"")</f>
        <v>N</v>
      </c>
      <c r="AU97" s="69">
        <f>IFERROR(VLOOKUP(A97,CUSTOMERS!$A:$E,4),"")</f>
        <v>-150</v>
      </c>
      <c r="AV97" s="68" t="str">
        <f t="shared" si="32"/>
        <v/>
      </c>
      <c r="AX97" s="71" t="str">
        <f t="shared" si="47"/>
        <v>reason97</v>
      </c>
    </row>
    <row r="98" spans="1:50" ht="40.5" customHeight="1">
      <c r="A98" s="188" t="s">
        <v>50</v>
      </c>
      <c r="B98" s="120" t="str">
        <f t="shared" si="46"/>
        <v>N</v>
      </c>
      <c r="C98" s="120"/>
      <c r="D98" s="121">
        <v>17</v>
      </c>
      <c r="E98" s="121"/>
      <c r="F98" s="122" t="str">
        <f t="shared" si="39"/>
        <v>PRD-REQ-2020-00017</v>
      </c>
      <c r="G98" s="123" t="s">
        <v>29</v>
      </c>
      <c r="H98" s="124" t="s">
        <v>65</v>
      </c>
      <c r="I98" s="239"/>
      <c r="J98" s="80">
        <f t="shared" si="42"/>
        <v>0</v>
      </c>
      <c r="K98" s="177">
        <f t="shared" si="41"/>
        <v>44069</v>
      </c>
      <c r="L98" s="141">
        <v>44069</v>
      </c>
      <c r="M98" s="142"/>
      <c r="N98" s="142"/>
      <c r="O98" s="142"/>
      <c r="P98" s="142"/>
      <c r="Q98" s="199" t="s">
        <v>17</v>
      </c>
      <c r="R98" s="199" t="s">
        <v>25</v>
      </c>
      <c r="S98" s="199" t="s">
        <v>308</v>
      </c>
      <c r="T98" s="199"/>
      <c r="U98" s="199"/>
      <c r="V98" s="199"/>
      <c r="W98" s="199"/>
      <c r="X98" s="144" t="s">
        <v>516</v>
      </c>
      <c r="Y98" s="173">
        <f t="shared" si="27"/>
        <v>0</v>
      </c>
      <c r="Z98" s="83">
        <f t="shared" si="43"/>
        <v>0</v>
      </c>
      <c r="AA98" s="84">
        <f t="shared" si="36"/>
        <v>0</v>
      </c>
      <c r="AB98" s="84">
        <f t="shared" si="26"/>
        <v>0</v>
      </c>
      <c r="AC98" s="84">
        <f t="shared" si="44"/>
        <v>0</v>
      </c>
      <c r="AD98" s="84"/>
      <c r="AE98" s="84">
        <f t="shared" ref="AE98:AE162" si="48">IFERROR((AO98*AH98)*7.5,"")</f>
        <v>0</v>
      </c>
      <c r="AF98" s="84">
        <f t="shared" si="38"/>
        <v>0</v>
      </c>
      <c r="AG98" s="94">
        <f t="shared" ref="AG98:AG162" si="49">IFERROR((AQ98*AH98)*7.5,"")</f>
        <v>0</v>
      </c>
      <c r="AH98" s="85">
        <f>IFERROR(VLOOKUP(A98,CUSTOMERS!$A:$E,4),"")</f>
        <v>-150</v>
      </c>
      <c r="AI98" s="86" t="str">
        <f t="shared" si="37"/>
        <v/>
      </c>
      <c r="AJ98" s="87">
        <f>IFERROR(VLOOKUP(A98,CUSTOMERS!$A:$F,5),"")</f>
        <v>0</v>
      </c>
      <c r="AK98" s="96"/>
      <c r="AL98" s="96">
        <v>0</v>
      </c>
      <c r="AM98" s="96">
        <v>0</v>
      </c>
      <c r="AN98" s="96"/>
      <c r="AO98" s="96">
        <v>0</v>
      </c>
      <c r="AP98" s="102">
        <f t="shared" si="45"/>
        <v>0</v>
      </c>
      <c r="AQ98" s="102">
        <f t="shared" si="35"/>
        <v>0</v>
      </c>
      <c r="AR98" s="68" t="str">
        <f>IFERROR(VLOOKUP(A98,CUSTOMERS!$A:$B,2),"")</f>
        <v>PRD</v>
      </c>
      <c r="AS98" s="68" t="str">
        <f>IFERROR(VLOOKUP(A98,CUSTOMERS!$A:$D,3),"")</f>
        <v>REQ</v>
      </c>
      <c r="AT98" s="68" t="str">
        <f>IFERROR(VLOOKUP(A98,CUSTOMERS!$A:$F,6),"")</f>
        <v>N</v>
      </c>
      <c r="AU98" s="69">
        <f>IFERROR(VLOOKUP(A98,CUSTOMERS!$A:$E,4),"")</f>
        <v>-150</v>
      </c>
      <c r="AV98" s="68" t="str">
        <f t="shared" si="32"/>
        <v/>
      </c>
      <c r="AX98" s="71" t="str">
        <f t="shared" si="47"/>
        <v>reason98</v>
      </c>
    </row>
    <row r="99" spans="1:50" ht="40.5" hidden="1" customHeight="1">
      <c r="A99" s="188" t="s">
        <v>50</v>
      </c>
      <c r="B99" s="120" t="str">
        <f t="shared" si="46"/>
        <v>N</v>
      </c>
      <c r="C99" s="120"/>
      <c r="D99" s="121">
        <v>19</v>
      </c>
      <c r="E99" s="121"/>
      <c r="F99" s="122" t="str">
        <f t="shared" si="39"/>
        <v>PRD-REQ-2020-00019</v>
      </c>
      <c r="G99" s="123" t="s">
        <v>339</v>
      </c>
      <c r="H99" s="124" t="s">
        <v>517</v>
      </c>
      <c r="I99" s="239"/>
      <c r="J99" s="80">
        <f t="shared" si="42"/>
        <v>0</v>
      </c>
      <c r="K99" s="177">
        <f t="shared" si="41"/>
        <v>44070</v>
      </c>
      <c r="L99" s="141">
        <v>44070</v>
      </c>
      <c r="M99" s="142"/>
      <c r="N99" s="142"/>
      <c r="O99" s="142"/>
      <c r="P99" s="142"/>
      <c r="Q99" s="199" t="s">
        <v>16</v>
      </c>
      <c r="R99" s="199" t="s">
        <v>31</v>
      </c>
      <c r="S99" s="199"/>
      <c r="T99" s="199"/>
      <c r="U99" s="199"/>
      <c r="V99" s="199"/>
      <c r="W99" s="199"/>
      <c r="X99" s="144" t="s">
        <v>469</v>
      </c>
      <c r="Y99" s="173">
        <f t="shared" si="27"/>
        <v>0</v>
      </c>
      <c r="Z99" s="83">
        <f t="shared" si="43"/>
        <v>0</v>
      </c>
      <c r="AA99" s="84">
        <f t="shared" si="36"/>
        <v>0</v>
      </c>
      <c r="AB99" s="84">
        <f t="shared" si="26"/>
        <v>0</v>
      </c>
      <c r="AC99" s="84">
        <f t="shared" si="44"/>
        <v>0</v>
      </c>
      <c r="AD99" s="84"/>
      <c r="AE99" s="84">
        <f t="shared" si="48"/>
        <v>0</v>
      </c>
      <c r="AF99" s="84">
        <f t="shared" si="38"/>
        <v>0</v>
      </c>
      <c r="AG99" s="94">
        <f t="shared" si="49"/>
        <v>0</v>
      </c>
      <c r="AH99" s="85">
        <f>IFERROR(VLOOKUP(A99,CUSTOMERS!$A:$E,4),"")</f>
        <v>-150</v>
      </c>
      <c r="AI99" s="86" t="str">
        <f t="shared" si="37"/>
        <v/>
      </c>
      <c r="AJ99" s="87">
        <f>IFERROR(VLOOKUP(A99,CUSTOMERS!$A:$F,5),"")</f>
        <v>0</v>
      </c>
      <c r="AK99" s="96"/>
      <c r="AL99" s="96">
        <v>0</v>
      </c>
      <c r="AM99" s="96">
        <v>0</v>
      </c>
      <c r="AN99" s="96"/>
      <c r="AO99" s="96">
        <v>0</v>
      </c>
      <c r="AP99" s="102">
        <f t="shared" si="45"/>
        <v>0</v>
      </c>
      <c r="AQ99" s="102">
        <f t="shared" si="35"/>
        <v>0</v>
      </c>
      <c r="AR99" s="68" t="str">
        <f>IFERROR(VLOOKUP(A99,CUSTOMERS!$A:$B,2),"")</f>
        <v>PRD</v>
      </c>
      <c r="AS99" s="68" t="str">
        <f>IFERROR(VLOOKUP(A99,CUSTOMERS!$A:$D,3),"")</f>
        <v>REQ</v>
      </c>
      <c r="AT99" s="68" t="str">
        <f>IFERROR(VLOOKUP(A99,CUSTOMERS!$A:$F,6),"")</f>
        <v>N</v>
      </c>
      <c r="AU99" s="69">
        <f>IFERROR(VLOOKUP(A99,CUSTOMERS!$A:$E,4),"")</f>
        <v>-150</v>
      </c>
      <c r="AV99" s="68" t="str">
        <f t="shared" si="32"/>
        <v/>
      </c>
      <c r="AX99" s="71" t="str">
        <f t="shared" si="47"/>
        <v>reason99</v>
      </c>
    </row>
    <row r="100" spans="1:50" ht="40.5" customHeight="1">
      <c r="A100" s="188" t="s">
        <v>50</v>
      </c>
      <c r="B100" s="120"/>
      <c r="C100" s="120"/>
      <c r="D100" s="121"/>
      <c r="E100" s="121"/>
      <c r="F100" s="122"/>
      <c r="G100" s="123" t="s">
        <v>29</v>
      </c>
      <c r="H100" s="124" t="s">
        <v>518</v>
      </c>
      <c r="I100" s="239"/>
      <c r="J100" s="80"/>
      <c r="K100" s="177"/>
      <c r="L100" s="141"/>
      <c r="M100" s="142"/>
      <c r="N100" s="142"/>
      <c r="O100" s="142"/>
      <c r="P100" s="142"/>
      <c r="Q100" s="199" t="s">
        <v>15</v>
      </c>
      <c r="R100" s="199" t="s">
        <v>25</v>
      </c>
      <c r="S100" s="199" t="s">
        <v>308</v>
      </c>
      <c r="T100" s="199"/>
      <c r="U100" s="199"/>
      <c r="V100" s="199"/>
      <c r="W100" s="199"/>
      <c r="X100" s="144"/>
      <c r="Y100" s="173"/>
      <c r="Z100" s="83"/>
      <c r="AA100" s="84"/>
      <c r="AB100" s="84"/>
      <c r="AC100" s="84"/>
      <c r="AD100" s="84"/>
      <c r="AE100" s="84"/>
      <c r="AF100" s="84"/>
      <c r="AG100" s="94"/>
      <c r="AH100" s="85"/>
      <c r="AI100" s="86"/>
      <c r="AJ100" s="87"/>
      <c r="AK100" s="96"/>
      <c r="AL100" s="96"/>
      <c r="AM100" s="96"/>
      <c r="AN100" s="96"/>
      <c r="AO100" s="96"/>
      <c r="AP100" s="102"/>
      <c r="AQ100" s="102"/>
      <c r="AR100" s="68"/>
      <c r="AS100" s="68"/>
      <c r="AT100" s="68"/>
      <c r="AU100" s="69"/>
      <c r="AV100" s="68"/>
      <c r="AX100" s="71"/>
    </row>
    <row r="101" spans="1:50" ht="58.5" customHeight="1">
      <c r="A101" s="188" t="s">
        <v>50</v>
      </c>
      <c r="B101" s="120" t="str">
        <f t="shared" ref="B101:B137" si="50">AT101</f>
        <v>N</v>
      </c>
      <c r="C101" s="120"/>
      <c r="D101" s="121">
        <v>20</v>
      </c>
      <c r="E101" s="121"/>
      <c r="F101" s="122" t="str">
        <f t="shared" si="39"/>
        <v>PRD-REQ-2019-00020</v>
      </c>
      <c r="G101" s="123" t="s">
        <v>29</v>
      </c>
      <c r="H101" s="124" t="s">
        <v>67</v>
      </c>
      <c r="I101" s="239"/>
      <c r="J101" s="214">
        <f t="shared" si="42"/>
        <v>-90000</v>
      </c>
      <c r="K101" s="177">
        <f t="shared" si="41"/>
        <v>43716</v>
      </c>
      <c r="L101" s="141">
        <v>43716</v>
      </c>
      <c r="M101" s="142"/>
      <c r="N101" s="142"/>
      <c r="O101" s="142"/>
      <c r="P101" s="142"/>
      <c r="Q101" s="199" t="s">
        <v>18</v>
      </c>
      <c r="R101" s="199" t="s">
        <v>31</v>
      </c>
      <c r="S101" s="199" t="s">
        <v>311</v>
      </c>
      <c r="T101" s="199" t="s">
        <v>455</v>
      </c>
      <c r="U101" s="199" t="s">
        <v>451</v>
      </c>
      <c r="V101" s="199"/>
      <c r="W101" s="199"/>
      <c r="X101" s="144" t="s">
        <v>519</v>
      </c>
      <c r="Y101" s="173">
        <f t="shared" si="27"/>
        <v>-90000</v>
      </c>
      <c r="Z101" s="83">
        <f t="shared" si="43"/>
        <v>-11020.408163265307</v>
      </c>
      <c r="AA101" s="84">
        <f t="shared" si="36"/>
        <v>-42244.897959183676</v>
      </c>
      <c r="AB101" s="84">
        <f t="shared" si="26"/>
        <v>-14693.877551020407</v>
      </c>
      <c r="AC101" s="84">
        <f t="shared" si="44"/>
        <v>-11020.408163265307</v>
      </c>
      <c r="AD101" s="84"/>
      <c r="AE101" s="84">
        <f t="shared" si="48"/>
        <v>-11020.408163265307</v>
      </c>
      <c r="AF101" s="84">
        <f t="shared" si="38"/>
        <v>-90000</v>
      </c>
      <c r="AG101" s="94">
        <f t="shared" si="49"/>
        <v>0</v>
      </c>
      <c r="AH101" s="85">
        <f>IFERROR(VLOOKUP(A101,CUSTOMERS!$A:$E,4),"")</f>
        <v>-150</v>
      </c>
      <c r="AI101" s="86" t="str">
        <f t="shared" si="37"/>
        <v/>
      </c>
      <c r="AJ101" s="87">
        <f>IFERROR(VLOOKUP(A101,CUSTOMERS!$A:$F,5),"")</f>
        <v>0</v>
      </c>
      <c r="AK101" s="97">
        <v>9.795918367346939</v>
      </c>
      <c r="AL101" s="97">
        <v>37.551020408163268</v>
      </c>
      <c r="AM101" s="97">
        <v>13.061224489795917</v>
      </c>
      <c r="AN101" s="97">
        <v>9.795918367346939</v>
      </c>
      <c r="AO101" s="97">
        <v>9.795918367346939</v>
      </c>
      <c r="AP101" s="102">
        <f t="shared" si="45"/>
        <v>80.000000000000014</v>
      </c>
      <c r="AQ101" s="102">
        <f t="shared" si="35"/>
        <v>0</v>
      </c>
      <c r="AR101" s="68" t="str">
        <f>IFERROR(VLOOKUP(A101,CUSTOMERS!$A:$B,2),"")</f>
        <v>PRD</v>
      </c>
      <c r="AS101" s="68" t="str">
        <f>IFERROR(VLOOKUP(A101,CUSTOMERS!$A:$D,3),"")</f>
        <v>REQ</v>
      </c>
      <c r="AT101" s="68" t="str">
        <f>IFERROR(VLOOKUP(A101,CUSTOMERS!$A:$F,6),"")</f>
        <v>N</v>
      </c>
      <c r="AU101" s="69">
        <f>IFERROR(VLOOKUP(A101,CUSTOMERS!$A:$E,4),"")</f>
        <v>-150</v>
      </c>
      <c r="AV101" s="68" t="str">
        <f t="shared" si="32"/>
        <v/>
      </c>
      <c r="AX101" s="71" t="str">
        <f t="shared" si="47"/>
        <v>reason101</v>
      </c>
    </row>
    <row r="102" spans="1:50" ht="74.25" customHeight="1">
      <c r="A102" s="188" t="s">
        <v>50</v>
      </c>
      <c r="B102" s="120" t="str">
        <f t="shared" si="50"/>
        <v>N</v>
      </c>
      <c r="C102" s="120"/>
      <c r="D102" s="121">
        <v>21</v>
      </c>
      <c r="E102" s="121"/>
      <c r="F102" s="122" t="str">
        <f t="shared" si="39"/>
        <v>PRD-REQ-2019-00021</v>
      </c>
      <c r="G102" s="123" t="s">
        <v>29</v>
      </c>
      <c r="H102" s="124" t="s">
        <v>520</v>
      </c>
      <c r="I102" s="239"/>
      <c r="J102" s="80">
        <f t="shared" si="42"/>
        <v>-50624.999999999993</v>
      </c>
      <c r="K102" s="177">
        <f t="shared" si="41"/>
        <v>43716</v>
      </c>
      <c r="L102" s="141">
        <v>43716</v>
      </c>
      <c r="M102" s="142"/>
      <c r="N102" s="142"/>
      <c r="O102" s="142"/>
      <c r="P102" s="142"/>
      <c r="Q102" s="199" t="s">
        <v>18</v>
      </c>
      <c r="R102" s="199" t="s">
        <v>31</v>
      </c>
      <c r="S102" s="199" t="s">
        <v>311</v>
      </c>
      <c r="T102" s="199" t="s">
        <v>455</v>
      </c>
      <c r="U102" s="199" t="s">
        <v>451</v>
      </c>
      <c r="V102" s="199"/>
      <c r="W102" s="199"/>
      <c r="X102" s="144" t="s">
        <v>521</v>
      </c>
      <c r="Y102" s="173">
        <f t="shared" si="27"/>
        <v>-50624.999999999993</v>
      </c>
      <c r="Z102" s="83">
        <f t="shared" si="43"/>
        <v>-6198.9795918367336</v>
      </c>
      <c r="AA102" s="84">
        <f t="shared" si="36"/>
        <v>-23762.755102040817</v>
      </c>
      <c r="AB102" s="84">
        <f t="shared" si="26"/>
        <v>-8265.3061224489793</v>
      </c>
      <c r="AC102" s="84">
        <f t="shared" si="44"/>
        <v>-6198.9795918367336</v>
      </c>
      <c r="AD102" s="84"/>
      <c r="AE102" s="84">
        <f t="shared" si="48"/>
        <v>-6198.9795918367336</v>
      </c>
      <c r="AF102" s="84">
        <f t="shared" si="38"/>
        <v>-50624.999999999993</v>
      </c>
      <c r="AG102" s="94">
        <f t="shared" si="49"/>
        <v>0</v>
      </c>
      <c r="AH102" s="85">
        <f>IFERROR(VLOOKUP(A102,CUSTOMERS!$A:$E,4),"")</f>
        <v>-150</v>
      </c>
      <c r="AI102" s="86" t="str">
        <f t="shared" si="37"/>
        <v/>
      </c>
      <c r="AJ102" s="87">
        <f>IFERROR(VLOOKUP(A102,CUSTOMERS!$A:$F,5),"")</f>
        <v>0</v>
      </c>
      <c r="AK102" s="97">
        <v>5.5102040816326525</v>
      </c>
      <c r="AL102" s="97">
        <v>21.122448979591837</v>
      </c>
      <c r="AM102" s="97">
        <v>7.3469387755102034</v>
      </c>
      <c r="AN102" s="97">
        <v>5.5102040816326525</v>
      </c>
      <c r="AO102" s="97">
        <v>5.5102040816326525</v>
      </c>
      <c r="AP102" s="102">
        <f t="shared" si="45"/>
        <v>44.999999999999993</v>
      </c>
      <c r="AQ102" s="102">
        <f t="shared" si="35"/>
        <v>0</v>
      </c>
      <c r="AR102" s="68" t="str">
        <f>IFERROR(VLOOKUP(A102,CUSTOMERS!$A:$B,2),"")</f>
        <v>PRD</v>
      </c>
      <c r="AS102" s="68" t="str">
        <f>IFERROR(VLOOKUP(A102,CUSTOMERS!$A:$D,3),"")</f>
        <v>REQ</v>
      </c>
      <c r="AT102" s="68" t="str">
        <f>IFERROR(VLOOKUP(A102,CUSTOMERS!$A:$F,6),"")</f>
        <v>N</v>
      </c>
      <c r="AU102" s="69">
        <f>IFERROR(VLOOKUP(A102,CUSTOMERS!$A:$E,4),"")</f>
        <v>-150</v>
      </c>
      <c r="AV102" s="68" t="str">
        <f t="shared" si="32"/>
        <v/>
      </c>
      <c r="AX102" s="71" t="str">
        <f t="shared" si="47"/>
        <v>reason102</v>
      </c>
    </row>
    <row r="103" spans="1:50" ht="40.5" customHeight="1">
      <c r="A103" s="188" t="s">
        <v>50</v>
      </c>
      <c r="B103" s="120" t="str">
        <f t="shared" si="50"/>
        <v>N</v>
      </c>
      <c r="C103" s="120"/>
      <c r="D103" s="121">
        <v>21</v>
      </c>
      <c r="E103" s="121"/>
      <c r="F103" s="122" t="str">
        <f t="shared" si="39"/>
        <v>PRD-REQ-2020-00021</v>
      </c>
      <c r="G103" s="123" t="s">
        <v>56</v>
      </c>
      <c r="H103" s="124" t="s">
        <v>71</v>
      </c>
      <c r="I103" s="239"/>
      <c r="J103" s="80">
        <f t="shared" si="42"/>
        <v>-16875</v>
      </c>
      <c r="K103" s="177">
        <f t="shared" si="41"/>
        <v>43831</v>
      </c>
      <c r="L103" s="141">
        <v>43831</v>
      </c>
      <c r="M103" s="142"/>
      <c r="N103" s="142"/>
      <c r="O103" s="142"/>
      <c r="P103" s="142"/>
      <c r="Q103" s="199" t="s">
        <v>15</v>
      </c>
      <c r="R103" s="199" t="s">
        <v>25</v>
      </c>
      <c r="S103" s="199" t="s">
        <v>308</v>
      </c>
      <c r="T103" s="199"/>
      <c r="U103" s="199"/>
      <c r="V103" s="199"/>
      <c r="W103" s="199"/>
      <c r="X103" s="144" t="s">
        <v>522</v>
      </c>
      <c r="Y103" s="173">
        <f t="shared" si="27"/>
        <v>-16875</v>
      </c>
      <c r="Z103" s="83">
        <f t="shared" si="43"/>
        <v>-2066.3265306122448</v>
      </c>
      <c r="AA103" s="84">
        <f t="shared" si="36"/>
        <v>-7920.9183673469388</v>
      </c>
      <c r="AB103" s="84">
        <f t="shared" si="26"/>
        <v>-2755.1020408163258</v>
      </c>
      <c r="AC103" s="84">
        <f t="shared" si="44"/>
        <v>-2066.3265306122448</v>
      </c>
      <c r="AD103" s="84"/>
      <c r="AE103" s="84">
        <f t="shared" si="48"/>
        <v>-2066.3265306122448</v>
      </c>
      <c r="AF103" s="84">
        <f t="shared" si="38"/>
        <v>-16875</v>
      </c>
      <c r="AG103" s="94">
        <f t="shared" si="49"/>
        <v>0</v>
      </c>
      <c r="AH103" s="85">
        <f>IFERROR(VLOOKUP(A103,CUSTOMERS!$A:$E,4),"")</f>
        <v>-150</v>
      </c>
      <c r="AI103" s="86" t="str">
        <f t="shared" si="37"/>
        <v/>
      </c>
      <c r="AJ103" s="87">
        <f>IFERROR(VLOOKUP(A103,CUSTOMERS!$A:$F,5),"")</f>
        <v>0</v>
      </c>
      <c r="AK103" s="97">
        <v>1.8367346938775511</v>
      </c>
      <c r="AL103" s="97">
        <v>7.0408163265306127</v>
      </c>
      <c r="AM103" s="97">
        <v>2.4489795918367343</v>
      </c>
      <c r="AN103" s="97">
        <v>1.8367346938775511</v>
      </c>
      <c r="AO103" s="97">
        <v>1.8367346938775511</v>
      </c>
      <c r="AP103" s="102">
        <f t="shared" si="45"/>
        <v>15</v>
      </c>
      <c r="AQ103" s="102">
        <f t="shared" si="35"/>
        <v>0</v>
      </c>
      <c r="AR103" s="68" t="str">
        <f>IFERROR(VLOOKUP(A103,CUSTOMERS!$A:$B,2),"")</f>
        <v>PRD</v>
      </c>
      <c r="AS103" s="68" t="str">
        <f>IFERROR(VLOOKUP(A103,CUSTOMERS!$A:$D,3),"")</f>
        <v>REQ</v>
      </c>
      <c r="AT103" s="68" t="str">
        <f>IFERROR(VLOOKUP(A103,CUSTOMERS!$A:$F,6),"")</f>
        <v>N</v>
      </c>
      <c r="AU103" s="69">
        <f>IFERROR(VLOOKUP(A103,CUSTOMERS!$A:$E,4),"")</f>
        <v>-150</v>
      </c>
      <c r="AV103" s="68" t="str">
        <f t="shared" si="32"/>
        <v/>
      </c>
      <c r="AX103" s="71" t="str">
        <f t="shared" si="47"/>
        <v>reason103</v>
      </c>
    </row>
    <row r="104" spans="1:50" ht="40.5" customHeight="1">
      <c r="A104" s="188" t="s">
        <v>27</v>
      </c>
      <c r="B104" s="120" t="str">
        <f t="shared" si="50"/>
        <v>N</v>
      </c>
      <c r="C104" s="120"/>
      <c r="D104" s="121">
        <v>22</v>
      </c>
      <c r="E104" s="121"/>
      <c r="F104" s="122" t="str">
        <f t="shared" si="39"/>
        <v>PRD-BLG-2020-00022</v>
      </c>
      <c r="G104" s="123" t="s">
        <v>29</v>
      </c>
      <c r="H104" s="124" t="s">
        <v>73</v>
      </c>
      <c r="I104" s="239"/>
      <c r="J104" s="80">
        <f t="shared" si="42"/>
        <v>0</v>
      </c>
      <c r="K104" s="177">
        <f t="shared" si="41"/>
        <v>44119</v>
      </c>
      <c r="L104" s="141">
        <v>44119</v>
      </c>
      <c r="M104" s="142"/>
      <c r="N104" s="142"/>
      <c r="O104" s="142"/>
      <c r="P104" s="142"/>
      <c r="Q104" s="199" t="s">
        <v>15</v>
      </c>
      <c r="R104" s="199" t="s">
        <v>42</v>
      </c>
      <c r="S104" s="199" t="s">
        <v>308</v>
      </c>
      <c r="T104" s="199" t="s">
        <v>455</v>
      </c>
      <c r="U104" s="199" t="s">
        <v>455</v>
      </c>
      <c r="V104" s="199"/>
      <c r="W104" s="199"/>
      <c r="X104" s="144" t="s">
        <v>523</v>
      </c>
      <c r="Y104" s="173">
        <f t="shared" si="27"/>
        <v>0</v>
      </c>
      <c r="Z104" s="83">
        <f t="shared" si="43"/>
        <v>0</v>
      </c>
      <c r="AA104" s="84">
        <f t="shared" si="36"/>
        <v>0</v>
      </c>
      <c r="AB104" s="84">
        <f t="shared" si="26"/>
        <v>0</v>
      </c>
      <c r="AC104" s="84">
        <f t="shared" si="44"/>
        <v>0</v>
      </c>
      <c r="AD104" s="84"/>
      <c r="AE104" s="84">
        <f t="shared" si="48"/>
        <v>0</v>
      </c>
      <c r="AF104" s="84">
        <f t="shared" si="38"/>
        <v>0</v>
      </c>
      <c r="AG104" s="94">
        <f t="shared" si="49"/>
        <v>0</v>
      </c>
      <c r="AH104" s="85">
        <f>IFERROR(VLOOKUP(A104,CUSTOMERS!$A:$E,4),"")</f>
        <v>-150</v>
      </c>
      <c r="AI104" s="86" t="str">
        <f t="shared" si="37"/>
        <v/>
      </c>
      <c r="AJ104" s="87">
        <f>IFERROR(VLOOKUP(A104,CUSTOMERS!$A:$F,5),"")</f>
        <v>0</v>
      </c>
      <c r="AK104" s="96"/>
      <c r="AL104" s="96">
        <v>0</v>
      </c>
      <c r="AM104" s="96">
        <v>0</v>
      </c>
      <c r="AN104" s="96"/>
      <c r="AO104" s="96">
        <v>0</v>
      </c>
      <c r="AP104" s="102">
        <f t="shared" si="45"/>
        <v>0</v>
      </c>
      <c r="AQ104" s="102">
        <f t="shared" si="35"/>
        <v>0</v>
      </c>
      <c r="AR104" s="68" t="str">
        <f>IFERROR(VLOOKUP(A104,CUSTOMERS!$A:$B,2),"")</f>
        <v>PRD</v>
      </c>
      <c r="AS104" s="68" t="str">
        <f>IFERROR(VLOOKUP(A104,CUSTOMERS!$A:$D,3),"")</f>
        <v>BLG</v>
      </c>
      <c r="AT104" s="68" t="str">
        <f>IFERROR(VLOOKUP(A104,CUSTOMERS!$A:$F,6),"")</f>
        <v>N</v>
      </c>
      <c r="AU104" s="69">
        <f>IFERROR(VLOOKUP(A104,CUSTOMERS!$A:$E,4),"")</f>
        <v>-150</v>
      </c>
      <c r="AV104" s="68" t="str">
        <f t="shared" si="32"/>
        <v/>
      </c>
      <c r="AX104" s="71" t="str">
        <f t="shared" si="47"/>
        <v>reason104</v>
      </c>
    </row>
    <row r="105" spans="1:50" ht="40.5" hidden="1" customHeight="1">
      <c r="A105" s="188" t="s">
        <v>50</v>
      </c>
      <c r="B105" s="120" t="str">
        <f t="shared" si="50"/>
        <v>N</v>
      </c>
      <c r="C105" s="120"/>
      <c r="D105" s="121">
        <v>32165</v>
      </c>
      <c r="E105" s="121"/>
      <c r="F105" s="122" t="str">
        <f t="shared" si="39"/>
        <v>PRD-REQ-2020-32165</v>
      </c>
      <c r="G105" s="123" t="s">
        <v>339</v>
      </c>
      <c r="H105" s="124" t="s">
        <v>524</v>
      </c>
      <c r="I105" s="239"/>
      <c r="J105" s="80">
        <f t="shared" si="42"/>
        <v>-37125</v>
      </c>
      <c r="K105" s="177">
        <f t="shared" si="41"/>
        <v>43951</v>
      </c>
      <c r="L105" s="148">
        <v>43951</v>
      </c>
      <c r="M105" s="149"/>
      <c r="N105" s="150"/>
      <c r="O105" s="150"/>
      <c r="P105" s="150"/>
      <c r="Q105" s="200" t="s">
        <v>16</v>
      </c>
      <c r="R105" s="200" t="s">
        <v>31</v>
      </c>
      <c r="S105" s="200"/>
      <c r="T105" s="200"/>
      <c r="U105" s="200"/>
      <c r="V105" s="200"/>
      <c r="W105" s="200"/>
      <c r="X105" s="144" t="s">
        <v>469</v>
      </c>
      <c r="Y105" s="173">
        <f t="shared" si="27"/>
        <v>-37125</v>
      </c>
      <c r="Z105" s="83">
        <f t="shared" si="43"/>
        <v>0</v>
      </c>
      <c r="AA105" s="84">
        <f t="shared" si="36"/>
        <v>-22500</v>
      </c>
      <c r="AB105" s="84">
        <f t="shared" si="26"/>
        <v>-7875</v>
      </c>
      <c r="AC105" s="84">
        <f t="shared" si="44"/>
        <v>0</v>
      </c>
      <c r="AD105" s="84"/>
      <c r="AE105" s="84">
        <f t="shared" si="48"/>
        <v>-6750</v>
      </c>
      <c r="AF105" s="84">
        <f t="shared" si="38"/>
        <v>-37125</v>
      </c>
      <c r="AG105" s="94">
        <f t="shared" si="49"/>
        <v>0</v>
      </c>
      <c r="AH105" s="85">
        <f>IFERROR(VLOOKUP(A105,CUSTOMERS!$A:$E,4),"")</f>
        <v>-150</v>
      </c>
      <c r="AI105" s="86" t="str">
        <f t="shared" si="37"/>
        <v/>
      </c>
      <c r="AJ105" s="87">
        <f>IFERROR(VLOOKUP(A105,CUSTOMERS!$A:$F,5),"")</f>
        <v>0</v>
      </c>
      <c r="AK105" s="96"/>
      <c r="AL105" s="96">
        <v>20</v>
      </c>
      <c r="AM105" s="96">
        <v>7</v>
      </c>
      <c r="AN105" s="96"/>
      <c r="AO105" s="96">
        <v>6</v>
      </c>
      <c r="AP105" s="102">
        <f t="shared" si="45"/>
        <v>33</v>
      </c>
      <c r="AQ105" s="102">
        <f t="shared" si="35"/>
        <v>0</v>
      </c>
      <c r="AR105" s="68" t="str">
        <f>IFERROR(VLOOKUP(A105,CUSTOMERS!$A:$B,2),"")</f>
        <v>PRD</v>
      </c>
      <c r="AS105" s="68" t="str">
        <f>IFERROR(VLOOKUP(A105,CUSTOMERS!$A:$D,3),"")</f>
        <v>REQ</v>
      </c>
      <c r="AT105" s="68" t="str">
        <f>IFERROR(VLOOKUP(A105,CUSTOMERS!$A:$F,6),"")</f>
        <v>N</v>
      </c>
      <c r="AU105" s="69">
        <f>IFERROR(VLOOKUP(A105,CUSTOMERS!$A:$E,4),"")</f>
        <v>-150</v>
      </c>
      <c r="AV105" s="68" t="str">
        <f t="shared" si="32"/>
        <v/>
      </c>
      <c r="AX105" s="71" t="str">
        <f t="shared" si="47"/>
        <v>reason105</v>
      </c>
    </row>
    <row r="106" spans="1:50" ht="40.5" hidden="1" customHeight="1">
      <c r="A106" s="188" t="s">
        <v>50</v>
      </c>
      <c r="B106" s="120" t="str">
        <f t="shared" si="50"/>
        <v>N</v>
      </c>
      <c r="C106" s="120"/>
      <c r="D106" s="121">
        <v>26</v>
      </c>
      <c r="E106" s="121"/>
      <c r="F106" s="122" t="str">
        <f t="shared" si="39"/>
        <v>PRD-REQ-2020-00026</v>
      </c>
      <c r="G106" s="123" t="s">
        <v>339</v>
      </c>
      <c r="H106" s="124" t="s">
        <v>525</v>
      </c>
      <c r="I106" s="239"/>
      <c r="J106" s="80">
        <f t="shared" si="42"/>
        <v>-11250</v>
      </c>
      <c r="K106" s="177">
        <f t="shared" si="41"/>
        <v>43877</v>
      </c>
      <c r="L106" s="148">
        <v>43877</v>
      </c>
      <c r="M106" s="149"/>
      <c r="N106" s="150"/>
      <c r="O106" s="150"/>
      <c r="P106" s="150"/>
      <c r="Q106" s="200" t="s">
        <v>12</v>
      </c>
      <c r="R106" s="200" t="s">
        <v>31</v>
      </c>
      <c r="S106" s="200"/>
      <c r="T106" s="200"/>
      <c r="U106" s="200"/>
      <c r="V106" s="200"/>
      <c r="W106" s="200"/>
      <c r="X106" s="144" t="s">
        <v>526</v>
      </c>
      <c r="Y106" s="173">
        <f t="shared" si="27"/>
        <v>-11250</v>
      </c>
      <c r="Z106" s="83">
        <f t="shared" si="43"/>
        <v>-1377.5510204081634</v>
      </c>
      <c r="AA106" s="84">
        <f t="shared" si="36"/>
        <v>-5280.6122448979595</v>
      </c>
      <c r="AB106" s="84">
        <f t="shared" si="26"/>
        <v>-1836.7346938775509</v>
      </c>
      <c r="AC106" s="84">
        <f t="shared" si="44"/>
        <v>-1377.5510204081634</v>
      </c>
      <c r="AD106" s="84"/>
      <c r="AE106" s="84">
        <f t="shared" si="48"/>
        <v>-1377.5510204081634</v>
      </c>
      <c r="AF106" s="84">
        <f t="shared" si="38"/>
        <v>-11250</v>
      </c>
      <c r="AG106" s="94">
        <f t="shared" si="49"/>
        <v>0</v>
      </c>
      <c r="AH106" s="85">
        <f>IFERROR(VLOOKUP(A106,CUSTOMERS!$A:$E,4),"")</f>
        <v>-150</v>
      </c>
      <c r="AI106" s="86" t="str">
        <f t="shared" si="37"/>
        <v/>
      </c>
      <c r="AJ106" s="87">
        <f>IFERROR(VLOOKUP(A106,CUSTOMERS!$A:$F,5),"")</f>
        <v>0</v>
      </c>
      <c r="AK106" s="97">
        <v>1.2244897959183674</v>
      </c>
      <c r="AL106" s="97">
        <v>4.6938775510204085</v>
      </c>
      <c r="AM106" s="97">
        <v>1.6326530612244896</v>
      </c>
      <c r="AN106" s="97">
        <v>1.2244897959183674</v>
      </c>
      <c r="AO106" s="97">
        <v>1.2244897959183674</v>
      </c>
      <c r="AP106" s="102">
        <f t="shared" si="45"/>
        <v>10.000000000000002</v>
      </c>
      <c r="AQ106" s="102">
        <f t="shared" si="35"/>
        <v>0</v>
      </c>
      <c r="AR106" s="68" t="str">
        <f>IFERROR(VLOOKUP(A106,CUSTOMERS!$A:$B,2),"")</f>
        <v>PRD</v>
      </c>
      <c r="AS106" s="68" t="str">
        <f>IFERROR(VLOOKUP(A106,CUSTOMERS!$A:$D,3),"")</f>
        <v>REQ</v>
      </c>
      <c r="AT106" s="68" t="str">
        <f>IFERROR(VLOOKUP(A106,CUSTOMERS!$A:$F,6),"")</f>
        <v>N</v>
      </c>
      <c r="AU106" s="69">
        <f>IFERROR(VLOOKUP(A106,CUSTOMERS!$A:$E,4),"")</f>
        <v>-150</v>
      </c>
      <c r="AV106" s="68" t="str">
        <f t="shared" ref="AV106:AV169" si="51">IF(AH106&lt;&gt;AU106,"Y","")</f>
        <v/>
      </c>
      <c r="AX106" s="71" t="str">
        <f t="shared" si="47"/>
        <v>reason106</v>
      </c>
    </row>
    <row r="107" spans="1:50" ht="40.5" hidden="1" customHeight="1">
      <c r="A107" s="188" t="s">
        <v>50</v>
      </c>
      <c r="B107" s="120" t="str">
        <f t="shared" si="50"/>
        <v>N</v>
      </c>
      <c r="C107" s="120"/>
      <c r="D107" s="121"/>
      <c r="E107" s="121"/>
      <c r="F107" s="122" t="str">
        <f t="shared" si="39"/>
        <v>PRD-REQ-2020-00000</v>
      </c>
      <c r="G107" s="123" t="s">
        <v>339</v>
      </c>
      <c r="H107" s="124" t="s">
        <v>527</v>
      </c>
      <c r="I107" s="239"/>
      <c r="J107" s="80">
        <f t="shared" si="42"/>
        <v>0</v>
      </c>
      <c r="K107" s="177">
        <f t="shared" si="41"/>
        <v>44070</v>
      </c>
      <c r="L107" s="141">
        <v>44070</v>
      </c>
      <c r="M107" s="142"/>
      <c r="N107" s="142"/>
      <c r="O107" s="142"/>
      <c r="P107" s="142"/>
      <c r="Q107" s="199" t="s">
        <v>15</v>
      </c>
      <c r="R107" s="199" t="s">
        <v>25</v>
      </c>
      <c r="S107" s="199"/>
      <c r="T107" s="199"/>
      <c r="U107" s="199"/>
      <c r="V107" s="199"/>
      <c r="W107" s="199"/>
      <c r="X107" s="144" t="s">
        <v>469</v>
      </c>
      <c r="Y107" s="173">
        <f t="shared" si="27"/>
        <v>0</v>
      </c>
      <c r="Z107" s="83">
        <f t="shared" si="43"/>
        <v>0</v>
      </c>
      <c r="AA107" s="84">
        <f t="shared" si="36"/>
        <v>0</v>
      </c>
      <c r="AB107" s="84">
        <f t="shared" si="26"/>
        <v>0</v>
      </c>
      <c r="AC107" s="84">
        <f t="shared" si="44"/>
        <v>0</v>
      </c>
      <c r="AD107" s="84"/>
      <c r="AE107" s="84">
        <f t="shared" si="48"/>
        <v>0</v>
      </c>
      <c r="AF107" s="84">
        <f t="shared" si="38"/>
        <v>0</v>
      </c>
      <c r="AG107" s="94">
        <f t="shared" si="49"/>
        <v>0</v>
      </c>
      <c r="AH107" s="85">
        <f>IFERROR(VLOOKUP(A107,CUSTOMERS!$A:$E,4),"")</f>
        <v>-150</v>
      </c>
      <c r="AI107" s="86" t="str">
        <f t="shared" si="37"/>
        <v/>
      </c>
      <c r="AJ107" s="87">
        <f>IFERROR(VLOOKUP(A107,CUSTOMERS!$A:$F,5),"")</f>
        <v>0</v>
      </c>
      <c r="AK107" s="96"/>
      <c r="AL107" s="96">
        <v>0</v>
      </c>
      <c r="AM107" s="96">
        <v>0</v>
      </c>
      <c r="AN107" s="96"/>
      <c r="AO107" s="96">
        <v>0</v>
      </c>
      <c r="AP107" s="102">
        <f t="shared" si="45"/>
        <v>0</v>
      </c>
      <c r="AQ107" s="102">
        <f t="shared" si="35"/>
        <v>0</v>
      </c>
      <c r="AR107" s="68" t="str">
        <f>IFERROR(VLOOKUP(A107,CUSTOMERS!$A:$B,2),"")</f>
        <v>PRD</v>
      </c>
      <c r="AS107" s="68" t="str">
        <f>IFERROR(VLOOKUP(A107,CUSTOMERS!$A:$D,3),"")</f>
        <v>REQ</v>
      </c>
      <c r="AT107" s="68" t="str">
        <f>IFERROR(VLOOKUP(A107,CUSTOMERS!$A:$F,6),"")</f>
        <v>N</v>
      </c>
      <c r="AU107" s="69">
        <f>IFERROR(VLOOKUP(A107,CUSTOMERS!$A:$E,4),"")</f>
        <v>-150</v>
      </c>
      <c r="AV107" s="68" t="str">
        <f t="shared" si="51"/>
        <v/>
      </c>
      <c r="AX107" s="71" t="str">
        <f t="shared" si="47"/>
        <v>reason107</v>
      </c>
    </row>
    <row r="108" spans="1:50" ht="40.5" customHeight="1">
      <c r="A108" s="188" t="s">
        <v>50</v>
      </c>
      <c r="B108" s="120" t="str">
        <f t="shared" si="50"/>
        <v>N</v>
      </c>
      <c r="C108" s="120"/>
      <c r="D108" s="121">
        <v>9</v>
      </c>
      <c r="E108" s="121"/>
      <c r="F108" s="122" t="str">
        <f t="shared" si="39"/>
        <v>PRD-REQ-2020-00009</v>
      </c>
      <c r="G108" s="123" t="s">
        <v>200</v>
      </c>
      <c r="H108" s="124" t="s">
        <v>528</v>
      </c>
      <c r="I108" s="239"/>
      <c r="J108" s="80">
        <f t="shared" si="42"/>
        <v>-3375</v>
      </c>
      <c r="K108" s="177">
        <f t="shared" si="41"/>
        <v>43845</v>
      </c>
      <c r="L108" s="148">
        <v>43845</v>
      </c>
      <c r="M108" s="149"/>
      <c r="N108" s="150"/>
      <c r="O108" s="150"/>
      <c r="P108" s="150"/>
      <c r="Q108" s="200" t="s">
        <v>15</v>
      </c>
      <c r="R108" s="200" t="s">
        <v>4</v>
      </c>
      <c r="S108" s="200"/>
      <c r="T108" s="200"/>
      <c r="U108" s="200"/>
      <c r="V108" s="200"/>
      <c r="W108" s="200"/>
      <c r="X108" s="144" t="s">
        <v>529</v>
      </c>
      <c r="Y108" s="173">
        <f t="shared" si="27"/>
        <v>-3375</v>
      </c>
      <c r="Z108" s="83">
        <f t="shared" si="43"/>
        <v>0</v>
      </c>
      <c r="AA108" s="84">
        <f t="shared" si="36"/>
        <v>-3375</v>
      </c>
      <c r="AB108" s="84">
        <f t="shared" si="26"/>
        <v>0</v>
      </c>
      <c r="AC108" s="84">
        <f t="shared" si="44"/>
        <v>0</v>
      </c>
      <c r="AD108" s="84"/>
      <c r="AE108" s="84">
        <f t="shared" si="48"/>
        <v>0</v>
      </c>
      <c r="AF108" s="84">
        <f t="shared" si="38"/>
        <v>-3375</v>
      </c>
      <c r="AG108" s="94">
        <f t="shared" si="49"/>
        <v>0</v>
      </c>
      <c r="AH108" s="85">
        <f>IFERROR(VLOOKUP(A108,CUSTOMERS!$A:$E,4),"")</f>
        <v>-150</v>
      </c>
      <c r="AI108" s="86" t="str">
        <f t="shared" si="37"/>
        <v/>
      </c>
      <c r="AJ108" s="87">
        <f>IFERROR(VLOOKUP(A108,CUSTOMERS!$A:$F,5),"")</f>
        <v>0</v>
      </c>
      <c r="AK108" s="96"/>
      <c r="AL108" s="96">
        <v>3</v>
      </c>
      <c r="AM108" s="96">
        <v>0</v>
      </c>
      <c r="AN108" s="96"/>
      <c r="AO108" s="96">
        <v>0</v>
      </c>
      <c r="AP108" s="102">
        <f t="shared" si="45"/>
        <v>3</v>
      </c>
      <c r="AQ108" s="102">
        <f t="shared" si="35"/>
        <v>0</v>
      </c>
      <c r="AR108" s="68" t="str">
        <f>IFERROR(VLOOKUP(A108,CUSTOMERS!$A:$B,2),"")</f>
        <v>PRD</v>
      </c>
      <c r="AS108" s="68" t="str">
        <f>IFERROR(VLOOKUP(A108,CUSTOMERS!$A:$D,3),"")</f>
        <v>REQ</v>
      </c>
      <c r="AT108" s="68" t="str">
        <f>IFERROR(VLOOKUP(A108,CUSTOMERS!$A:$F,6),"")</f>
        <v>N</v>
      </c>
      <c r="AU108" s="69">
        <f>IFERROR(VLOOKUP(A108,CUSTOMERS!$A:$E,4),"")</f>
        <v>-150</v>
      </c>
      <c r="AV108" s="68" t="str">
        <f t="shared" si="51"/>
        <v/>
      </c>
      <c r="AX108" s="71" t="str">
        <f t="shared" si="47"/>
        <v>reason108</v>
      </c>
    </row>
    <row r="109" spans="1:50" ht="40.5" customHeight="1">
      <c r="A109" s="188" t="s">
        <v>50</v>
      </c>
      <c r="B109" s="120" t="str">
        <f t="shared" si="50"/>
        <v>N</v>
      </c>
      <c r="C109" s="120"/>
      <c r="D109" s="121">
        <v>24</v>
      </c>
      <c r="E109" s="121"/>
      <c r="F109" s="122" t="str">
        <f t="shared" si="39"/>
        <v>PRD-REQ-2020-00024</v>
      </c>
      <c r="G109" s="123" t="s">
        <v>200</v>
      </c>
      <c r="H109" s="124" t="s">
        <v>530</v>
      </c>
      <c r="I109" s="239"/>
      <c r="J109" s="80">
        <f t="shared" si="42"/>
        <v>-8100</v>
      </c>
      <c r="K109" s="177">
        <f t="shared" si="41"/>
        <v>44152</v>
      </c>
      <c r="L109" s="141">
        <v>44152</v>
      </c>
      <c r="M109" s="142"/>
      <c r="N109" s="142"/>
      <c r="O109" s="142"/>
      <c r="P109" s="142"/>
      <c r="Q109" s="199" t="s">
        <v>14</v>
      </c>
      <c r="R109" s="199" t="s">
        <v>31</v>
      </c>
      <c r="S109" s="199"/>
      <c r="T109" s="199"/>
      <c r="U109" s="199"/>
      <c r="V109" s="199"/>
      <c r="W109" s="199"/>
      <c r="X109" s="144" t="s">
        <v>531</v>
      </c>
      <c r="Y109" s="173">
        <f t="shared" si="27"/>
        <v>-8100</v>
      </c>
      <c r="Z109" s="83">
        <f t="shared" si="43"/>
        <v>-2250</v>
      </c>
      <c r="AA109" s="84">
        <v>-3600</v>
      </c>
      <c r="AB109" s="84">
        <f t="shared" si="26"/>
        <v>0</v>
      </c>
      <c r="AC109" s="84">
        <f t="shared" si="44"/>
        <v>0</v>
      </c>
      <c r="AD109" s="84"/>
      <c r="AE109" s="84">
        <f t="shared" si="48"/>
        <v>-2250</v>
      </c>
      <c r="AF109" s="84">
        <f t="shared" si="38"/>
        <v>-8100</v>
      </c>
      <c r="AG109" s="94">
        <f t="shared" si="49"/>
        <v>0</v>
      </c>
      <c r="AH109" s="85">
        <f>IFERROR(VLOOKUP(A109,CUSTOMERS!$A:$E,4),"")</f>
        <v>-150</v>
      </c>
      <c r="AI109" s="86" t="str">
        <f t="shared" si="37"/>
        <v/>
      </c>
      <c r="AJ109" s="87">
        <f>IFERROR(VLOOKUP(A109,CUSTOMERS!$A:$F,5),"")</f>
        <v>0</v>
      </c>
      <c r="AK109" s="96">
        <v>2</v>
      </c>
      <c r="AL109" s="96">
        <v>0</v>
      </c>
      <c r="AM109" s="96">
        <v>0</v>
      </c>
      <c r="AN109" s="96"/>
      <c r="AO109" s="96">
        <v>2</v>
      </c>
      <c r="AP109" s="103">
        <f t="shared" si="45"/>
        <v>4</v>
      </c>
      <c r="AQ109" s="103">
        <f t="shared" si="35"/>
        <v>0</v>
      </c>
      <c r="AR109" s="68" t="str">
        <f>IFERROR(VLOOKUP(A109,CUSTOMERS!$A:$B,2),"")</f>
        <v>PRD</v>
      </c>
      <c r="AS109" s="68" t="str">
        <f>IFERROR(VLOOKUP(A109,CUSTOMERS!$A:$D,3),"")</f>
        <v>REQ</v>
      </c>
      <c r="AT109" s="68" t="str">
        <f>IFERROR(VLOOKUP(A109,CUSTOMERS!$A:$F,6),"")</f>
        <v>N</v>
      </c>
      <c r="AU109" s="69">
        <f>IFERROR(VLOOKUP(A109,CUSTOMERS!$A:$E,4),"")</f>
        <v>-150</v>
      </c>
      <c r="AV109" s="68" t="str">
        <f t="shared" si="51"/>
        <v/>
      </c>
      <c r="AX109" s="71" t="str">
        <f t="shared" si="47"/>
        <v>reason109</v>
      </c>
    </row>
    <row r="110" spans="1:50" ht="40.5" customHeight="1">
      <c r="A110" s="188" t="s">
        <v>50</v>
      </c>
      <c r="B110" s="120" t="str">
        <f t="shared" si="50"/>
        <v>N</v>
      </c>
      <c r="C110" s="120"/>
      <c r="D110" s="121">
        <v>25</v>
      </c>
      <c r="E110" s="121"/>
      <c r="F110" s="122" t="str">
        <f t="shared" si="39"/>
        <v>PRD-REQ-2020-00025</v>
      </c>
      <c r="G110" s="123" t="s">
        <v>200</v>
      </c>
      <c r="H110" s="124" t="s">
        <v>532</v>
      </c>
      <c r="I110" s="239"/>
      <c r="J110" s="80">
        <f t="shared" si="42"/>
        <v>-8100</v>
      </c>
      <c r="K110" s="177">
        <f t="shared" si="41"/>
        <v>44152</v>
      </c>
      <c r="L110" s="141">
        <v>44152</v>
      </c>
      <c r="M110" s="142"/>
      <c r="N110" s="142"/>
      <c r="O110" s="142"/>
      <c r="P110" s="142"/>
      <c r="Q110" s="199" t="s">
        <v>13</v>
      </c>
      <c r="R110" s="199" t="s">
        <v>31</v>
      </c>
      <c r="S110" s="199"/>
      <c r="T110" s="199"/>
      <c r="U110" s="199"/>
      <c r="V110" s="199"/>
      <c r="W110" s="199"/>
      <c r="X110" s="144" t="s">
        <v>531</v>
      </c>
      <c r="Y110" s="173">
        <f t="shared" si="27"/>
        <v>-8100</v>
      </c>
      <c r="Z110" s="83">
        <f t="shared" si="43"/>
        <v>-2250</v>
      </c>
      <c r="AA110" s="84">
        <v>-3600</v>
      </c>
      <c r="AB110" s="84">
        <f t="shared" si="26"/>
        <v>0</v>
      </c>
      <c r="AC110" s="84">
        <f t="shared" si="44"/>
        <v>0</v>
      </c>
      <c r="AD110" s="84"/>
      <c r="AE110" s="84">
        <f t="shared" si="48"/>
        <v>-2250</v>
      </c>
      <c r="AF110" s="84">
        <f t="shared" si="38"/>
        <v>-8100</v>
      </c>
      <c r="AG110" s="94">
        <f t="shared" si="49"/>
        <v>0</v>
      </c>
      <c r="AH110" s="85">
        <f>IFERROR(VLOOKUP(A110,CUSTOMERS!$A:$E,4),"")</f>
        <v>-150</v>
      </c>
      <c r="AI110" s="86" t="str">
        <f t="shared" si="37"/>
        <v/>
      </c>
      <c r="AJ110" s="87">
        <f>IFERROR(VLOOKUP(A110,CUSTOMERS!$A:$F,5),"")</f>
        <v>0</v>
      </c>
      <c r="AK110" s="96">
        <v>2</v>
      </c>
      <c r="AL110" s="96">
        <v>0</v>
      </c>
      <c r="AM110" s="96">
        <v>0</v>
      </c>
      <c r="AN110" s="96"/>
      <c r="AO110" s="96">
        <v>2</v>
      </c>
      <c r="AP110" s="103">
        <f t="shared" si="45"/>
        <v>4</v>
      </c>
      <c r="AQ110" s="103">
        <f t="shared" si="35"/>
        <v>0</v>
      </c>
      <c r="AR110" s="68" t="str">
        <f>IFERROR(VLOOKUP(A110,CUSTOMERS!$A:$B,2),"")</f>
        <v>PRD</v>
      </c>
      <c r="AS110" s="68" t="str">
        <f>IFERROR(VLOOKUP(A110,CUSTOMERS!$A:$D,3),"")</f>
        <v>REQ</v>
      </c>
      <c r="AT110" s="68" t="str">
        <f>IFERROR(VLOOKUP(A110,CUSTOMERS!$A:$F,6),"")</f>
        <v>N</v>
      </c>
      <c r="AU110" s="69">
        <f>IFERROR(VLOOKUP(A110,CUSTOMERS!$A:$E,4),"")</f>
        <v>-150</v>
      </c>
      <c r="AV110" s="68" t="str">
        <f t="shared" si="51"/>
        <v/>
      </c>
      <c r="AX110" s="71" t="str">
        <f t="shared" si="47"/>
        <v>reason110</v>
      </c>
    </row>
    <row r="111" spans="1:50" ht="40.5" hidden="1" customHeight="1">
      <c r="A111" s="188" t="s">
        <v>50</v>
      </c>
      <c r="B111" s="120" t="str">
        <f t="shared" si="50"/>
        <v>N</v>
      </c>
      <c r="C111" s="120"/>
      <c r="D111" s="121">
        <v>1</v>
      </c>
      <c r="E111" s="121"/>
      <c r="F111" s="122" t="str">
        <f t="shared" si="39"/>
        <v>PRD-REQ-2021-00001</v>
      </c>
      <c r="G111" s="123" t="s">
        <v>100</v>
      </c>
      <c r="H111" s="124" t="s">
        <v>533</v>
      </c>
      <c r="I111" s="239"/>
      <c r="J111" s="80">
        <f t="shared" si="42"/>
        <v>-45000</v>
      </c>
      <c r="K111" s="177">
        <f t="shared" si="41"/>
        <v>44201</v>
      </c>
      <c r="L111" s="141">
        <v>44201</v>
      </c>
      <c r="M111" s="147"/>
      <c r="N111" s="147"/>
      <c r="O111" s="147"/>
      <c r="P111" s="147"/>
      <c r="Q111" s="199" t="s">
        <v>15</v>
      </c>
      <c r="R111" s="199" t="s">
        <v>31</v>
      </c>
      <c r="S111" s="199"/>
      <c r="T111" s="199"/>
      <c r="U111" s="199"/>
      <c r="V111" s="199"/>
      <c r="W111" s="199"/>
      <c r="X111" s="144" t="s">
        <v>534</v>
      </c>
      <c r="Y111" s="173">
        <f t="shared" si="27"/>
        <v>-45000</v>
      </c>
      <c r="Z111" s="83">
        <f t="shared" si="43"/>
        <v>-5625</v>
      </c>
      <c r="AA111" s="84">
        <f t="shared" ref="AA111:AA174" si="52">IFERROR((AL111*AH111)*7.5,"")</f>
        <v>-21375</v>
      </c>
      <c r="AB111" s="84">
        <f t="shared" ref="AB111:AB174" si="53">IFERROR((AM111*AH111)*7.5,"")</f>
        <v>-7875</v>
      </c>
      <c r="AC111" s="84">
        <f t="shared" si="44"/>
        <v>-4500</v>
      </c>
      <c r="AD111" s="84"/>
      <c r="AE111" s="84">
        <f t="shared" si="48"/>
        <v>-5625</v>
      </c>
      <c r="AF111" s="84">
        <f t="shared" si="38"/>
        <v>-45000</v>
      </c>
      <c r="AG111" s="94">
        <f t="shared" si="49"/>
        <v>0</v>
      </c>
      <c r="AH111" s="85">
        <f>IFERROR(VLOOKUP(A111,CUSTOMERS!$A:$E,4),"")</f>
        <v>-150</v>
      </c>
      <c r="AI111" s="86" t="str">
        <f t="shared" si="37"/>
        <v/>
      </c>
      <c r="AJ111" s="87">
        <f>IFERROR(VLOOKUP(A111,CUSTOMERS!$A:$F,5),"")</f>
        <v>0</v>
      </c>
      <c r="AK111" s="96">
        <v>5</v>
      </c>
      <c r="AL111" s="96">
        <v>19</v>
      </c>
      <c r="AM111" s="96">
        <v>7</v>
      </c>
      <c r="AN111" s="96">
        <v>4</v>
      </c>
      <c r="AO111" s="96">
        <v>5</v>
      </c>
      <c r="AP111" s="103">
        <f t="shared" si="45"/>
        <v>40</v>
      </c>
      <c r="AQ111" s="103">
        <f t="shared" si="35"/>
        <v>0</v>
      </c>
      <c r="AR111" s="68" t="str">
        <f>IFERROR(VLOOKUP(A111,CUSTOMERS!$A:$B,2),"")</f>
        <v>PRD</v>
      </c>
      <c r="AS111" s="68" t="str">
        <f>IFERROR(VLOOKUP(A111,CUSTOMERS!$A:$D,3),"")</f>
        <v>REQ</v>
      </c>
      <c r="AT111" s="68" t="str">
        <f>IFERROR(VLOOKUP(A111,CUSTOMERS!$A:$F,6),"")</f>
        <v>N</v>
      </c>
      <c r="AU111" s="69">
        <f>IFERROR(VLOOKUP(A111,CUSTOMERS!$A:$E,4),"")</f>
        <v>-150</v>
      </c>
      <c r="AV111" s="68" t="str">
        <f t="shared" si="51"/>
        <v/>
      </c>
      <c r="AX111" s="71" t="str">
        <f t="shared" si="47"/>
        <v>reason111</v>
      </c>
    </row>
    <row r="112" spans="1:50" ht="40.5" hidden="1" customHeight="1">
      <c r="A112" s="188" t="s">
        <v>50</v>
      </c>
      <c r="B112" s="120" t="str">
        <f t="shared" si="50"/>
        <v>N</v>
      </c>
      <c r="C112" s="120"/>
      <c r="D112" s="121">
        <v>3</v>
      </c>
      <c r="E112" s="121"/>
      <c r="F112" s="122" t="str">
        <f t="shared" si="39"/>
        <v>PRD-REQ-2021-00003</v>
      </c>
      <c r="G112" s="123" t="s">
        <v>339</v>
      </c>
      <c r="H112" s="124" t="s">
        <v>75</v>
      </c>
      <c r="I112" s="239"/>
      <c r="J112" s="80">
        <f t="shared" si="42"/>
        <v>0</v>
      </c>
      <c r="K112" s="177">
        <f t="shared" si="41"/>
        <v>44216</v>
      </c>
      <c r="L112" s="146">
        <v>44216</v>
      </c>
      <c r="M112" s="147"/>
      <c r="N112" s="147"/>
      <c r="O112" s="147"/>
      <c r="P112" s="147"/>
      <c r="Q112" s="199" t="s">
        <v>15</v>
      </c>
      <c r="R112" s="199" t="s">
        <v>31</v>
      </c>
      <c r="S112" s="199" t="s">
        <v>308</v>
      </c>
      <c r="T112" s="199" t="s">
        <v>455</v>
      </c>
      <c r="U112" s="199" t="s">
        <v>450</v>
      </c>
      <c r="V112" s="199">
        <v>44357</v>
      </c>
      <c r="W112" s="199" t="s">
        <v>535</v>
      </c>
      <c r="X112" s="144" t="s">
        <v>536</v>
      </c>
      <c r="Y112" s="173">
        <f t="shared" ref="Y112:Y175" si="54">IFERROR(AF112+AG112,"")</f>
        <v>0</v>
      </c>
      <c r="Z112" s="83">
        <f t="shared" si="43"/>
        <v>0</v>
      </c>
      <c r="AA112" s="84">
        <f t="shared" si="52"/>
        <v>0</v>
      </c>
      <c r="AB112" s="84">
        <f t="shared" si="53"/>
        <v>0</v>
      </c>
      <c r="AC112" s="84">
        <f t="shared" si="44"/>
        <v>0</v>
      </c>
      <c r="AD112" s="84"/>
      <c r="AE112" s="84">
        <f t="shared" si="48"/>
        <v>0</v>
      </c>
      <c r="AF112" s="84">
        <f t="shared" si="38"/>
        <v>0</v>
      </c>
      <c r="AG112" s="94">
        <f t="shared" si="49"/>
        <v>0</v>
      </c>
      <c r="AH112" s="85">
        <f>IFERROR(VLOOKUP(A112,CUSTOMERS!$A:$E,4),"")</f>
        <v>-150</v>
      </c>
      <c r="AI112" s="86" t="str">
        <f t="shared" si="37"/>
        <v/>
      </c>
      <c r="AJ112" s="87">
        <f>IFERROR(VLOOKUP(A112,CUSTOMERS!$A:$F,5),"")</f>
        <v>0</v>
      </c>
      <c r="AK112" s="96"/>
      <c r="AL112" s="96">
        <v>0</v>
      </c>
      <c r="AM112" s="96">
        <v>0</v>
      </c>
      <c r="AN112" s="96"/>
      <c r="AO112" s="96">
        <v>0</v>
      </c>
      <c r="AP112" s="103">
        <f t="shared" si="45"/>
        <v>0</v>
      </c>
      <c r="AQ112" s="103">
        <f t="shared" si="35"/>
        <v>0</v>
      </c>
      <c r="AR112" s="68" t="str">
        <f>IFERROR(VLOOKUP(A112,CUSTOMERS!$A:$B,2),"")</f>
        <v>PRD</v>
      </c>
      <c r="AS112" s="68" t="str">
        <f>IFERROR(VLOOKUP(A112,CUSTOMERS!$A:$D,3),"")</f>
        <v>REQ</v>
      </c>
      <c r="AT112" s="68" t="str">
        <f>IFERROR(VLOOKUP(A112,CUSTOMERS!$A:$F,6),"")</f>
        <v>N</v>
      </c>
      <c r="AU112" s="69">
        <f>IFERROR(VLOOKUP(A112,CUSTOMERS!$A:$E,4),"")</f>
        <v>-150</v>
      </c>
      <c r="AV112" s="68" t="str">
        <f t="shared" si="51"/>
        <v/>
      </c>
      <c r="AX112" s="71" t="str">
        <f t="shared" si="47"/>
        <v>reason112</v>
      </c>
    </row>
    <row r="113" spans="1:50" ht="40.5" customHeight="1">
      <c r="A113" s="188" t="s">
        <v>50</v>
      </c>
      <c r="B113" s="120" t="str">
        <f t="shared" si="50"/>
        <v>N</v>
      </c>
      <c r="C113" s="120"/>
      <c r="D113" s="121">
        <v>5</v>
      </c>
      <c r="E113" s="121"/>
      <c r="F113" s="122" t="str">
        <f t="shared" si="39"/>
        <v>PRD-REQ-2020-00005</v>
      </c>
      <c r="G113" s="123" t="s">
        <v>200</v>
      </c>
      <c r="H113" s="124" t="s">
        <v>537</v>
      </c>
      <c r="I113" s="239"/>
      <c r="J113" s="80">
        <f t="shared" si="42"/>
        <v>0</v>
      </c>
      <c r="K113" s="177">
        <f t="shared" si="41"/>
        <v>43952</v>
      </c>
      <c r="L113" s="148">
        <v>43952</v>
      </c>
      <c r="M113" s="149"/>
      <c r="N113" s="150"/>
      <c r="O113" s="150"/>
      <c r="P113" s="150"/>
      <c r="Q113" s="200" t="s">
        <v>15</v>
      </c>
      <c r="R113" s="200" t="s">
        <v>31</v>
      </c>
      <c r="S113" s="200"/>
      <c r="T113" s="200"/>
      <c r="U113" s="200"/>
      <c r="V113" s="200"/>
      <c r="W113" s="200"/>
      <c r="X113" s="144" t="s">
        <v>538</v>
      </c>
      <c r="Y113" s="173">
        <f t="shared" si="54"/>
        <v>0</v>
      </c>
      <c r="Z113" s="83">
        <f t="shared" si="43"/>
        <v>0</v>
      </c>
      <c r="AA113" s="84">
        <f t="shared" si="52"/>
        <v>0</v>
      </c>
      <c r="AB113" s="84">
        <f t="shared" si="53"/>
        <v>0</v>
      </c>
      <c r="AC113" s="84">
        <f t="shared" si="44"/>
        <v>0</v>
      </c>
      <c r="AD113" s="84"/>
      <c r="AE113" s="84">
        <f t="shared" si="48"/>
        <v>0</v>
      </c>
      <c r="AF113" s="84">
        <f t="shared" si="38"/>
        <v>0</v>
      </c>
      <c r="AG113" s="94">
        <f t="shared" si="49"/>
        <v>0</v>
      </c>
      <c r="AH113" s="85">
        <f>IFERROR(VLOOKUP(A113,CUSTOMERS!$A:$E,4),"")</f>
        <v>-150</v>
      </c>
      <c r="AI113" s="86" t="str">
        <f t="shared" si="37"/>
        <v/>
      </c>
      <c r="AJ113" s="87">
        <f>IFERROR(VLOOKUP(A113,CUSTOMERS!$A:$F,5),"")</f>
        <v>0</v>
      </c>
      <c r="AK113" s="96"/>
      <c r="AL113" s="96">
        <v>0</v>
      </c>
      <c r="AM113" s="96">
        <v>0</v>
      </c>
      <c r="AN113" s="96"/>
      <c r="AO113" s="96">
        <v>0</v>
      </c>
      <c r="AP113" s="102">
        <f t="shared" si="45"/>
        <v>0</v>
      </c>
      <c r="AQ113" s="102">
        <f t="shared" si="35"/>
        <v>0</v>
      </c>
      <c r="AR113" s="68" t="str">
        <f>IFERROR(VLOOKUP(A113,CUSTOMERS!$A:$B,2),"")</f>
        <v>PRD</v>
      </c>
      <c r="AS113" s="68" t="str">
        <f>IFERROR(VLOOKUP(A113,CUSTOMERS!$A:$D,3),"")</f>
        <v>REQ</v>
      </c>
      <c r="AT113" s="68" t="str">
        <f>IFERROR(VLOOKUP(A113,CUSTOMERS!$A:$F,6),"")</f>
        <v>N</v>
      </c>
      <c r="AU113" s="69">
        <f>IFERROR(VLOOKUP(A113,CUSTOMERS!$A:$E,4),"")</f>
        <v>-150</v>
      </c>
      <c r="AV113" s="68" t="str">
        <f t="shared" si="51"/>
        <v/>
      </c>
      <c r="AX113" s="71" t="str">
        <f t="shared" si="47"/>
        <v>reason113</v>
      </c>
    </row>
    <row r="114" spans="1:50" ht="40.5" customHeight="1">
      <c r="A114" s="188" t="s">
        <v>50</v>
      </c>
      <c r="B114" s="120" t="str">
        <f t="shared" si="50"/>
        <v>N</v>
      </c>
      <c r="C114" s="120"/>
      <c r="D114" s="121">
        <v>24</v>
      </c>
      <c r="E114" s="121"/>
      <c r="F114" s="122" t="str">
        <f t="shared" si="39"/>
        <v>PRD-REQ-2020-00024</v>
      </c>
      <c r="G114" s="123" t="s">
        <v>200</v>
      </c>
      <c r="H114" s="124" t="s">
        <v>539</v>
      </c>
      <c r="I114" s="239"/>
      <c r="J114" s="80">
        <f t="shared" si="42"/>
        <v>0</v>
      </c>
      <c r="K114" s="177">
        <f t="shared" si="41"/>
        <v>44133</v>
      </c>
      <c r="L114" s="141">
        <v>44133</v>
      </c>
      <c r="M114" s="142" t="s">
        <v>540</v>
      </c>
      <c r="N114" s="142" t="s">
        <v>541</v>
      </c>
      <c r="O114" s="142" t="s">
        <v>542</v>
      </c>
      <c r="P114" s="142" t="s">
        <v>542</v>
      </c>
      <c r="Q114" s="199" t="s">
        <v>12</v>
      </c>
      <c r="R114" s="199" t="s">
        <v>4</v>
      </c>
      <c r="S114" s="199"/>
      <c r="T114" s="199"/>
      <c r="U114" s="199"/>
      <c r="V114" s="199"/>
      <c r="W114" s="199"/>
      <c r="X114" s="144" t="s">
        <v>543</v>
      </c>
      <c r="Y114" s="173">
        <f t="shared" si="54"/>
        <v>0</v>
      </c>
      <c r="Z114" s="83">
        <f t="shared" si="43"/>
        <v>0</v>
      </c>
      <c r="AA114" s="84">
        <f t="shared" si="52"/>
        <v>0</v>
      </c>
      <c r="AB114" s="84">
        <f t="shared" si="53"/>
        <v>0</v>
      </c>
      <c r="AC114" s="84">
        <f t="shared" si="44"/>
        <v>0</v>
      </c>
      <c r="AD114" s="84"/>
      <c r="AE114" s="84">
        <f t="shared" si="48"/>
        <v>0</v>
      </c>
      <c r="AF114" s="84">
        <f t="shared" si="38"/>
        <v>0</v>
      </c>
      <c r="AG114" s="94">
        <f t="shared" si="49"/>
        <v>0</v>
      </c>
      <c r="AH114" s="85">
        <f>IFERROR(VLOOKUP(A114,CUSTOMERS!$A:$E,4),"")</f>
        <v>-150</v>
      </c>
      <c r="AI114" s="86" t="str">
        <f t="shared" si="37"/>
        <v/>
      </c>
      <c r="AJ114" s="87">
        <f>IFERROR(VLOOKUP(A114,CUSTOMERS!$A:$F,5),"")</f>
        <v>0</v>
      </c>
      <c r="AK114" s="96"/>
      <c r="AL114" s="96">
        <v>0</v>
      </c>
      <c r="AM114" s="96">
        <v>0</v>
      </c>
      <c r="AN114" s="96"/>
      <c r="AO114" s="96">
        <v>0</v>
      </c>
      <c r="AP114" s="102">
        <f t="shared" si="45"/>
        <v>0</v>
      </c>
      <c r="AQ114" s="102">
        <f t="shared" si="35"/>
        <v>0</v>
      </c>
      <c r="AR114" s="68" t="str">
        <f>IFERROR(VLOOKUP(A114,CUSTOMERS!$A:$B,2),"")</f>
        <v>PRD</v>
      </c>
      <c r="AS114" s="68" t="str">
        <f>IFERROR(VLOOKUP(A114,CUSTOMERS!$A:$D,3),"")</f>
        <v>REQ</v>
      </c>
      <c r="AT114" s="68" t="str">
        <f>IFERROR(VLOOKUP(A114,CUSTOMERS!$A:$F,6),"")</f>
        <v>N</v>
      </c>
      <c r="AU114" s="69">
        <f>IFERROR(VLOOKUP(A114,CUSTOMERS!$A:$E,4),"")</f>
        <v>-150</v>
      </c>
      <c r="AV114" s="68" t="str">
        <f t="shared" si="51"/>
        <v/>
      </c>
      <c r="AX114" s="71" t="str">
        <f t="shared" si="47"/>
        <v>reason114</v>
      </c>
    </row>
    <row r="115" spans="1:50" ht="40.5" hidden="1" customHeight="1">
      <c r="A115" s="188" t="s">
        <v>27</v>
      </c>
      <c r="B115" s="120" t="str">
        <f t="shared" si="50"/>
        <v>N</v>
      </c>
      <c r="C115" s="120"/>
      <c r="D115" s="121">
        <v>32165</v>
      </c>
      <c r="E115" s="121"/>
      <c r="F115" s="122" t="str">
        <f t="shared" si="39"/>
        <v>PRD-BLG-2020-32165</v>
      </c>
      <c r="G115" s="207" t="s">
        <v>339</v>
      </c>
      <c r="H115" s="124" t="s">
        <v>544</v>
      </c>
      <c r="I115" s="239"/>
      <c r="J115" s="80">
        <f t="shared" si="42"/>
        <v>-19125</v>
      </c>
      <c r="K115" s="177">
        <f t="shared" si="41"/>
        <v>43951</v>
      </c>
      <c r="L115" s="148">
        <v>43951</v>
      </c>
      <c r="M115" s="149"/>
      <c r="N115" s="150"/>
      <c r="O115" s="150"/>
      <c r="P115" s="150"/>
      <c r="Q115" s="200" t="s">
        <v>15</v>
      </c>
      <c r="R115" s="200" t="s">
        <v>78</v>
      </c>
      <c r="S115" s="200"/>
      <c r="T115" s="200"/>
      <c r="U115" s="200"/>
      <c r="V115" s="200"/>
      <c r="W115" s="200"/>
      <c r="X115" s="144" t="s">
        <v>545</v>
      </c>
      <c r="Y115" s="173">
        <f t="shared" si="54"/>
        <v>-19125</v>
      </c>
      <c r="Z115" s="83">
        <f t="shared" si="43"/>
        <v>-2868.75</v>
      </c>
      <c r="AA115" s="84">
        <f t="shared" si="52"/>
        <v>-9562.5</v>
      </c>
      <c r="AB115" s="84">
        <f t="shared" si="53"/>
        <v>-2868.75</v>
      </c>
      <c r="AC115" s="84">
        <f t="shared" si="44"/>
        <v>0</v>
      </c>
      <c r="AD115" s="84"/>
      <c r="AE115" s="84">
        <f t="shared" si="48"/>
        <v>-3825.0000000000005</v>
      </c>
      <c r="AF115" s="84">
        <f t="shared" si="38"/>
        <v>-19125</v>
      </c>
      <c r="AG115" s="94">
        <f t="shared" si="49"/>
        <v>0</v>
      </c>
      <c r="AH115" s="85">
        <f>IFERROR(VLOOKUP(A115,CUSTOMERS!$A:$E,4),"")</f>
        <v>-150</v>
      </c>
      <c r="AI115" s="86" t="str">
        <f t="shared" si="37"/>
        <v/>
      </c>
      <c r="AJ115" s="87">
        <f>IFERROR(VLOOKUP(A115,CUSTOMERS!$A:$F,5),"")</f>
        <v>0</v>
      </c>
      <c r="AK115" s="96">
        <v>2.5499999999999998</v>
      </c>
      <c r="AL115" s="96">
        <v>8.5</v>
      </c>
      <c r="AM115" s="96">
        <v>2.5499999999999998</v>
      </c>
      <c r="AN115" s="96"/>
      <c r="AO115" s="96">
        <v>3.4000000000000004</v>
      </c>
      <c r="AP115" s="102">
        <f t="shared" si="45"/>
        <v>17</v>
      </c>
      <c r="AQ115" s="102">
        <f t="shared" si="35"/>
        <v>0</v>
      </c>
      <c r="AR115" s="68" t="str">
        <f>IFERROR(VLOOKUP(A115,CUSTOMERS!$A:$B,2),"")</f>
        <v>PRD</v>
      </c>
      <c r="AS115" s="68" t="str">
        <f>IFERROR(VLOOKUP(A115,CUSTOMERS!$A:$D,3),"")</f>
        <v>BLG</v>
      </c>
      <c r="AT115" s="68" t="str">
        <f>IFERROR(VLOOKUP(A115,CUSTOMERS!$A:$F,6),"")</f>
        <v>N</v>
      </c>
      <c r="AU115" s="69">
        <f>IFERROR(VLOOKUP(A115,CUSTOMERS!$A:$E,4),"")</f>
        <v>-150</v>
      </c>
      <c r="AV115" s="68" t="str">
        <f t="shared" si="51"/>
        <v/>
      </c>
      <c r="AX115" s="71" t="str">
        <f t="shared" si="47"/>
        <v>reason115</v>
      </c>
    </row>
    <row r="116" spans="1:50" ht="40.5" hidden="1" customHeight="1">
      <c r="A116" s="188" t="s">
        <v>27</v>
      </c>
      <c r="B116" s="120" t="str">
        <f t="shared" si="50"/>
        <v>N</v>
      </c>
      <c r="C116" s="120"/>
      <c r="D116" s="121">
        <v>33671</v>
      </c>
      <c r="E116" s="121"/>
      <c r="F116" s="122" t="str">
        <f t="shared" si="39"/>
        <v>PRD-BLG-2020-33671</v>
      </c>
      <c r="G116" s="123" t="s">
        <v>100</v>
      </c>
      <c r="H116" s="124" t="s">
        <v>546</v>
      </c>
      <c r="I116" s="239"/>
      <c r="J116" s="80">
        <f t="shared" si="42"/>
        <v>0</v>
      </c>
      <c r="K116" s="177">
        <v>44152</v>
      </c>
      <c r="L116" s="141">
        <v>44098</v>
      </c>
      <c r="M116" s="142"/>
      <c r="N116" s="142"/>
      <c r="O116" s="142"/>
      <c r="P116" s="142"/>
      <c r="Q116" s="199" t="s">
        <v>295</v>
      </c>
      <c r="R116" s="200" t="s">
        <v>78</v>
      </c>
      <c r="S116" s="200"/>
      <c r="T116" s="200"/>
      <c r="U116" s="200"/>
      <c r="V116" s="200"/>
      <c r="W116" s="200"/>
      <c r="X116" s="144" t="s">
        <v>547</v>
      </c>
      <c r="Y116" s="173">
        <f t="shared" si="54"/>
        <v>0</v>
      </c>
      <c r="Z116" s="83">
        <f t="shared" si="43"/>
        <v>0</v>
      </c>
      <c r="AA116" s="84">
        <f t="shared" si="52"/>
        <v>0</v>
      </c>
      <c r="AB116" s="84">
        <f t="shared" si="53"/>
        <v>0</v>
      </c>
      <c r="AC116" s="84">
        <f t="shared" si="44"/>
        <v>0</v>
      </c>
      <c r="AD116" s="84"/>
      <c r="AE116" s="84">
        <f t="shared" si="48"/>
        <v>0</v>
      </c>
      <c r="AF116" s="84">
        <f t="shared" si="38"/>
        <v>0</v>
      </c>
      <c r="AG116" s="94">
        <f t="shared" si="49"/>
        <v>0</v>
      </c>
      <c r="AH116" s="85">
        <f>IFERROR(VLOOKUP(A116,CUSTOMERS!$A:$E,4),"")</f>
        <v>-150</v>
      </c>
      <c r="AI116" s="86" t="str">
        <f t="shared" si="37"/>
        <v/>
      </c>
      <c r="AJ116" s="87">
        <f>IFERROR(VLOOKUP(A116,CUSTOMERS!$A:$F,5),"")</f>
        <v>0</v>
      </c>
      <c r="AK116" s="96"/>
      <c r="AL116" s="96">
        <v>0</v>
      </c>
      <c r="AM116" s="96">
        <v>0</v>
      </c>
      <c r="AN116" s="96"/>
      <c r="AO116" s="96">
        <v>0</v>
      </c>
      <c r="AP116" s="102">
        <f t="shared" si="45"/>
        <v>0</v>
      </c>
      <c r="AQ116" s="102">
        <f t="shared" si="35"/>
        <v>0</v>
      </c>
      <c r="AR116" s="68" t="str">
        <f>IFERROR(VLOOKUP(A116,CUSTOMERS!$A:$B,2),"")</f>
        <v>PRD</v>
      </c>
      <c r="AS116" s="68" t="str">
        <f>IFERROR(VLOOKUP(A116,CUSTOMERS!$A:$D,3),"")</f>
        <v>BLG</v>
      </c>
      <c r="AT116" s="68" t="str">
        <f>IFERROR(VLOOKUP(A116,CUSTOMERS!$A:$F,6),"")</f>
        <v>N</v>
      </c>
      <c r="AU116" s="69">
        <f>IFERROR(VLOOKUP(A116,CUSTOMERS!$A:$E,4),"")</f>
        <v>-150</v>
      </c>
      <c r="AV116" s="68" t="str">
        <f t="shared" si="51"/>
        <v/>
      </c>
      <c r="AX116" s="71" t="str">
        <f t="shared" si="47"/>
        <v>reason116</v>
      </c>
    </row>
    <row r="117" spans="1:50" ht="40.5" hidden="1" customHeight="1">
      <c r="A117" s="188" t="s">
        <v>27</v>
      </c>
      <c r="B117" s="120" t="str">
        <f t="shared" si="50"/>
        <v>N</v>
      </c>
      <c r="C117" s="120"/>
      <c r="D117" s="120">
        <v>33672</v>
      </c>
      <c r="E117" s="120"/>
      <c r="F117" s="122" t="str">
        <f t="shared" si="39"/>
        <v>PRD-BLG-2020-33672</v>
      </c>
      <c r="G117" s="123" t="s">
        <v>100</v>
      </c>
      <c r="H117" s="124" t="s">
        <v>548</v>
      </c>
      <c r="I117" s="239"/>
      <c r="J117" s="80">
        <f t="shared" si="42"/>
        <v>0</v>
      </c>
      <c r="K117" s="177">
        <v>44152</v>
      </c>
      <c r="L117" s="141">
        <v>44098</v>
      </c>
      <c r="M117" s="158"/>
      <c r="N117" s="142"/>
      <c r="O117" s="142"/>
      <c r="P117" s="159"/>
      <c r="Q117" s="199" t="s">
        <v>295</v>
      </c>
      <c r="R117" s="200" t="s">
        <v>78</v>
      </c>
      <c r="S117" s="200"/>
      <c r="T117" s="200"/>
      <c r="U117" s="200"/>
      <c r="V117" s="200"/>
      <c r="W117" s="200"/>
      <c r="X117" s="144" t="s">
        <v>547</v>
      </c>
      <c r="Y117" s="173">
        <f t="shared" si="54"/>
        <v>0</v>
      </c>
      <c r="Z117" s="83">
        <f t="shared" si="43"/>
        <v>0</v>
      </c>
      <c r="AA117" s="84">
        <f t="shared" si="52"/>
        <v>0</v>
      </c>
      <c r="AB117" s="84">
        <f t="shared" si="53"/>
        <v>0</v>
      </c>
      <c r="AC117" s="84">
        <f t="shared" si="44"/>
        <v>0</v>
      </c>
      <c r="AD117" s="84"/>
      <c r="AE117" s="84">
        <f t="shared" si="48"/>
        <v>0</v>
      </c>
      <c r="AF117" s="84">
        <f t="shared" si="38"/>
        <v>0</v>
      </c>
      <c r="AG117" s="94">
        <f t="shared" si="49"/>
        <v>0</v>
      </c>
      <c r="AH117" s="85">
        <f>IFERROR(VLOOKUP(A117,CUSTOMERS!$A:$E,4),"")</f>
        <v>-150</v>
      </c>
      <c r="AI117" s="86" t="str">
        <f t="shared" si="37"/>
        <v/>
      </c>
      <c r="AJ117" s="87">
        <f>IFERROR(VLOOKUP(A117,CUSTOMERS!$A:$F,5),"")</f>
        <v>0</v>
      </c>
      <c r="AK117" s="96"/>
      <c r="AL117" s="96">
        <v>0</v>
      </c>
      <c r="AM117" s="96">
        <v>0</v>
      </c>
      <c r="AN117" s="96"/>
      <c r="AO117" s="96">
        <v>0</v>
      </c>
      <c r="AP117" s="102">
        <f t="shared" si="45"/>
        <v>0</v>
      </c>
      <c r="AQ117" s="102">
        <f t="shared" ref="AQ117:AQ180" si="55">IFERROR(AP117*AJ117,"")</f>
        <v>0</v>
      </c>
      <c r="AR117" s="68" t="str">
        <f>IFERROR(VLOOKUP(A117,CUSTOMERS!$A:$B,2),"")</f>
        <v>PRD</v>
      </c>
      <c r="AS117" s="68" t="str">
        <f>IFERROR(VLOOKUP(A117,CUSTOMERS!$A:$D,3),"")</f>
        <v>BLG</v>
      </c>
      <c r="AT117" s="68" t="str">
        <f>IFERROR(VLOOKUP(A117,CUSTOMERS!$A:$F,6),"")</f>
        <v>N</v>
      </c>
      <c r="AU117" s="69">
        <f>IFERROR(VLOOKUP(A117,CUSTOMERS!$A:$E,4),"")</f>
        <v>-150</v>
      </c>
      <c r="AV117" s="68" t="str">
        <f t="shared" si="51"/>
        <v/>
      </c>
      <c r="AX117" s="71" t="str">
        <f t="shared" si="47"/>
        <v>reason117</v>
      </c>
    </row>
    <row r="118" spans="1:50" ht="40.5" hidden="1" customHeight="1">
      <c r="A118" s="188" t="s">
        <v>27</v>
      </c>
      <c r="B118" s="120" t="str">
        <f t="shared" si="50"/>
        <v>N</v>
      </c>
      <c r="C118" s="120"/>
      <c r="D118" s="120">
        <v>33673</v>
      </c>
      <c r="E118" s="120"/>
      <c r="F118" s="122" t="str">
        <f t="shared" si="39"/>
        <v>PRD-BLG-2020-33673</v>
      </c>
      <c r="G118" s="123" t="s">
        <v>100</v>
      </c>
      <c r="H118" s="124" t="s">
        <v>549</v>
      </c>
      <c r="I118" s="239"/>
      <c r="J118" s="80">
        <f t="shared" si="42"/>
        <v>0</v>
      </c>
      <c r="K118" s="177">
        <v>44152</v>
      </c>
      <c r="L118" s="141">
        <v>44098</v>
      </c>
      <c r="M118" s="158"/>
      <c r="N118" s="142"/>
      <c r="O118" s="142"/>
      <c r="P118" s="159"/>
      <c r="Q118" s="199" t="s">
        <v>295</v>
      </c>
      <c r="R118" s="200" t="s">
        <v>78</v>
      </c>
      <c r="S118" s="200"/>
      <c r="T118" s="200"/>
      <c r="U118" s="200"/>
      <c r="V118" s="200"/>
      <c r="W118" s="200"/>
      <c r="X118" s="144" t="s">
        <v>547</v>
      </c>
      <c r="Y118" s="173">
        <f t="shared" si="54"/>
        <v>0</v>
      </c>
      <c r="Z118" s="83">
        <f t="shared" si="43"/>
        <v>0</v>
      </c>
      <c r="AA118" s="84">
        <f t="shared" si="52"/>
        <v>0</v>
      </c>
      <c r="AB118" s="84">
        <f t="shared" si="53"/>
        <v>0</v>
      </c>
      <c r="AC118" s="84">
        <f t="shared" si="44"/>
        <v>0</v>
      </c>
      <c r="AD118" s="84"/>
      <c r="AE118" s="84">
        <f t="shared" si="48"/>
        <v>0</v>
      </c>
      <c r="AF118" s="84">
        <f t="shared" si="38"/>
        <v>0</v>
      </c>
      <c r="AG118" s="94">
        <f t="shared" si="49"/>
        <v>0</v>
      </c>
      <c r="AH118" s="85">
        <f>IFERROR(VLOOKUP(A118,CUSTOMERS!$A:$E,4),"")</f>
        <v>-150</v>
      </c>
      <c r="AI118" s="86" t="str">
        <f t="shared" si="37"/>
        <v/>
      </c>
      <c r="AJ118" s="87">
        <f>IFERROR(VLOOKUP(A118,CUSTOMERS!$A:$F,5),"")</f>
        <v>0</v>
      </c>
      <c r="AK118" s="96"/>
      <c r="AL118" s="96">
        <v>0</v>
      </c>
      <c r="AM118" s="96">
        <v>0</v>
      </c>
      <c r="AN118" s="96"/>
      <c r="AO118" s="96">
        <v>0</v>
      </c>
      <c r="AP118" s="102">
        <f t="shared" si="45"/>
        <v>0</v>
      </c>
      <c r="AQ118" s="102">
        <f t="shared" si="55"/>
        <v>0</v>
      </c>
      <c r="AR118" s="68" t="str">
        <f>IFERROR(VLOOKUP(A118,CUSTOMERS!$A:$B,2),"")</f>
        <v>PRD</v>
      </c>
      <c r="AS118" s="68" t="str">
        <f>IFERROR(VLOOKUP(A118,CUSTOMERS!$A:$D,3),"")</f>
        <v>BLG</v>
      </c>
      <c r="AT118" s="68" t="str">
        <f>IFERROR(VLOOKUP(A118,CUSTOMERS!$A:$F,6),"")</f>
        <v>N</v>
      </c>
      <c r="AU118" s="69">
        <f>IFERROR(VLOOKUP(A118,CUSTOMERS!$A:$E,4),"")</f>
        <v>-150</v>
      </c>
      <c r="AV118" s="68" t="str">
        <f t="shared" si="51"/>
        <v/>
      </c>
      <c r="AX118" s="71" t="str">
        <f t="shared" si="47"/>
        <v>reason118</v>
      </c>
    </row>
    <row r="119" spans="1:50" ht="40.5" hidden="1" customHeight="1">
      <c r="A119" s="188" t="s">
        <v>27</v>
      </c>
      <c r="B119" s="120" t="str">
        <f t="shared" si="50"/>
        <v>N</v>
      </c>
      <c r="C119" s="120"/>
      <c r="D119" s="121">
        <v>1</v>
      </c>
      <c r="E119" s="121"/>
      <c r="F119" s="122" t="str">
        <f t="shared" si="39"/>
        <v>PRD-BLG-2020-00001</v>
      </c>
      <c r="G119" s="207" t="s">
        <v>339</v>
      </c>
      <c r="H119" s="124" t="s">
        <v>550</v>
      </c>
      <c r="I119" s="239"/>
      <c r="J119" s="80">
        <f t="shared" si="42"/>
        <v>0</v>
      </c>
      <c r="K119" s="177">
        <f t="shared" ref="K119:K182" si="56">MAX(L119:R119)</f>
        <v>44114</v>
      </c>
      <c r="L119" s="141">
        <v>44114</v>
      </c>
      <c r="M119" s="158"/>
      <c r="N119" s="142"/>
      <c r="O119" s="142"/>
      <c r="P119" s="159"/>
      <c r="Q119" s="201" t="s">
        <v>15</v>
      </c>
      <c r="R119" s="200" t="s">
        <v>78</v>
      </c>
      <c r="S119" s="200"/>
      <c r="T119" s="200"/>
      <c r="U119" s="200"/>
      <c r="V119" s="200"/>
      <c r="W119" s="200"/>
      <c r="X119" s="144" t="s">
        <v>551</v>
      </c>
      <c r="Y119" s="173">
        <f t="shared" si="54"/>
        <v>0</v>
      </c>
      <c r="Z119" s="83">
        <f t="shared" si="43"/>
        <v>0</v>
      </c>
      <c r="AA119" s="84">
        <f t="shared" si="52"/>
        <v>0</v>
      </c>
      <c r="AB119" s="84">
        <f t="shared" si="53"/>
        <v>0</v>
      </c>
      <c r="AC119" s="84">
        <f t="shared" si="44"/>
        <v>0</v>
      </c>
      <c r="AD119" s="84"/>
      <c r="AE119" s="84">
        <f t="shared" si="48"/>
        <v>0</v>
      </c>
      <c r="AF119" s="84">
        <f t="shared" si="38"/>
        <v>0</v>
      </c>
      <c r="AG119" s="94">
        <f t="shared" si="49"/>
        <v>0</v>
      </c>
      <c r="AH119" s="85">
        <f>IFERROR(VLOOKUP(A119,CUSTOMERS!$A:$E,4),"")</f>
        <v>-150</v>
      </c>
      <c r="AI119" s="86" t="str">
        <f t="shared" si="37"/>
        <v/>
      </c>
      <c r="AJ119" s="87">
        <f>IFERROR(VLOOKUP(A119,CUSTOMERS!$A:$F,5),"")</f>
        <v>0</v>
      </c>
      <c r="AK119" s="96"/>
      <c r="AL119" s="96">
        <v>0</v>
      </c>
      <c r="AM119" s="96">
        <v>0</v>
      </c>
      <c r="AN119" s="96"/>
      <c r="AO119" s="96">
        <v>0</v>
      </c>
      <c r="AP119" s="102">
        <f t="shared" si="45"/>
        <v>0</v>
      </c>
      <c r="AQ119" s="102">
        <f t="shared" si="55"/>
        <v>0</v>
      </c>
      <c r="AR119" s="68" t="str">
        <f>IFERROR(VLOOKUP(A119,CUSTOMERS!$A:$B,2),"")</f>
        <v>PRD</v>
      </c>
      <c r="AS119" s="68" t="str">
        <f>IFERROR(VLOOKUP(A119,CUSTOMERS!$A:$D,3),"")</f>
        <v>BLG</v>
      </c>
      <c r="AT119" s="68" t="str">
        <f>IFERROR(VLOOKUP(A119,CUSTOMERS!$A:$F,6),"")</f>
        <v>N</v>
      </c>
      <c r="AU119" s="69">
        <f>IFERROR(VLOOKUP(A119,CUSTOMERS!$A:$E,4),"")</f>
        <v>-150</v>
      </c>
      <c r="AV119" s="68" t="str">
        <f t="shared" si="51"/>
        <v/>
      </c>
      <c r="AX119" s="71" t="str">
        <f t="shared" si="47"/>
        <v>reason119</v>
      </c>
    </row>
    <row r="120" spans="1:50" ht="40.5" hidden="1" customHeight="1">
      <c r="A120" s="188" t="s">
        <v>27</v>
      </c>
      <c r="B120" s="120" t="str">
        <f t="shared" si="50"/>
        <v>N</v>
      </c>
      <c r="C120" s="120"/>
      <c r="D120" s="121">
        <v>1</v>
      </c>
      <c r="E120" s="121"/>
      <c r="F120" s="122" t="str">
        <f t="shared" si="39"/>
        <v>PRD-BLG-2021-00001</v>
      </c>
      <c r="G120" s="207" t="s">
        <v>339</v>
      </c>
      <c r="H120" s="124" t="s">
        <v>552</v>
      </c>
      <c r="I120" s="239"/>
      <c r="J120" s="80">
        <f t="shared" si="42"/>
        <v>0</v>
      </c>
      <c r="K120" s="177">
        <f t="shared" si="56"/>
        <v>44201</v>
      </c>
      <c r="L120" s="141">
        <v>44201</v>
      </c>
      <c r="M120" s="152"/>
      <c r="N120" s="147"/>
      <c r="O120" s="147"/>
      <c r="P120" s="153"/>
      <c r="Q120" s="201" t="s">
        <v>16</v>
      </c>
      <c r="R120" s="200" t="s">
        <v>78</v>
      </c>
      <c r="S120" s="200"/>
      <c r="T120" s="200"/>
      <c r="U120" s="200"/>
      <c r="V120" s="200"/>
      <c r="W120" s="200"/>
      <c r="X120" s="144" t="s">
        <v>553</v>
      </c>
      <c r="Y120" s="173">
        <f t="shared" si="54"/>
        <v>0</v>
      </c>
      <c r="Z120" s="83">
        <f t="shared" si="43"/>
        <v>0</v>
      </c>
      <c r="AA120" s="84">
        <f t="shared" si="52"/>
        <v>0</v>
      </c>
      <c r="AB120" s="84">
        <f t="shared" si="53"/>
        <v>0</v>
      </c>
      <c r="AC120" s="84">
        <f t="shared" si="44"/>
        <v>0</v>
      </c>
      <c r="AD120" s="84"/>
      <c r="AE120" s="84">
        <f t="shared" si="48"/>
        <v>0</v>
      </c>
      <c r="AF120" s="84">
        <f t="shared" si="38"/>
        <v>0</v>
      </c>
      <c r="AG120" s="94">
        <f t="shared" si="49"/>
        <v>0</v>
      </c>
      <c r="AH120" s="85">
        <f>IFERROR(VLOOKUP(A120,CUSTOMERS!$A:$E,4),"")</f>
        <v>-150</v>
      </c>
      <c r="AI120" s="86" t="str">
        <f t="shared" ref="AI120:AI183" si="57">AV120</f>
        <v/>
      </c>
      <c r="AJ120" s="87">
        <f>IFERROR(VLOOKUP(A120,CUSTOMERS!$A:$F,5),"")</f>
        <v>0</v>
      </c>
      <c r="AK120" s="96"/>
      <c r="AL120" s="96">
        <v>0</v>
      </c>
      <c r="AM120" s="96">
        <v>0</v>
      </c>
      <c r="AN120" s="96"/>
      <c r="AO120" s="96">
        <v>0</v>
      </c>
      <c r="AP120" s="103">
        <f t="shared" si="45"/>
        <v>0</v>
      </c>
      <c r="AQ120" s="103">
        <f t="shared" si="55"/>
        <v>0</v>
      </c>
      <c r="AR120" s="68" t="str">
        <f>IFERROR(VLOOKUP(A120,CUSTOMERS!$A:$B,2),"")</f>
        <v>PRD</v>
      </c>
      <c r="AS120" s="68" t="str">
        <f>IFERROR(VLOOKUP(A120,CUSTOMERS!$A:$D,3),"")</f>
        <v>BLG</v>
      </c>
      <c r="AT120" s="68" t="str">
        <f>IFERROR(VLOOKUP(A120,CUSTOMERS!$A:$F,6),"")</f>
        <v>N</v>
      </c>
      <c r="AU120" s="69">
        <f>IFERROR(VLOOKUP(A120,CUSTOMERS!$A:$E,4),"")</f>
        <v>-150</v>
      </c>
      <c r="AV120" s="68" t="str">
        <f t="shared" si="51"/>
        <v/>
      </c>
      <c r="AX120" s="71" t="str">
        <f t="shared" si="47"/>
        <v>reason120</v>
      </c>
    </row>
    <row r="121" spans="1:50" ht="40.5" hidden="1" customHeight="1">
      <c r="A121" s="188" t="s">
        <v>27</v>
      </c>
      <c r="B121" s="120" t="str">
        <f t="shared" si="50"/>
        <v>N</v>
      </c>
      <c r="C121" s="120"/>
      <c r="D121" s="121">
        <v>2</v>
      </c>
      <c r="E121" s="121"/>
      <c r="F121" s="122" t="str">
        <f t="shared" si="39"/>
        <v>PRD-BLG-2021-00002</v>
      </c>
      <c r="G121" s="207" t="s">
        <v>339</v>
      </c>
      <c r="H121" s="124" t="s">
        <v>554</v>
      </c>
      <c r="I121" s="239"/>
      <c r="J121" s="80">
        <f t="shared" si="42"/>
        <v>0</v>
      </c>
      <c r="K121" s="177">
        <f t="shared" si="56"/>
        <v>44201</v>
      </c>
      <c r="L121" s="141">
        <v>44201</v>
      </c>
      <c r="M121" s="152"/>
      <c r="N121" s="147"/>
      <c r="O121" s="147"/>
      <c r="P121" s="153"/>
      <c r="Q121" s="201" t="s">
        <v>15</v>
      </c>
      <c r="R121" s="200" t="s">
        <v>78</v>
      </c>
      <c r="S121" s="200"/>
      <c r="T121" s="200"/>
      <c r="U121" s="200"/>
      <c r="V121" s="200"/>
      <c r="W121" s="200"/>
      <c r="X121" s="154" t="s">
        <v>555</v>
      </c>
      <c r="Y121" s="173">
        <f t="shared" si="54"/>
        <v>0</v>
      </c>
      <c r="Z121" s="83">
        <f t="shared" si="43"/>
        <v>0</v>
      </c>
      <c r="AA121" s="84">
        <f t="shared" si="52"/>
        <v>0</v>
      </c>
      <c r="AB121" s="84">
        <f t="shared" si="53"/>
        <v>0</v>
      </c>
      <c r="AC121" s="84">
        <f t="shared" si="44"/>
        <v>0</v>
      </c>
      <c r="AD121" s="84"/>
      <c r="AE121" s="84">
        <f t="shared" si="48"/>
        <v>0</v>
      </c>
      <c r="AF121" s="84">
        <f t="shared" si="38"/>
        <v>0</v>
      </c>
      <c r="AG121" s="94">
        <f t="shared" si="49"/>
        <v>0</v>
      </c>
      <c r="AH121" s="85">
        <f>IFERROR(VLOOKUP(A121,CUSTOMERS!$A:$E,4),"")</f>
        <v>-150</v>
      </c>
      <c r="AI121" s="86" t="str">
        <f t="shared" si="57"/>
        <v/>
      </c>
      <c r="AJ121" s="87">
        <f>IFERROR(VLOOKUP(A121,CUSTOMERS!$A:$F,5),"")</f>
        <v>0</v>
      </c>
      <c r="AK121" s="96"/>
      <c r="AL121" s="96">
        <v>0</v>
      </c>
      <c r="AM121" s="96">
        <v>0</v>
      </c>
      <c r="AN121" s="96"/>
      <c r="AO121" s="96">
        <v>0</v>
      </c>
      <c r="AP121" s="103">
        <f t="shared" si="45"/>
        <v>0</v>
      </c>
      <c r="AQ121" s="103">
        <f t="shared" si="55"/>
        <v>0</v>
      </c>
      <c r="AR121" s="68" t="str">
        <f>IFERROR(VLOOKUP(A121,CUSTOMERS!$A:$B,2),"")</f>
        <v>PRD</v>
      </c>
      <c r="AS121" s="68" t="str">
        <f>IFERROR(VLOOKUP(A121,CUSTOMERS!$A:$D,3),"")</f>
        <v>BLG</v>
      </c>
      <c r="AT121" s="68" t="str">
        <f>IFERROR(VLOOKUP(A121,CUSTOMERS!$A:$F,6),"")</f>
        <v>N</v>
      </c>
      <c r="AU121" s="69">
        <f>IFERROR(VLOOKUP(A121,CUSTOMERS!$A:$E,4),"")</f>
        <v>-150</v>
      </c>
      <c r="AV121" s="68" t="str">
        <f t="shared" si="51"/>
        <v/>
      </c>
      <c r="AX121" s="71" t="str">
        <f t="shared" si="47"/>
        <v>reason121</v>
      </c>
    </row>
    <row r="122" spans="1:50" ht="50.25" hidden="1" customHeight="1">
      <c r="A122" s="188" t="s">
        <v>27</v>
      </c>
      <c r="B122" s="120" t="str">
        <f t="shared" si="50"/>
        <v>N</v>
      </c>
      <c r="C122" s="120"/>
      <c r="D122" s="121">
        <v>3</v>
      </c>
      <c r="E122" s="121"/>
      <c r="F122" s="122" t="str">
        <f t="shared" si="39"/>
        <v>PRD-BLG-2021-00003</v>
      </c>
      <c r="G122" s="207" t="s">
        <v>339</v>
      </c>
      <c r="H122" s="124" t="s">
        <v>556</v>
      </c>
      <c r="I122" s="239"/>
      <c r="J122" s="80">
        <f t="shared" si="42"/>
        <v>0</v>
      </c>
      <c r="K122" s="177">
        <f t="shared" si="56"/>
        <v>44223</v>
      </c>
      <c r="L122" s="155">
        <v>44223</v>
      </c>
      <c r="M122" s="152"/>
      <c r="N122" s="147"/>
      <c r="O122" s="147"/>
      <c r="P122" s="153"/>
      <c r="Q122" s="201" t="s">
        <v>18</v>
      </c>
      <c r="R122" s="200" t="s">
        <v>78</v>
      </c>
      <c r="S122" s="200"/>
      <c r="T122" s="200"/>
      <c r="U122" s="200"/>
      <c r="V122" s="200"/>
      <c r="W122" s="200"/>
      <c r="X122" s="156" t="s">
        <v>557</v>
      </c>
      <c r="Y122" s="173">
        <f t="shared" si="54"/>
        <v>0</v>
      </c>
      <c r="Z122" s="83">
        <f t="shared" si="43"/>
        <v>0</v>
      </c>
      <c r="AA122" s="84">
        <f t="shared" si="52"/>
        <v>0</v>
      </c>
      <c r="AB122" s="84">
        <f t="shared" si="53"/>
        <v>0</v>
      </c>
      <c r="AC122" s="84">
        <f t="shared" si="44"/>
        <v>0</v>
      </c>
      <c r="AD122" s="84"/>
      <c r="AE122" s="84">
        <f t="shared" si="48"/>
        <v>0</v>
      </c>
      <c r="AF122" s="84">
        <f t="shared" si="38"/>
        <v>0</v>
      </c>
      <c r="AG122" s="94">
        <f t="shared" si="49"/>
        <v>0</v>
      </c>
      <c r="AH122" s="85">
        <f>IFERROR(VLOOKUP(A122,CUSTOMERS!$A:$E,4),"")</f>
        <v>-150</v>
      </c>
      <c r="AI122" s="86" t="str">
        <f t="shared" si="57"/>
        <v/>
      </c>
      <c r="AJ122" s="87">
        <f>IFERROR(VLOOKUP(A122,CUSTOMERS!$A:$F,5),"")</f>
        <v>0</v>
      </c>
      <c r="AK122" s="96"/>
      <c r="AL122" s="96">
        <v>0</v>
      </c>
      <c r="AM122" s="96">
        <v>0</v>
      </c>
      <c r="AN122" s="96"/>
      <c r="AO122" s="96">
        <v>0</v>
      </c>
      <c r="AP122" s="103">
        <f t="shared" si="45"/>
        <v>0</v>
      </c>
      <c r="AQ122" s="103">
        <f t="shared" si="55"/>
        <v>0</v>
      </c>
      <c r="AR122" s="68" t="str">
        <f>IFERROR(VLOOKUP(A122,CUSTOMERS!$A:$B,2),"")</f>
        <v>PRD</v>
      </c>
      <c r="AS122" s="68" t="str">
        <f>IFERROR(VLOOKUP(A122,CUSTOMERS!$A:$D,3),"")</f>
        <v>BLG</v>
      </c>
      <c r="AT122" s="68" t="str">
        <f>IFERROR(VLOOKUP(A122,CUSTOMERS!$A:$F,6),"")</f>
        <v>N</v>
      </c>
      <c r="AU122" s="69">
        <f>IFERROR(VLOOKUP(A122,CUSTOMERS!$A:$E,4),"")</f>
        <v>-150</v>
      </c>
      <c r="AV122" s="68" t="str">
        <f t="shared" si="51"/>
        <v/>
      </c>
      <c r="AX122" s="71" t="str">
        <f t="shared" si="47"/>
        <v>reason122</v>
      </c>
    </row>
    <row r="123" spans="1:50" ht="81" customHeight="1">
      <c r="A123" s="188" t="s">
        <v>27</v>
      </c>
      <c r="B123" s="120" t="str">
        <f t="shared" si="50"/>
        <v>N</v>
      </c>
      <c r="C123" s="120"/>
      <c r="D123" s="121">
        <v>4</v>
      </c>
      <c r="E123" s="121"/>
      <c r="F123" s="122" t="str">
        <f t="shared" si="39"/>
        <v>PRD-BLG-2021-00004</v>
      </c>
      <c r="G123" s="207" t="s">
        <v>291</v>
      </c>
      <c r="H123" s="124" t="s">
        <v>558</v>
      </c>
      <c r="I123" s="239"/>
      <c r="J123" s="80">
        <f t="shared" si="42"/>
        <v>0</v>
      </c>
      <c r="K123" s="177">
        <f t="shared" si="56"/>
        <v>44223</v>
      </c>
      <c r="L123" s="155">
        <v>44223</v>
      </c>
      <c r="M123" s="152"/>
      <c r="N123" s="147"/>
      <c r="O123" s="147"/>
      <c r="P123" s="153"/>
      <c r="Q123" s="201" t="s">
        <v>18</v>
      </c>
      <c r="R123" s="200" t="s">
        <v>78</v>
      </c>
      <c r="S123" s="200"/>
      <c r="T123" s="200"/>
      <c r="U123" s="200"/>
      <c r="V123" s="200"/>
      <c r="W123" s="200"/>
      <c r="X123" s="156" t="s">
        <v>557</v>
      </c>
      <c r="Y123" s="173">
        <f t="shared" si="54"/>
        <v>0</v>
      </c>
      <c r="Z123" s="83">
        <f t="shared" si="43"/>
        <v>0</v>
      </c>
      <c r="AA123" s="84">
        <f t="shared" si="52"/>
        <v>0</v>
      </c>
      <c r="AB123" s="84">
        <f t="shared" si="53"/>
        <v>0</v>
      </c>
      <c r="AC123" s="84">
        <f t="shared" si="44"/>
        <v>0</v>
      </c>
      <c r="AD123" s="84"/>
      <c r="AE123" s="84">
        <f t="shared" si="48"/>
        <v>0</v>
      </c>
      <c r="AF123" s="84">
        <f t="shared" si="38"/>
        <v>0</v>
      </c>
      <c r="AG123" s="94">
        <f t="shared" si="49"/>
        <v>0</v>
      </c>
      <c r="AH123" s="85">
        <f>IFERROR(VLOOKUP(A123,CUSTOMERS!$A:$E,4),"")</f>
        <v>-150</v>
      </c>
      <c r="AI123" s="86" t="str">
        <f t="shared" si="57"/>
        <v/>
      </c>
      <c r="AJ123" s="87">
        <f>IFERROR(VLOOKUP(A123,CUSTOMERS!$A:$F,5),"")</f>
        <v>0</v>
      </c>
      <c r="AK123" s="96"/>
      <c r="AL123" s="96">
        <v>0</v>
      </c>
      <c r="AM123" s="96">
        <v>0</v>
      </c>
      <c r="AN123" s="96"/>
      <c r="AO123" s="96">
        <v>0</v>
      </c>
      <c r="AP123" s="103">
        <f t="shared" si="45"/>
        <v>0</v>
      </c>
      <c r="AQ123" s="103">
        <f t="shared" si="55"/>
        <v>0</v>
      </c>
      <c r="AR123" s="68" t="str">
        <f>IFERROR(VLOOKUP(A123,CUSTOMERS!$A:$B,2),"")</f>
        <v>PRD</v>
      </c>
      <c r="AS123" s="68" t="str">
        <f>IFERROR(VLOOKUP(A123,CUSTOMERS!$A:$D,3),"")</f>
        <v>BLG</v>
      </c>
      <c r="AT123" s="68" t="str">
        <f>IFERROR(VLOOKUP(A123,CUSTOMERS!$A:$F,6),"")</f>
        <v>N</v>
      </c>
      <c r="AU123" s="69">
        <f>IFERROR(VLOOKUP(A123,CUSTOMERS!$A:$E,4),"")</f>
        <v>-150</v>
      </c>
      <c r="AV123" s="68" t="str">
        <f t="shared" si="51"/>
        <v/>
      </c>
      <c r="AX123" s="71" t="str">
        <f t="shared" si="47"/>
        <v>reason123</v>
      </c>
    </row>
    <row r="124" spans="1:50">
      <c r="A124" s="188" t="s">
        <v>27</v>
      </c>
      <c r="B124" s="120" t="str">
        <f t="shared" si="50"/>
        <v>N</v>
      </c>
      <c r="C124" s="120"/>
      <c r="D124" s="121">
        <v>5</v>
      </c>
      <c r="E124" s="121"/>
      <c r="F124" s="122" t="str">
        <f t="shared" si="39"/>
        <v>PRD-BLG-2021-00005</v>
      </c>
      <c r="G124" s="123" t="s">
        <v>291</v>
      </c>
      <c r="H124" s="124" t="s">
        <v>559</v>
      </c>
      <c r="I124" s="239"/>
      <c r="J124" s="80">
        <f t="shared" si="42"/>
        <v>0</v>
      </c>
      <c r="K124" s="177">
        <f t="shared" si="56"/>
        <v>44223</v>
      </c>
      <c r="L124" s="155">
        <v>44223</v>
      </c>
      <c r="M124" s="152"/>
      <c r="N124" s="147"/>
      <c r="O124" s="147"/>
      <c r="P124" s="153"/>
      <c r="Q124" s="201" t="s">
        <v>18</v>
      </c>
      <c r="R124" s="200" t="s">
        <v>78</v>
      </c>
      <c r="S124" s="200"/>
      <c r="T124" s="200"/>
      <c r="U124" s="200"/>
      <c r="V124" s="200"/>
      <c r="W124" s="200"/>
      <c r="X124" s="156" t="s">
        <v>557</v>
      </c>
      <c r="Y124" s="173">
        <f t="shared" si="54"/>
        <v>0</v>
      </c>
      <c r="Z124" s="83">
        <f t="shared" si="43"/>
        <v>0</v>
      </c>
      <c r="AA124" s="84">
        <f t="shared" si="52"/>
        <v>0</v>
      </c>
      <c r="AB124" s="84">
        <f t="shared" si="53"/>
        <v>0</v>
      </c>
      <c r="AC124" s="84">
        <f t="shared" si="44"/>
        <v>0</v>
      </c>
      <c r="AD124" s="84"/>
      <c r="AE124" s="84">
        <f t="shared" si="48"/>
        <v>0</v>
      </c>
      <c r="AF124" s="84">
        <f t="shared" si="38"/>
        <v>0</v>
      </c>
      <c r="AG124" s="94">
        <f t="shared" si="49"/>
        <v>0</v>
      </c>
      <c r="AH124" s="85">
        <f>IFERROR(VLOOKUP(A124,CUSTOMERS!$A:$E,4),"")</f>
        <v>-150</v>
      </c>
      <c r="AI124" s="86" t="str">
        <f t="shared" si="57"/>
        <v/>
      </c>
      <c r="AJ124" s="87">
        <f>IFERROR(VLOOKUP(A124,CUSTOMERS!$A:$F,5),"")</f>
        <v>0</v>
      </c>
      <c r="AK124" s="96"/>
      <c r="AL124" s="96">
        <v>0</v>
      </c>
      <c r="AM124" s="96">
        <v>0</v>
      </c>
      <c r="AN124" s="96"/>
      <c r="AO124" s="96">
        <v>0</v>
      </c>
      <c r="AP124" s="103">
        <f t="shared" si="45"/>
        <v>0</v>
      </c>
      <c r="AQ124" s="103">
        <f t="shared" si="55"/>
        <v>0</v>
      </c>
      <c r="AR124" s="68" t="str">
        <f>IFERROR(VLOOKUP(A124,CUSTOMERS!$A:$B,2),"")</f>
        <v>PRD</v>
      </c>
      <c r="AS124" s="68" t="str">
        <f>IFERROR(VLOOKUP(A124,CUSTOMERS!$A:$D,3),"")</f>
        <v>BLG</v>
      </c>
      <c r="AT124" s="68" t="str">
        <f>IFERROR(VLOOKUP(A124,CUSTOMERS!$A:$F,6),"")</f>
        <v>N</v>
      </c>
      <c r="AU124" s="69">
        <f>IFERROR(VLOOKUP(A124,CUSTOMERS!$A:$E,4),"")</f>
        <v>-150</v>
      </c>
      <c r="AV124" s="68" t="str">
        <f t="shared" si="51"/>
        <v/>
      </c>
      <c r="AX124" s="71" t="str">
        <f t="shared" si="47"/>
        <v>reason124</v>
      </c>
    </row>
    <row r="125" spans="1:50" ht="46.5" customHeight="1">
      <c r="A125" s="188" t="s">
        <v>27</v>
      </c>
      <c r="B125" s="120" t="str">
        <f t="shared" si="50"/>
        <v>N</v>
      </c>
      <c r="C125" s="120"/>
      <c r="D125" s="121">
        <v>6</v>
      </c>
      <c r="E125" s="121"/>
      <c r="F125" s="122" t="str">
        <f t="shared" si="39"/>
        <v>PRD-BLG-2021-00006</v>
      </c>
      <c r="G125" s="123" t="s">
        <v>291</v>
      </c>
      <c r="H125" s="124" t="s">
        <v>560</v>
      </c>
      <c r="I125" s="239"/>
      <c r="J125" s="80">
        <f t="shared" si="42"/>
        <v>0</v>
      </c>
      <c r="K125" s="177">
        <f t="shared" si="56"/>
        <v>44223</v>
      </c>
      <c r="L125" s="155">
        <v>44223</v>
      </c>
      <c r="M125" s="152"/>
      <c r="N125" s="147"/>
      <c r="O125" s="147"/>
      <c r="P125" s="153"/>
      <c r="Q125" s="201" t="s">
        <v>18</v>
      </c>
      <c r="R125" s="200" t="s">
        <v>78</v>
      </c>
      <c r="S125" s="200"/>
      <c r="T125" s="200"/>
      <c r="U125" s="200"/>
      <c r="V125" s="200"/>
      <c r="W125" s="200"/>
      <c r="X125" s="156" t="s">
        <v>557</v>
      </c>
      <c r="Y125" s="173">
        <f t="shared" si="54"/>
        <v>0</v>
      </c>
      <c r="Z125" s="83">
        <f t="shared" si="43"/>
        <v>0</v>
      </c>
      <c r="AA125" s="84">
        <f t="shared" si="52"/>
        <v>0</v>
      </c>
      <c r="AB125" s="84">
        <f t="shared" si="53"/>
        <v>0</v>
      </c>
      <c r="AC125" s="84">
        <f t="shared" si="44"/>
        <v>0</v>
      </c>
      <c r="AD125" s="84"/>
      <c r="AE125" s="84">
        <f t="shared" si="48"/>
        <v>0</v>
      </c>
      <c r="AF125" s="84">
        <f t="shared" si="38"/>
        <v>0</v>
      </c>
      <c r="AG125" s="94">
        <f t="shared" si="49"/>
        <v>0</v>
      </c>
      <c r="AH125" s="85">
        <f>IFERROR(VLOOKUP(A125,CUSTOMERS!$A:$E,4),"")</f>
        <v>-150</v>
      </c>
      <c r="AI125" s="86" t="str">
        <f t="shared" si="57"/>
        <v/>
      </c>
      <c r="AJ125" s="87">
        <f>IFERROR(VLOOKUP(A125,CUSTOMERS!$A:$F,5),"")</f>
        <v>0</v>
      </c>
      <c r="AK125" s="96"/>
      <c r="AL125" s="96">
        <v>0</v>
      </c>
      <c r="AM125" s="96">
        <v>0</v>
      </c>
      <c r="AN125" s="96"/>
      <c r="AO125" s="96">
        <v>0</v>
      </c>
      <c r="AP125" s="103">
        <f t="shared" si="45"/>
        <v>0</v>
      </c>
      <c r="AQ125" s="103">
        <f t="shared" si="55"/>
        <v>0</v>
      </c>
      <c r="AR125" s="68" t="str">
        <f>IFERROR(VLOOKUP(A125,CUSTOMERS!$A:$B,2),"")</f>
        <v>PRD</v>
      </c>
      <c r="AS125" s="68" t="str">
        <f>IFERROR(VLOOKUP(A125,CUSTOMERS!$A:$D,3),"")</f>
        <v>BLG</v>
      </c>
      <c r="AT125" s="68" t="str">
        <f>IFERROR(VLOOKUP(A125,CUSTOMERS!$A:$F,6),"")</f>
        <v>N</v>
      </c>
      <c r="AU125" s="69">
        <f>IFERROR(VLOOKUP(A125,CUSTOMERS!$A:$E,4),"")</f>
        <v>-150</v>
      </c>
      <c r="AV125" s="68" t="str">
        <f t="shared" si="51"/>
        <v/>
      </c>
      <c r="AX125" s="71" t="str">
        <f t="shared" si="47"/>
        <v>reason125</v>
      </c>
    </row>
    <row r="126" spans="1:50" ht="46.5" hidden="1" customHeight="1">
      <c r="A126" s="188" t="s">
        <v>27</v>
      </c>
      <c r="B126" s="120" t="str">
        <f t="shared" si="50"/>
        <v>N</v>
      </c>
      <c r="C126" s="120"/>
      <c r="D126" s="121">
        <v>2</v>
      </c>
      <c r="E126" s="121"/>
      <c r="F126" s="122" t="str">
        <f t="shared" si="39"/>
        <v>PRD-BLG-2020-00002</v>
      </c>
      <c r="G126" s="207" t="s">
        <v>339</v>
      </c>
      <c r="H126" s="124" t="s">
        <v>561</v>
      </c>
      <c r="I126" s="239"/>
      <c r="J126" s="80">
        <f t="shared" si="42"/>
        <v>0</v>
      </c>
      <c r="K126" s="177">
        <f t="shared" si="56"/>
        <v>44105</v>
      </c>
      <c r="L126" s="155">
        <v>44105</v>
      </c>
      <c r="M126" s="152"/>
      <c r="N126" s="147"/>
      <c r="O126" s="147"/>
      <c r="P126" s="153"/>
      <c r="Q126" s="201" t="s">
        <v>12</v>
      </c>
      <c r="R126" s="200" t="s">
        <v>78</v>
      </c>
      <c r="S126" s="200"/>
      <c r="T126" s="200"/>
      <c r="U126" s="200"/>
      <c r="V126" s="200"/>
      <c r="W126" s="200"/>
      <c r="X126" s="154" t="s">
        <v>562</v>
      </c>
      <c r="Y126" s="173">
        <f t="shared" si="54"/>
        <v>0</v>
      </c>
      <c r="Z126" s="83">
        <f t="shared" si="43"/>
        <v>0</v>
      </c>
      <c r="AA126" s="84">
        <f t="shared" si="52"/>
        <v>0</v>
      </c>
      <c r="AB126" s="84">
        <f t="shared" si="53"/>
        <v>0</v>
      </c>
      <c r="AC126" s="84">
        <f t="shared" si="44"/>
        <v>0</v>
      </c>
      <c r="AD126" s="84"/>
      <c r="AE126" s="84">
        <f t="shared" si="48"/>
        <v>0</v>
      </c>
      <c r="AF126" s="84">
        <f t="shared" si="38"/>
        <v>0</v>
      </c>
      <c r="AG126" s="94">
        <f t="shared" si="49"/>
        <v>0</v>
      </c>
      <c r="AH126" s="85">
        <f>IFERROR(VLOOKUP(A126,CUSTOMERS!$A:$E,4),"")</f>
        <v>-150</v>
      </c>
      <c r="AI126" s="86" t="str">
        <f t="shared" si="57"/>
        <v/>
      </c>
      <c r="AJ126" s="87">
        <f>IFERROR(VLOOKUP(A126,CUSTOMERS!$A:$F,5),"")</f>
        <v>0</v>
      </c>
      <c r="AK126" s="96"/>
      <c r="AL126" s="96">
        <v>0</v>
      </c>
      <c r="AM126" s="96">
        <v>0</v>
      </c>
      <c r="AN126" s="96"/>
      <c r="AO126" s="96">
        <v>0</v>
      </c>
      <c r="AP126" s="103">
        <f t="shared" si="45"/>
        <v>0</v>
      </c>
      <c r="AQ126" s="103">
        <f t="shared" si="55"/>
        <v>0</v>
      </c>
      <c r="AR126" s="68" t="str">
        <f>IFERROR(VLOOKUP(A126,CUSTOMERS!$A:$B,2),"")</f>
        <v>PRD</v>
      </c>
      <c r="AS126" s="68" t="str">
        <f>IFERROR(VLOOKUP(A126,CUSTOMERS!$A:$D,3),"")</f>
        <v>BLG</v>
      </c>
      <c r="AT126" s="68" t="str">
        <f>IFERROR(VLOOKUP(A126,CUSTOMERS!$A:$F,6),"")</f>
        <v>N</v>
      </c>
      <c r="AU126" s="69">
        <f>IFERROR(VLOOKUP(A126,CUSTOMERS!$A:$E,4),"")</f>
        <v>-150</v>
      </c>
      <c r="AV126" s="68" t="str">
        <f t="shared" si="51"/>
        <v/>
      </c>
      <c r="AX126" s="71" t="str">
        <f t="shared" si="47"/>
        <v>reason126</v>
      </c>
    </row>
    <row r="127" spans="1:50" ht="46.5" customHeight="1">
      <c r="A127" s="188" t="s">
        <v>27</v>
      </c>
      <c r="B127" s="120" t="str">
        <f t="shared" si="50"/>
        <v>N</v>
      </c>
      <c r="C127" s="120"/>
      <c r="D127" s="121">
        <v>3</v>
      </c>
      <c r="E127" s="121"/>
      <c r="F127" s="122" t="str">
        <f t="shared" si="39"/>
        <v>PRD-BLG-2020-00003</v>
      </c>
      <c r="G127" s="123" t="s">
        <v>291</v>
      </c>
      <c r="H127" s="124" t="s">
        <v>563</v>
      </c>
      <c r="I127" s="239"/>
      <c r="J127" s="80">
        <f t="shared" si="42"/>
        <v>0</v>
      </c>
      <c r="K127" s="177">
        <f t="shared" si="56"/>
        <v>44105</v>
      </c>
      <c r="L127" s="155">
        <v>44105</v>
      </c>
      <c r="M127" s="152"/>
      <c r="N127" s="147"/>
      <c r="O127" s="147"/>
      <c r="P127" s="153"/>
      <c r="Q127" s="201" t="s">
        <v>12</v>
      </c>
      <c r="R127" s="200" t="s">
        <v>78</v>
      </c>
      <c r="S127" s="200"/>
      <c r="T127" s="200"/>
      <c r="U127" s="200"/>
      <c r="V127" s="200"/>
      <c r="W127" s="200"/>
      <c r="X127" s="154" t="s">
        <v>564</v>
      </c>
      <c r="Y127" s="173">
        <f t="shared" si="54"/>
        <v>0</v>
      </c>
      <c r="Z127" s="83">
        <f t="shared" si="43"/>
        <v>0</v>
      </c>
      <c r="AA127" s="84">
        <f t="shared" si="52"/>
        <v>0</v>
      </c>
      <c r="AB127" s="84">
        <f t="shared" si="53"/>
        <v>0</v>
      </c>
      <c r="AC127" s="84">
        <f t="shared" si="44"/>
        <v>0</v>
      </c>
      <c r="AD127" s="84"/>
      <c r="AE127" s="84">
        <f t="shared" si="48"/>
        <v>0</v>
      </c>
      <c r="AF127" s="84">
        <f t="shared" si="38"/>
        <v>0</v>
      </c>
      <c r="AG127" s="94">
        <f t="shared" si="49"/>
        <v>0</v>
      </c>
      <c r="AH127" s="85">
        <f>IFERROR(VLOOKUP(A127,CUSTOMERS!$A:$E,4),"")</f>
        <v>-150</v>
      </c>
      <c r="AI127" s="86" t="str">
        <f t="shared" si="57"/>
        <v/>
      </c>
      <c r="AJ127" s="87">
        <f>IFERROR(VLOOKUP(A127,CUSTOMERS!$A:$F,5),"")</f>
        <v>0</v>
      </c>
      <c r="AK127" s="96"/>
      <c r="AL127" s="96">
        <v>0</v>
      </c>
      <c r="AM127" s="96">
        <v>0</v>
      </c>
      <c r="AN127" s="96"/>
      <c r="AO127" s="96">
        <v>0</v>
      </c>
      <c r="AP127" s="103">
        <f t="shared" si="45"/>
        <v>0</v>
      </c>
      <c r="AQ127" s="103">
        <f t="shared" si="55"/>
        <v>0</v>
      </c>
      <c r="AR127" s="68" t="str">
        <f>IFERROR(VLOOKUP(A127,CUSTOMERS!$A:$B,2),"")</f>
        <v>PRD</v>
      </c>
      <c r="AS127" s="68" t="str">
        <f>IFERROR(VLOOKUP(A127,CUSTOMERS!$A:$D,3),"")</f>
        <v>BLG</v>
      </c>
      <c r="AT127" s="68" t="str">
        <f>IFERROR(VLOOKUP(A127,CUSTOMERS!$A:$F,6),"")</f>
        <v>N</v>
      </c>
      <c r="AU127" s="69">
        <f>IFERROR(VLOOKUP(A127,CUSTOMERS!$A:$E,4),"")</f>
        <v>-150</v>
      </c>
      <c r="AV127" s="68" t="str">
        <f t="shared" si="51"/>
        <v/>
      </c>
      <c r="AX127" s="71" t="str">
        <f t="shared" si="47"/>
        <v>reason127</v>
      </c>
    </row>
    <row r="128" spans="1:50" ht="46.5" customHeight="1">
      <c r="A128" s="188" t="s">
        <v>27</v>
      </c>
      <c r="B128" s="120" t="str">
        <f t="shared" si="50"/>
        <v>N</v>
      </c>
      <c r="C128" s="120"/>
      <c r="D128" s="121">
        <v>4</v>
      </c>
      <c r="E128" s="121"/>
      <c r="F128" s="122" t="str">
        <f t="shared" si="39"/>
        <v>PRD-BLG-2020-00004</v>
      </c>
      <c r="G128" s="123" t="s">
        <v>291</v>
      </c>
      <c r="H128" s="124" t="s">
        <v>565</v>
      </c>
      <c r="I128" s="239"/>
      <c r="J128" s="80">
        <f t="shared" si="42"/>
        <v>0</v>
      </c>
      <c r="K128" s="177">
        <f t="shared" si="56"/>
        <v>44105</v>
      </c>
      <c r="L128" s="155">
        <v>44105</v>
      </c>
      <c r="M128" s="152"/>
      <c r="N128" s="147"/>
      <c r="O128" s="147"/>
      <c r="P128" s="153"/>
      <c r="Q128" s="201" t="s">
        <v>12</v>
      </c>
      <c r="R128" s="200" t="s">
        <v>78</v>
      </c>
      <c r="S128" s="200"/>
      <c r="T128" s="200"/>
      <c r="U128" s="200"/>
      <c r="V128" s="200"/>
      <c r="W128" s="200"/>
      <c r="X128" s="154" t="s">
        <v>566</v>
      </c>
      <c r="Y128" s="173">
        <f t="shared" si="54"/>
        <v>0</v>
      </c>
      <c r="Z128" s="83">
        <f t="shared" si="43"/>
        <v>0</v>
      </c>
      <c r="AA128" s="84">
        <f t="shared" si="52"/>
        <v>0</v>
      </c>
      <c r="AB128" s="84">
        <f t="shared" si="53"/>
        <v>0</v>
      </c>
      <c r="AC128" s="84">
        <f t="shared" si="44"/>
        <v>0</v>
      </c>
      <c r="AD128" s="84"/>
      <c r="AE128" s="84">
        <f t="shared" si="48"/>
        <v>0</v>
      </c>
      <c r="AF128" s="84">
        <f t="shared" si="38"/>
        <v>0</v>
      </c>
      <c r="AG128" s="94">
        <f t="shared" si="49"/>
        <v>0</v>
      </c>
      <c r="AH128" s="85">
        <f>IFERROR(VLOOKUP(A128,CUSTOMERS!$A:$E,4),"")</f>
        <v>-150</v>
      </c>
      <c r="AI128" s="86" t="str">
        <f t="shared" si="57"/>
        <v/>
      </c>
      <c r="AJ128" s="87">
        <f>IFERROR(VLOOKUP(A128,CUSTOMERS!$A:$F,5),"")</f>
        <v>0</v>
      </c>
      <c r="AK128" s="96"/>
      <c r="AL128" s="96">
        <v>0</v>
      </c>
      <c r="AM128" s="96">
        <v>0</v>
      </c>
      <c r="AN128" s="96"/>
      <c r="AO128" s="96">
        <v>0</v>
      </c>
      <c r="AP128" s="103">
        <f t="shared" si="45"/>
        <v>0</v>
      </c>
      <c r="AQ128" s="103">
        <f t="shared" si="55"/>
        <v>0</v>
      </c>
      <c r="AR128" s="68" t="str">
        <f>IFERROR(VLOOKUP(A128,CUSTOMERS!$A:$B,2),"")</f>
        <v>PRD</v>
      </c>
      <c r="AS128" s="68" t="str">
        <f>IFERROR(VLOOKUP(A128,CUSTOMERS!$A:$D,3),"")</f>
        <v>BLG</v>
      </c>
      <c r="AT128" s="68" t="str">
        <f>IFERROR(VLOOKUP(A128,CUSTOMERS!$A:$F,6),"")</f>
        <v>N</v>
      </c>
      <c r="AU128" s="69">
        <f>IFERROR(VLOOKUP(A128,CUSTOMERS!$A:$E,4),"")</f>
        <v>-150</v>
      </c>
      <c r="AV128" s="68" t="str">
        <f t="shared" si="51"/>
        <v/>
      </c>
      <c r="AX128" s="71" t="str">
        <f t="shared" si="47"/>
        <v>reason128</v>
      </c>
    </row>
    <row r="129" spans="1:50" ht="45" customHeight="1">
      <c r="A129" s="188" t="s">
        <v>27</v>
      </c>
      <c r="B129" s="120" t="str">
        <f t="shared" si="50"/>
        <v>N</v>
      </c>
      <c r="C129" s="120"/>
      <c r="D129" s="121">
        <v>5</v>
      </c>
      <c r="E129" s="121"/>
      <c r="F129" s="122" t="str">
        <f t="shared" si="39"/>
        <v>PRD-BLG-2020-00005</v>
      </c>
      <c r="G129" s="123" t="s">
        <v>291</v>
      </c>
      <c r="H129" s="124" t="s">
        <v>567</v>
      </c>
      <c r="I129" s="239"/>
      <c r="J129" s="220">
        <f t="shared" si="42"/>
        <v>0</v>
      </c>
      <c r="K129" s="177">
        <f t="shared" si="56"/>
        <v>44105</v>
      </c>
      <c r="L129" s="155">
        <v>44105</v>
      </c>
      <c r="M129" s="152"/>
      <c r="N129" s="147"/>
      <c r="O129" s="147"/>
      <c r="P129" s="153"/>
      <c r="Q129" s="221" t="s">
        <v>12</v>
      </c>
      <c r="R129" s="200" t="s">
        <v>78</v>
      </c>
      <c r="S129" s="200"/>
      <c r="T129" s="200"/>
      <c r="U129" s="200"/>
      <c r="V129" s="200"/>
      <c r="W129" s="200"/>
      <c r="X129" s="154" t="s">
        <v>568</v>
      </c>
      <c r="Y129" s="173">
        <f t="shared" si="54"/>
        <v>0</v>
      </c>
      <c r="Z129" s="83">
        <f t="shared" si="43"/>
        <v>0</v>
      </c>
      <c r="AA129" s="84">
        <f t="shared" si="52"/>
        <v>0</v>
      </c>
      <c r="AB129" s="84">
        <f t="shared" si="53"/>
        <v>0</v>
      </c>
      <c r="AC129" s="84">
        <f t="shared" si="44"/>
        <v>0</v>
      </c>
      <c r="AD129" s="84"/>
      <c r="AE129" s="84">
        <f t="shared" si="48"/>
        <v>0</v>
      </c>
      <c r="AF129" s="84">
        <f t="shared" si="38"/>
        <v>0</v>
      </c>
      <c r="AG129" s="94">
        <f t="shared" si="49"/>
        <v>0</v>
      </c>
      <c r="AH129" s="85">
        <f>IFERROR(VLOOKUP(A129,CUSTOMERS!$A:$E,4),"")</f>
        <v>-150</v>
      </c>
      <c r="AI129" s="86" t="str">
        <f t="shared" si="57"/>
        <v/>
      </c>
      <c r="AJ129" s="87">
        <f>IFERROR(VLOOKUP(A129,CUSTOMERS!$A:$F,5),"")</f>
        <v>0</v>
      </c>
      <c r="AK129" s="96"/>
      <c r="AL129" s="96">
        <v>0</v>
      </c>
      <c r="AM129" s="96">
        <v>0</v>
      </c>
      <c r="AN129" s="96"/>
      <c r="AO129" s="96">
        <v>0</v>
      </c>
      <c r="AP129" s="103">
        <f t="shared" si="45"/>
        <v>0</v>
      </c>
      <c r="AQ129" s="103">
        <f t="shared" si="55"/>
        <v>0</v>
      </c>
      <c r="AR129" s="68" t="str">
        <f>IFERROR(VLOOKUP(A129,CUSTOMERS!$A:$B,2),"")</f>
        <v>PRD</v>
      </c>
      <c r="AS129" s="68" t="str">
        <f>IFERROR(VLOOKUP(A129,CUSTOMERS!$A:$D,3),"")</f>
        <v>BLG</v>
      </c>
      <c r="AT129" s="68" t="str">
        <f>IFERROR(VLOOKUP(A129,CUSTOMERS!$A:$F,6),"")</f>
        <v>N</v>
      </c>
      <c r="AU129" s="69">
        <f>IFERROR(VLOOKUP(A129,CUSTOMERS!$A:$E,4),"")</f>
        <v>-150</v>
      </c>
      <c r="AV129" s="68" t="str">
        <f t="shared" si="51"/>
        <v/>
      </c>
      <c r="AX129" s="71" t="str">
        <f t="shared" si="47"/>
        <v>reason129</v>
      </c>
    </row>
    <row r="130" spans="1:50" ht="45" customHeight="1">
      <c r="A130" s="188" t="s">
        <v>50</v>
      </c>
      <c r="B130" s="120" t="str">
        <f t="shared" si="50"/>
        <v>N</v>
      </c>
      <c r="C130" s="120"/>
      <c r="D130" s="121">
        <v>6</v>
      </c>
      <c r="E130" s="121"/>
      <c r="F130" s="122" t="str">
        <f t="shared" si="39"/>
        <v>PRD-REQ-2020-00006</v>
      </c>
      <c r="G130" s="123" t="s">
        <v>29</v>
      </c>
      <c r="H130" s="216" t="s">
        <v>77</v>
      </c>
      <c r="I130" s="240"/>
      <c r="J130" s="227">
        <f t="shared" si="42"/>
        <v>0</v>
      </c>
      <c r="K130" s="218">
        <f t="shared" si="56"/>
        <v>44105</v>
      </c>
      <c r="L130" s="155">
        <v>44105</v>
      </c>
      <c r="M130" s="152"/>
      <c r="N130" s="147"/>
      <c r="O130" s="147"/>
      <c r="P130" s="217"/>
      <c r="Q130" s="213" t="s">
        <v>12</v>
      </c>
      <c r="R130" s="229" t="s">
        <v>78</v>
      </c>
      <c r="S130" s="200" t="s">
        <v>311</v>
      </c>
      <c r="T130" s="200"/>
      <c r="U130" s="200"/>
      <c r="V130" s="200"/>
      <c r="W130" s="200"/>
      <c r="X130" s="154" t="s">
        <v>569</v>
      </c>
      <c r="Y130" s="173">
        <f t="shared" si="54"/>
        <v>0</v>
      </c>
      <c r="Z130" s="83">
        <f t="shared" si="43"/>
        <v>0</v>
      </c>
      <c r="AA130" s="84">
        <f t="shared" si="52"/>
        <v>0</v>
      </c>
      <c r="AB130" s="84">
        <f t="shared" si="53"/>
        <v>0</v>
      </c>
      <c r="AC130" s="84">
        <f t="shared" si="44"/>
        <v>0</v>
      </c>
      <c r="AD130" s="84"/>
      <c r="AE130" s="84">
        <f t="shared" si="48"/>
        <v>0</v>
      </c>
      <c r="AF130" s="84">
        <f t="shared" si="38"/>
        <v>0</v>
      </c>
      <c r="AG130" s="94">
        <f t="shared" si="49"/>
        <v>0</v>
      </c>
      <c r="AH130" s="85">
        <f>IFERROR(VLOOKUP(A130,CUSTOMERS!$A:$E,4),"")</f>
        <v>-150</v>
      </c>
      <c r="AI130" s="86" t="str">
        <f t="shared" si="57"/>
        <v/>
      </c>
      <c r="AJ130" s="87">
        <f>IFERROR(VLOOKUP(A130,CUSTOMERS!$A:$F,5),"")</f>
        <v>0</v>
      </c>
      <c r="AK130" s="96"/>
      <c r="AL130" s="96">
        <v>0</v>
      </c>
      <c r="AM130" s="96">
        <v>0</v>
      </c>
      <c r="AN130" s="96"/>
      <c r="AO130" s="96">
        <v>0</v>
      </c>
      <c r="AP130" s="103">
        <f t="shared" si="45"/>
        <v>0</v>
      </c>
      <c r="AQ130" s="103">
        <f t="shared" si="55"/>
        <v>0</v>
      </c>
      <c r="AR130" s="68" t="str">
        <f>IFERROR(VLOOKUP(A130,CUSTOMERS!$A:$B,2),"")</f>
        <v>PRD</v>
      </c>
      <c r="AS130" s="68" t="str">
        <f>IFERROR(VLOOKUP(A130,CUSTOMERS!$A:$D,3),"")</f>
        <v>REQ</v>
      </c>
      <c r="AT130" s="68" t="str">
        <f>IFERROR(VLOOKUP(A130,CUSTOMERS!$A:$F,6),"")</f>
        <v>N</v>
      </c>
      <c r="AU130" s="69">
        <f>IFERROR(VLOOKUP(A130,CUSTOMERS!$A:$E,4),"")</f>
        <v>-150</v>
      </c>
      <c r="AV130" s="68" t="str">
        <f t="shared" si="51"/>
        <v/>
      </c>
      <c r="AX130" s="71" t="str">
        <f t="shared" si="47"/>
        <v>reason130</v>
      </c>
    </row>
    <row r="131" spans="1:50" ht="45" hidden="1" customHeight="1">
      <c r="A131" s="188" t="s">
        <v>27</v>
      </c>
      <c r="B131" s="125" t="str">
        <f t="shared" si="50"/>
        <v>N</v>
      </c>
      <c r="C131" s="125"/>
      <c r="D131" s="126">
        <v>7</v>
      </c>
      <c r="E131" s="126"/>
      <c r="F131" s="122" t="str">
        <f t="shared" si="39"/>
        <v>PRD-BLG-2020-00007</v>
      </c>
      <c r="G131" s="123" t="s">
        <v>339</v>
      </c>
      <c r="H131" s="124" t="s">
        <v>570</v>
      </c>
      <c r="I131" s="239"/>
      <c r="J131" s="231">
        <f t="shared" si="42"/>
        <v>0</v>
      </c>
      <c r="K131" s="177">
        <f t="shared" si="56"/>
        <v>44105</v>
      </c>
      <c r="L131" s="155">
        <v>44105</v>
      </c>
      <c r="M131" s="152"/>
      <c r="N131" s="147"/>
      <c r="O131" s="147"/>
      <c r="P131" s="153"/>
      <c r="Q131" s="232" t="s">
        <v>12</v>
      </c>
      <c r="R131" s="200" t="s">
        <v>78</v>
      </c>
      <c r="S131" s="200"/>
      <c r="T131" s="200"/>
      <c r="U131" s="200"/>
      <c r="V131" s="200"/>
      <c r="W131" s="200"/>
      <c r="X131" s="154" t="s">
        <v>571</v>
      </c>
      <c r="Y131" s="173">
        <f t="shared" si="54"/>
        <v>0</v>
      </c>
      <c r="Z131" s="83">
        <f t="shared" si="43"/>
        <v>0</v>
      </c>
      <c r="AA131" s="84">
        <f t="shared" si="52"/>
        <v>0</v>
      </c>
      <c r="AB131" s="84">
        <f t="shared" si="53"/>
        <v>0</v>
      </c>
      <c r="AC131" s="84">
        <f t="shared" si="44"/>
        <v>0</v>
      </c>
      <c r="AD131" s="84"/>
      <c r="AE131" s="84">
        <f t="shared" si="48"/>
        <v>0</v>
      </c>
      <c r="AF131" s="84">
        <f t="shared" ref="AF131:AF144" si="58">IFERROR(SUM(Z131:AE131),"")</f>
        <v>0</v>
      </c>
      <c r="AG131" s="94">
        <f t="shared" si="49"/>
        <v>0</v>
      </c>
      <c r="AH131" s="85">
        <f>IFERROR(VLOOKUP(A131,CUSTOMERS!$A:$E,4),"")</f>
        <v>-150</v>
      </c>
      <c r="AI131" s="86" t="str">
        <f t="shared" si="57"/>
        <v/>
      </c>
      <c r="AJ131" s="87">
        <f>IFERROR(VLOOKUP(A131,CUSTOMERS!$A:$F,5),"")</f>
        <v>0</v>
      </c>
      <c r="AK131" s="96"/>
      <c r="AL131" s="96">
        <v>0</v>
      </c>
      <c r="AM131" s="96">
        <v>0</v>
      </c>
      <c r="AN131" s="96"/>
      <c r="AO131" s="96">
        <v>0</v>
      </c>
      <c r="AP131" s="103">
        <f t="shared" si="45"/>
        <v>0</v>
      </c>
      <c r="AQ131" s="103">
        <f t="shared" si="55"/>
        <v>0</v>
      </c>
      <c r="AR131" s="68" t="str">
        <f>IFERROR(VLOOKUP(A131,CUSTOMERS!$A:$B,2),"")</f>
        <v>PRD</v>
      </c>
      <c r="AS131" s="68" t="str">
        <f>IFERROR(VLOOKUP(A131,CUSTOMERS!$A:$D,3),"")</f>
        <v>BLG</v>
      </c>
      <c r="AT131" s="68" t="str">
        <f>IFERROR(VLOOKUP(A131,CUSTOMERS!$A:$F,6),"")</f>
        <v>N</v>
      </c>
      <c r="AU131" s="69">
        <f>IFERROR(VLOOKUP(A131,CUSTOMERS!$A:$E,4),"")</f>
        <v>-150</v>
      </c>
      <c r="AV131" s="68" t="str">
        <f t="shared" si="51"/>
        <v/>
      </c>
      <c r="AX131" s="71" t="str">
        <f t="shared" si="47"/>
        <v>reason131</v>
      </c>
    </row>
    <row r="132" spans="1:50" ht="44.25" customHeight="1">
      <c r="A132" s="188" t="s">
        <v>50</v>
      </c>
      <c r="B132" s="125" t="str">
        <f t="shared" si="50"/>
        <v>N</v>
      </c>
      <c r="C132" s="125"/>
      <c r="D132" s="126">
        <v>8</v>
      </c>
      <c r="E132" s="126"/>
      <c r="F132" s="122" t="str">
        <f t="shared" si="39"/>
        <v>PRD-REQ-2020-00008</v>
      </c>
      <c r="G132" s="123" t="s">
        <v>29</v>
      </c>
      <c r="H132" s="216" t="s">
        <v>80</v>
      </c>
      <c r="I132" s="240"/>
      <c r="J132" s="227">
        <f t="shared" si="42"/>
        <v>0</v>
      </c>
      <c r="K132" s="218">
        <f t="shared" si="56"/>
        <v>44105</v>
      </c>
      <c r="L132" s="155">
        <v>44105</v>
      </c>
      <c r="M132" s="152"/>
      <c r="N132" s="147"/>
      <c r="O132" s="147"/>
      <c r="P132" s="217"/>
      <c r="Q132" s="213" t="s">
        <v>12</v>
      </c>
      <c r="R132" s="229" t="s">
        <v>78</v>
      </c>
      <c r="S132" s="200" t="s">
        <v>308</v>
      </c>
      <c r="T132" s="200"/>
      <c r="U132" s="200"/>
      <c r="V132" s="200"/>
      <c r="W132" s="200"/>
      <c r="X132" s="154" t="s">
        <v>572</v>
      </c>
      <c r="Y132" s="173">
        <f t="shared" si="54"/>
        <v>0</v>
      </c>
      <c r="Z132" s="83">
        <f t="shared" si="43"/>
        <v>0</v>
      </c>
      <c r="AA132" s="84">
        <f t="shared" si="52"/>
        <v>0</v>
      </c>
      <c r="AB132" s="84">
        <f t="shared" si="53"/>
        <v>0</v>
      </c>
      <c r="AC132" s="84">
        <f t="shared" si="44"/>
        <v>0</v>
      </c>
      <c r="AD132" s="84"/>
      <c r="AE132" s="84">
        <f t="shared" si="48"/>
        <v>0</v>
      </c>
      <c r="AF132" s="84">
        <f t="shared" si="58"/>
        <v>0</v>
      </c>
      <c r="AG132" s="94">
        <f t="shared" si="49"/>
        <v>0</v>
      </c>
      <c r="AH132" s="85">
        <f>IFERROR(VLOOKUP(A132,CUSTOMERS!$A:$E,4),"")</f>
        <v>-150</v>
      </c>
      <c r="AI132" s="86" t="str">
        <f t="shared" si="57"/>
        <v/>
      </c>
      <c r="AJ132" s="87">
        <f>IFERROR(VLOOKUP(A132,CUSTOMERS!$A:$F,5),"")</f>
        <v>0</v>
      </c>
      <c r="AK132" s="96"/>
      <c r="AL132" s="96">
        <v>0</v>
      </c>
      <c r="AM132" s="96">
        <v>0</v>
      </c>
      <c r="AN132" s="96"/>
      <c r="AO132" s="96">
        <v>0</v>
      </c>
      <c r="AP132" s="103">
        <f t="shared" si="45"/>
        <v>0</v>
      </c>
      <c r="AQ132" s="103">
        <f t="shared" si="55"/>
        <v>0</v>
      </c>
      <c r="AR132" s="68" t="str">
        <f>IFERROR(VLOOKUP(A132,CUSTOMERS!$A:$B,2),"")</f>
        <v>PRD</v>
      </c>
      <c r="AS132" s="68" t="str">
        <f>IFERROR(VLOOKUP(A132,CUSTOMERS!$A:$D,3),"")</f>
        <v>REQ</v>
      </c>
      <c r="AT132" s="68" t="str">
        <f>IFERROR(VLOOKUP(A132,CUSTOMERS!$A:$F,6),"")</f>
        <v>N</v>
      </c>
      <c r="AU132" s="69">
        <f>IFERROR(VLOOKUP(A132,CUSTOMERS!$A:$E,4),"")</f>
        <v>-150</v>
      </c>
      <c r="AV132" s="68" t="str">
        <f t="shared" si="51"/>
        <v/>
      </c>
      <c r="AX132" s="71" t="str">
        <f t="shared" si="47"/>
        <v>reason132</v>
      </c>
    </row>
    <row r="133" spans="1:50" ht="42" hidden="1" customHeight="1">
      <c r="A133" s="188" t="s">
        <v>27</v>
      </c>
      <c r="B133" s="125" t="str">
        <f t="shared" si="50"/>
        <v>N</v>
      </c>
      <c r="C133" s="125"/>
      <c r="D133" s="126">
        <v>9</v>
      </c>
      <c r="E133" s="126"/>
      <c r="F133" s="122" t="str">
        <f t="shared" si="39"/>
        <v>PRD-BLG-2020-00009</v>
      </c>
      <c r="G133" s="207" t="s">
        <v>339</v>
      </c>
      <c r="H133" s="124" t="s">
        <v>573</v>
      </c>
      <c r="I133" s="239"/>
      <c r="J133" s="231">
        <f t="shared" si="42"/>
        <v>0</v>
      </c>
      <c r="K133" s="177">
        <f t="shared" si="56"/>
        <v>44105</v>
      </c>
      <c r="L133" s="155">
        <v>44105</v>
      </c>
      <c r="M133" s="152"/>
      <c r="N133" s="147"/>
      <c r="O133" s="147"/>
      <c r="P133" s="153"/>
      <c r="Q133" s="232" t="s">
        <v>12</v>
      </c>
      <c r="R133" s="200" t="s">
        <v>78</v>
      </c>
      <c r="S133" s="200"/>
      <c r="T133" s="200"/>
      <c r="U133" s="200"/>
      <c r="V133" s="200"/>
      <c r="W133" s="200"/>
      <c r="X133" s="154" t="s">
        <v>574</v>
      </c>
      <c r="Y133" s="173">
        <f t="shared" si="54"/>
        <v>0</v>
      </c>
      <c r="Z133" s="83">
        <f t="shared" si="43"/>
        <v>0</v>
      </c>
      <c r="AA133" s="84">
        <f t="shared" si="52"/>
        <v>0</v>
      </c>
      <c r="AB133" s="84">
        <f t="shared" si="53"/>
        <v>0</v>
      </c>
      <c r="AC133" s="84">
        <f t="shared" si="44"/>
        <v>0</v>
      </c>
      <c r="AD133" s="84"/>
      <c r="AE133" s="84">
        <f t="shared" si="48"/>
        <v>0</v>
      </c>
      <c r="AF133" s="84">
        <f t="shared" si="58"/>
        <v>0</v>
      </c>
      <c r="AG133" s="94">
        <f t="shared" si="49"/>
        <v>0</v>
      </c>
      <c r="AH133" s="85">
        <f>IFERROR(VLOOKUP(A133,CUSTOMERS!$A:$E,4),"")</f>
        <v>-150</v>
      </c>
      <c r="AI133" s="86" t="str">
        <f t="shared" si="57"/>
        <v/>
      </c>
      <c r="AJ133" s="87">
        <f>IFERROR(VLOOKUP(A133,CUSTOMERS!$A:$F,5),"")</f>
        <v>0</v>
      </c>
      <c r="AK133" s="96"/>
      <c r="AL133" s="96">
        <v>0</v>
      </c>
      <c r="AM133" s="96">
        <v>0</v>
      </c>
      <c r="AN133" s="96"/>
      <c r="AO133" s="96">
        <v>0</v>
      </c>
      <c r="AP133" s="103">
        <f t="shared" si="45"/>
        <v>0</v>
      </c>
      <c r="AQ133" s="103">
        <f t="shared" si="55"/>
        <v>0</v>
      </c>
      <c r="AR133" s="68" t="str">
        <f>IFERROR(VLOOKUP(A133,CUSTOMERS!$A:$B,2),"")</f>
        <v>PRD</v>
      </c>
      <c r="AS133" s="68" t="str">
        <f>IFERROR(VLOOKUP(A133,CUSTOMERS!$A:$D,3),"")</f>
        <v>BLG</v>
      </c>
      <c r="AT133" s="68" t="str">
        <f>IFERROR(VLOOKUP(A133,CUSTOMERS!$A:$F,6),"")</f>
        <v>N</v>
      </c>
      <c r="AU133" s="69">
        <f>IFERROR(VLOOKUP(A133,CUSTOMERS!$A:$E,4),"")</f>
        <v>-150</v>
      </c>
      <c r="AV133" s="68" t="str">
        <f t="shared" si="51"/>
        <v/>
      </c>
      <c r="AX133" s="71" t="str">
        <f t="shared" si="47"/>
        <v>reason133</v>
      </c>
    </row>
    <row r="134" spans="1:50" ht="44.25" customHeight="1">
      <c r="A134" s="188" t="s">
        <v>27</v>
      </c>
      <c r="B134" s="125" t="str">
        <f t="shared" si="50"/>
        <v>N</v>
      </c>
      <c r="C134" s="125"/>
      <c r="D134" s="126">
        <v>10</v>
      </c>
      <c r="E134" s="126"/>
      <c r="F134" s="122" t="str">
        <f t="shared" ref="F134:F197" si="59">IF(AS134&lt;&gt;"",_xlfn.CONCAT(AR134,"-",AS134,"-",IF(L134&lt;&gt;"",TEXT(L134,"yyyy"),"0000"),"-",REPT(0,5-LEN(D134))&amp;D134),"")</f>
        <v>PRD-BLG-2020-00010</v>
      </c>
      <c r="G134" s="123" t="s">
        <v>29</v>
      </c>
      <c r="H134" s="216" t="s">
        <v>82</v>
      </c>
      <c r="I134" s="240"/>
      <c r="J134" s="227">
        <f t="shared" si="42"/>
        <v>0</v>
      </c>
      <c r="K134" s="218">
        <f t="shared" si="56"/>
        <v>44105</v>
      </c>
      <c r="L134" s="155">
        <v>44105</v>
      </c>
      <c r="M134" s="152"/>
      <c r="N134" s="147"/>
      <c r="O134" s="147"/>
      <c r="P134" s="217"/>
      <c r="Q134" s="213" t="s">
        <v>12</v>
      </c>
      <c r="R134" s="229" t="s">
        <v>78</v>
      </c>
      <c r="S134" s="200" t="s">
        <v>308</v>
      </c>
      <c r="T134" s="200"/>
      <c r="U134" s="200"/>
      <c r="V134" s="200"/>
      <c r="W134" s="200"/>
      <c r="X134" s="154" t="s">
        <v>575</v>
      </c>
      <c r="Y134" s="173">
        <f t="shared" si="54"/>
        <v>0</v>
      </c>
      <c r="Z134" s="83">
        <f t="shared" si="43"/>
        <v>0</v>
      </c>
      <c r="AA134" s="84">
        <f t="shared" si="52"/>
        <v>0</v>
      </c>
      <c r="AB134" s="84">
        <f t="shared" si="53"/>
        <v>0</v>
      </c>
      <c r="AC134" s="84">
        <f t="shared" si="44"/>
        <v>0</v>
      </c>
      <c r="AD134" s="84"/>
      <c r="AE134" s="84">
        <f t="shared" si="48"/>
        <v>0</v>
      </c>
      <c r="AF134" s="84">
        <f t="shared" si="58"/>
        <v>0</v>
      </c>
      <c r="AG134" s="94">
        <f t="shared" si="49"/>
        <v>0</v>
      </c>
      <c r="AH134" s="85">
        <f>IFERROR(VLOOKUP(A134,CUSTOMERS!$A:$E,4),"")</f>
        <v>-150</v>
      </c>
      <c r="AI134" s="86" t="str">
        <f t="shared" si="57"/>
        <v/>
      </c>
      <c r="AJ134" s="87">
        <f>IFERROR(VLOOKUP(A134,CUSTOMERS!$A:$F,5),"")</f>
        <v>0</v>
      </c>
      <c r="AK134" s="96"/>
      <c r="AL134" s="96">
        <v>0</v>
      </c>
      <c r="AM134" s="96">
        <v>0</v>
      </c>
      <c r="AN134" s="96"/>
      <c r="AO134" s="96">
        <v>0</v>
      </c>
      <c r="AP134" s="103">
        <f t="shared" si="45"/>
        <v>0</v>
      </c>
      <c r="AQ134" s="103">
        <f t="shared" si="55"/>
        <v>0</v>
      </c>
      <c r="AR134" s="68" t="str">
        <f>IFERROR(VLOOKUP(A134,CUSTOMERS!$A:$B,2),"")</f>
        <v>PRD</v>
      </c>
      <c r="AS134" s="68" t="str">
        <f>IFERROR(VLOOKUP(A134,CUSTOMERS!$A:$D,3),"")</f>
        <v>BLG</v>
      </c>
      <c r="AT134" s="68" t="str">
        <f>IFERROR(VLOOKUP(A134,CUSTOMERS!$A:$F,6),"")</f>
        <v>N</v>
      </c>
      <c r="AU134" s="69">
        <f>IFERROR(VLOOKUP(A134,CUSTOMERS!$A:$E,4),"")</f>
        <v>-150</v>
      </c>
      <c r="AV134" s="68" t="str">
        <f t="shared" si="51"/>
        <v/>
      </c>
      <c r="AX134" s="71" t="str">
        <f t="shared" si="47"/>
        <v>reason134</v>
      </c>
    </row>
    <row r="135" spans="1:50" ht="44.25" hidden="1" customHeight="1">
      <c r="A135" s="188" t="s">
        <v>27</v>
      </c>
      <c r="B135" s="125" t="str">
        <f t="shared" si="50"/>
        <v>N</v>
      </c>
      <c r="C135" s="125"/>
      <c r="D135" s="126">
        <v>7</v>
      </c>
      <c r="E135" s="126"/>
      <c r="F135" s="122" t="str">
        <f t="shared" si="59"/>
        <v>PRD-BLG-2021-00007</v>
      </c>
      <c r="G135" s="207" t="s">
        <v>339</v>
      </c>
      <c r="H135" s="124" t="s">
        <v>576</v>
      </c>
      <c r="I135" s="239"/>
      <c r="J135" s="224">
        <f t="shared" si="42"/>
        <v>-5625</v>
      </c>
      <c r="K135" s="177">
        <f t="shared" si="56"/>
        <v>44271</v>
      </c>
      <c r="L135" s="155">
        <v>44271</v>
      </c>
      <c r="M135" s="152"/>
      <c r="N135" s="147"/>
      <c r="O135" s="147"/>
      <c r="P135" s="153"/>
      <c r="Q135" s="225" t="s">
        <v>423</v>
      </c>
      <c r="R135" s="200" t="s">
        <v>78</v>
      </c>
      <c r="S135" s="200"/>
      <c r="T135" s="200"/>
      <c r="U135" s="200"/>
      <c r="V135" s="200"/>
      <c r="W135" s="200"/>
      <c r="X135" s="154" t="s">
        <v>577</v>
      </c>
      <c r="Y135" s="173">
        <f t="shared" si="54"/>
        <v>-5625</v>
      </c>
      <c r="Z135" s="83">
        <f t="shared" si="43"/>
        <v>-1125</v>
      </c>
      <c r="AA135" s="84">
        <f t="shared" si="52"/>
        <v>-2250</v>
      </c>
      <c r="AB135" s="84">
        <f t="shared" si="53"/>
        <v>-1125</v>
      </c>
      <c r="AC135" s="84">
        <f t="shared" si="44"/>
        <v>0</v>
      </c>
      <c r="AD135" s="84"/>
      <c r="AE135" s="84">
        <f t="shared" si="48"/>
        <v>-1125</v>
      </c>
      <c r="AF135" s="84">
        <f t="shared" si="58"/>
        <v>-5625</v>
      </c>
      <c r="AG135" s="94">
        <f t="shared" si="49"/>
        <v>0</v>
      </c>
      <c r="AH135" s="85">
        <f>IFERROR(VLOOKUP(A135,CUSTOMERS!$A:$E,4),"")</f>
        <v>-150</v>
      </c>
      <c r="AI135" s="86" t="str">
        <f t="shared" si="57"/>
        <v/>
      </c>
      <c r="AJ135" s="87">
        <f>IFERROR(VLOOKUP(A135,CUSTOMERS!$A:$F,5),"")</f>
        <v>0</v>
      </c>
      <c r="AK135" s="96">
        <v>1</v>
      </c>
      <c r="AL135" s="96">
        <v>2</v>
      </c>
      <c r="AM135" s="96">
        <v>1</v>
      </c>
      <c r="AN135" s="96"/>
      <c r="AO135" s="96">
        <v>1</v>
      </c>
      <c r="AP135" s="103">
        <f t="shared" si="45"/>
        <v>5</v>
      </c>
      <c r="AQ135" s="103">
        <f t="shared" si="55"/>
        <v>0</v>
      </c>
      <c r="AR135" s="68" t="str">
        <f>IFERROR(VLOOKUP(A135,CUSTOMERS!$A:$B,2),"")</f>
        <v>PRD</v>
      </c>
      <c r="AS135" s="68" t="str">
        <f>IFERROR(VLOOKUP(A135,CUSTOMERS!$A:$D,3),"")</f>
        <v>BLG</v>
      </c>
      <c r="AT135" s="68" t="str">
        <f>IFERROR(VLOOKUP(A135,CUSTOMERS!$A:$F,6),"")</f>
        <v>N</v>
      </c>
      <c r="AU135" s="69">
        <f>IFERROR(VLOOKUP(A135,CUSTOMERS!$A:$E,4),"")</f>
        <v>-150</v>
      </c>
      <c r="AV135" s="68" t="str">
        <f t="shared" si="51"/>
        <v/>
      </c>
      <c r="AX135" s="71" t="str">
        <f t="shared" si="47"/>
        <v>reason135</v>
      </c>
    </row>
    <row r="136" spans="1:50" ht="98.25" hidden="1" customHeight="1">
      <c r="A136" s="188" t="s">
        <v>162</v>
      </c>
      <c r="B136" s="120" t="str">
        <f t="shared" si="50"/>
        <v>Y</v>
      </c>
      <c r="C136" s="120"/>
      <c r="D136" s="121">
        <v>215</v>
      </c>
      <c r="E136" s="121"/>
      <c r="F136" s="122" t="str">
        <f t="shared" si="59"/>
        <v>RMB-RSC-2020-00215</v>
      </c>
      <c r="G136" s="123" t="s">
        <v>339</v>
      </c>
      <c r="H136" s="124" t="s">
        <v>578</v>
      </c>
      <c r="I136" s="239"/>
      <c r="J136" s="220">
        <f t="shared" si="42"/>
        <v>0</v>
      </c>
      <c r="K136" s="177">
        <f t="shared" si="56"/>
        <v>44068</v>
      </c>
      <c r="L136" s="157">
        <v>44068</v>
      </c>
      <c r="M136" s="158"/>
      <c r="N136" s="142"/>
      <c r="O136" s="142"/>
      <c r="P136" s="159"/>
      <c r="Q136" s="201" t="s">
        <v>17</v>
      </c>
      <c r="R136" s="199" t="s">
        <v>4</v>
      </c>
      <c r="S136" s="199"/>
      <c r="T136" s="199"/>
      <c r="U136" s="199"/>
      <c r="V136" s="199"/>
      <c r="W136" s="199"/>
      <c r="X136" s="185" t="s">
        <v>406</v>
      </c>
      <c r="Y136" s="173">
        <f t="shared" si="54"/>
        <v>0</v>
      </c>
      <c r="Z136" s="83">
        <f t="shared" si="43"/>
        <v>0</v>
      </c>
      <c r="AA136" s="84">
        <f t="shared" si="52"/>
        <v>0</v>
      </c>
      <c r="AB136" s="84">
        <f t="shared" si="53"/>
        <v>0</v>
      </c>
      <c r="AC136" s="84">
        <f t="shared" si="44"/>
        <v>0</v>
      </c>
      <c r="AD136" s="84"/>
      <c r="AE136" s="84">
        <f t="shared" si="48"/>
        <v>0</v>
      </c>
      <c r="AF136" s="179">
        <f t="shared" si="58"/>
        <v>0</v>
      </c>
      <c r="AG136" s="179">
        <f t="shared" si="49"/>
        <v>0</v>
      </c>
      <c r="AH136" s="85">
        <f>IFERROR(VLOOKUP(A136,CUSTOMERS!$A:$E,4),"")</f>
        <v>180.81</v>
      </c>
      <c r="AI136" s="86" t="str">
        <f t="shared" si="57"/>
        <v/>
      </c>
      <c r="AJ136" s="87">
        <f>IFERROR(VLOOKUP(A136,CUSTOMERS!$A:$F,5),"")</f>
        <v>0</v>
      </c>
      <c r="AK136" s="96"/>
      <c r="AL136" s="96">
        <v>0</v>
      </c>
      <c r="AM136" s="96">
        <v>0</v>
      </c>
      <c r="AN136" s="96"/>
      <c r="AO136" s="96">
        <v>0</v>
      </c>
      <c r="AP136" s="102">
        <f t="shared" si="45"/>
        <v>0</v>
      </c>
      <c r="AQ136" s="102">
        <f t="shared" si="55"/>
        <v>0</v>
      </c>
      <c r="AR136" s="68" t="str">
        <f>IFERROR(VLOOKUP(A136,CUSTOMERS!$A:$B,2),"")</f>
        <v>RMB</v>
      </c>
      <c r="AS136" s="68" t="str">
        <f>IFERROR(VLOOKUP(A136,CUSTOMERS!$A:$D,3),"")</f>
        <v>RSC</v>
      </c>
      <c r="AT136" s="68" t="str">
        <f>IFERROR(VLOOKUP(A136,CUSTOMERS!$A:$F,6),"")</f>
        <v>Y</v>
      </c>
      <c r="AU136" s="69">
        <f>IFERROR(VLOOKUP(A136,CUSTOMERS!$A:$E,4),"")</f>
        <v>180.81</v>
      </c>
      <c r="AV136" s="68" t="str">
        <f t="shared" si="51"/>
        <v/>
      </c>
      <c r="AX136" s="71" t="str">
        <f t="shared" si="47"/>
        <v>reason136</v>
      </c>
    </row>
    <row r="137" spans="1:50" ht="47.25" customHeight="1">
      <c r="A137" s="188" t="s">
        <v>27</v>
      </c>
      <c r="B137" s="120" t="str">
        <f t="shared" si="50"/>
        <v>N</v>
      </c>
      <c r="C137" s="120"/>
      <c r="D137" s="121">
        <v>216</v>
      </c>
      <c r="E137" s="121"/>
      <c r="F137" s="122" t="str">
        <f t="shared" si="59"/>
        <v>PRD-BLG-2020-00216</v>
      </c>
      <c r="G137" s="123" t="s">
        <v>29</v>
      </c>
      <c r="H137" s="216" t="s">
        <v>579</v>
      </c>
      <c r="I137" s="240"/>
      <c r="J137" s="227">
        <f t="shared" si="42"/>
        <v>0</v>
      </c>
      <c r="K137" s="218">
        <f t="shared" si="56"/>
        <v>44068</v>
      </c>
      <c r="L137" s="157">
        <v>44068</v>
      </c>
      <c r="M137" s="158"/>
      <c r="N137" s="142"/>
      <c r="O137" s="142"/>
      <c r="P137" s="159"/>
      <c r="Q137" s="201" t="s">
        <v>18</v>
      </c>
      <c r="R137" s="199" t="s">
        <v>4</v>
      </c>
      <c r="S137" s="199" t="s">
        <v>311</v>
      </c>
      <c r="T137" s="199" t="s">
        <v>455</v>
      </c>
      <c r="U137" s="199" t="s">
        <v>451</v>
      </c>
      <c r="V137" s="199"/>
      <c r="W137" s="199"/>
      <c r="X137" s="185" t="s">
        <v>580</v>
      </c>
      <c r="Y137" s="173">
        <f t="shared" si="54"/>
        <v>0</v>
      </c>
      <c r="Z137" s="83">
        <f t="shared" si="43"/>
        <v>0</v>
      </c>
      <c r="AA137" s="84">
        <f t="shared" si="52"/>
        <v>0</v>
      </c>
      <c r="AB137" s="84">
        <f t="shared" si="53"/>
        <v>0</v>
      </c>
      <c r="AC137" s="84">
        <f t="shared" si="44"/>
        <v>0</v>
      </c>
      <c r="AD137" s="84"/>
      <c r="AE137" s="84">
        <f t="shared" si="48"/>
        <v>0</v>
      </c>
      <c r="AF137" s="179">
        <f t="shared" si="58"/>
        <v>0</v>
      </c>
      <c r="AG137" s="179">
        <f t="shared" si="49"/>
        <v>0</v>
      </c>
      <c r="AH137" s="85">
        <f>IFERROR(VLOOKUP(A137,CUSTOMERS!$A:$E,4),"")</f>
        <v>-150</v>
      </c>
      <c r="AI137" s="86" t="str">
        <f t="shared" si="57"/>
        <v/>
      </c>
      <c r="AJ137" s="87">
        <f>IFERROR(VLOOKUP(A137,CUSTOMERS!$A:$F,5),"")</f>
        <v>0</v>
      </c>
      <c r="AK137" s="96"/>
      <c r="AL137" s="96">
        <v>0</v>
      </c>
      <c r="AM137" s="96">
        <v>0</v>
      </c>
      <c r="AN137" s="96"/>
      <c r="AO137" s="96">
        <v>0</v>
      </c>
      <c r="AP137" s="102">
        <f t="shared" si="45"/>
        <v>0</v>
      </c>
      <c r="AQ137" s="102">
        <f t="shared" si="55"/>
        <v>0</v>
      </c>
      <c r="AR137" s="68" t="str">
        <f>IFERROR(VLOOKUP(A137,CUSTOMERS!$A:$B,2),"")</f>
        <v>PRD</v>
      </c>
      <c r="AS137" s="68" t="str">
        <f>IFERROR(VLOOKUP(A137,CUSTOMERS!$A:$D,3),"")</f>
        <v>BLG</v>
      </c>
      <c r="AT137" s="68" t="str">
        <f>IFERROR(VLOOKUP(A137,CUSTOMERS!$A:$F,6),"")</f>
        <v>N</v>
      </c>
      <c r="AU137" s="69">
        <f>IFERROR(VLOOKUP(A137,CUSTOMERS!$A:$E,4),"")</f>
        <v>-150</v>
      </c>
      <c r="AV137" s="68" t="str">
        <f t="shared" si="51"/>
        <v/>
      </c>
      <c r="AX137" s="71" t="str">
        <f t="shared" si="47"/>
        <v>reason137</v>
      </c>
    </row>
    <row r="138" spans="1:50" ht="40.5" customHeight="1">
      <c r="A138" s="188" t="s">
        <v>162</v>
      </c>
      <c r="B138" s="120" t="s">
        <v>294</v>
      </c>
      <c r="C138" s="120"/>
      <c r="D138" s="121">
        <v>217</v>
      </c>
      <c r="E138" s="121"/>
      <c r="F138" s="122" t="str">
        <f t="shared" si="59"/>
        <v>RMB-RSC-2020-00217</v>
      </c>
      <c r="G138" s="123" t="s">
        <v>35</v>
      </c>
      <c r="H138" s="124" t="s">
        <v>163</v>
      </c>
      <c r="I138" s="239"/>
      <c r="J138" s="228">
        <f t="shared" si="42"/>
        <v>10848.600000000002</v>
      </c>
      <c r="K138" s="177">
        <f t="shared" si="56"/>
        <v>43973</v>
      </c>
      <c r="L138" s="157">
        <v>43837</v>
      </c>
      <c r="M138" s="158">
        <v>36892</v>
      </c>
      <c r="N138" s="142">
        <v>43921</v>
      </c>
      <c r="O138" s="142">
        <v>43973</v>
      </c>
      <c r="P138" s="159"/>
      <c r="Q138" s="201" t="s">
        <v>17</v>
      </c>
      <c r="R138" s="199" t="s">
        <v>4</v>
      </c>
      <c r="S138" s="199"/>
      <c r="T138" s="199"/>
      <c r="U138" s="199"/>
      <c r="V138" s="199"/>
      <c r="W138" s="199"/>
      <c r="X138" s="185" t="s">
        <v>581</v>
      </c>
      <c r="Y138" s="173">
        <f t="shared" si="54"/>
        <v>10848.600000000002</v>
      </c>
      <c r="Z138" s="83">
        <f t="shared" si="43"/>
        <v>0</v>
      </c>
      <c r="AA138" s="84">
        <f t="shared" si="52"/>
        <v>8814.4875000000011</v>
      </c>
      <c r="AB138" s="84">
        <f t="shared" si="53"/>
        <v>678.03750000000002</v>
      </c>
      <c r="AC138" s="84">
        <f t="shared" si="44"/>
        <v>0</v>
      </c>
      <c r="AD138" s="84"/>
      <c r="AE138" s="84">
        <f t="shared" si="48"/>
        <v>1356.075</v>
      </c>
      <c r="AF138" s="89">
        <f t="shared" si="58"/>
        <v>10848.600000000002</v>
      </c>
      <c r="AG138" s="94">
        <f t="shared" si="49"/>
        <v>0</v>
      </c>
      <c r="AH138" s="85">
        <f>IFERROR(VLOOKUP(A138,CUSTOMERS!$A:$E,4),"")</f>
        <v>180.81</v>
      </c>
      <c r="AI138" s="86" t="str">
        <f t="shared" si="57"/>
        <v/>
      </c>
      <c r="AJ138" s="87">
        <f>IFERROR(VLOOKUP(A138,CUSTOMERS!$A:$F,5),"")</f>
        <v>0</v>
      </c>
      <c r="AK138" s="96"/>
      <c r="AL138" s="96">
        <v>6.5</v>
      </c>
      <c r="AM138" s="96">
        <v>0.5</v>
      </c>
      <c r="AN138" s="96"/>
      <c r="AO138" s="96">
        <v>1</v>
      </c>
      <c r="AP138" s="102">
        <f t="shared" si="45"/>
        <v>8</v>
      </c>
      <c r="AQ138" s="102">
        <f t="shared" si="55"/>
        <v>0</v>
      </c>
      <c r="AR138" s="68" t="str">
        <f>IFERROR(VLOOKUP(A138,CUSTOMERS!$A:$B,2),"")</f>
        <v>RMB</v>
      </c>
      <c r="AS138" s="68" t="str">
        <f>IFERROR(VLOOKUP(A138,CUSTOMERS!$A:$D,3),"")</f>
        <v>RSC</v>
      </c>
      <c r="AT138" s="68" t="str">
        <f>IFERROR(VLOOKUP(A138,CUSTOMERS!$A:$F,6),"")</f>
        <v>Y</v>
      </c>
      <c r="AU138" s="69">
        <f>IFERROR(VLOOKUP(A138,CUSTOMERS!$A:$E,4),"")</f>
        <v>180.81</v>
      </c>
      <c r="AV138" s="68" t="str">
        <f t="shared" si="51"/>
        <v/>
      </c>
      <c r="AX138" s="71" t="str">
        <f t="shared" si="47"/>
        <v>reason138</v>
      </c>
    </row>
    <row r="139" spans="1:50" ht="66" customHeight="1">
      <c r="A139" s="188" t="s">
        <v>162</v>
      </c>
      <c r="B139" s="120" t="s">
        <v>294</v>
      </c>
      <c r="C139" s="120"/>
      <c r="D139" s="121">
        <v>212</v>
      </c>
      <c r="E139" s="121"/>
      <c r="F139" s="122" t="str">
        <f t="shared" si="59"/>
        <v>RMB-RSC-2019-00212</v>
      </c>
      <c r="G139" s="123" t="s">
        <v>35</v>
      </c>
      <c r="H139" s="124" t="s">
        <v>164</v>
      </c>
      <c r="I139" s="239"/>
      <c r="J139" s="81">
        <f t="shared" si="42"/>
        <v>21358.181250000001</v>
      </c>
      <c r="K139" s="177">
        <f t="shared" si="56"/>
        <v>43966</v>
      </c>
      <c r="L139" s="157">
        <v>43803</v>
      </c>
      <c r="M139" s="158">
        <v>43966</v>
      </c>
      <c r="N139" s="142">
        <v>43966</v>
      </c>
      <c r="O139" s="142"/>
      <c r="P139" s="159"/>
      <c r="Q139" s="201" t="s">
        <v>17</v>
      </c>
      <c r="R139" s="199" t="s">
        <v>4</v>
      </c>
      <c r="S139" s="199"/>
      <c r="T139" s="199"/>
      <c r="U139" s="199"/>
      <c r="V139" s="199"/>
      <c r="W139" s="199"/>
      <c r="X139" s="185" t="s">
        <v>581</v>
      </c>
      <c r="Y139" s="173">
        <f t="shared" si="54"/>
        <v>21358.181250000001</v>
      </c>
      <c r="Z139" s="88">
        <f t="shared" si="43"/>
        <v>0</v>
      </c>
      <c r="AA139" s="89">
        <f t="shared" si="52"/>
        <v>16611.918750000001</v>
      </c>
      <c r="AB139" s="89">
        <f t="shared" si="53"/>
        <v>1356.075</v>
      </c>
      <c r="AC139" s="89">
        <f t="shared" si="44"/>
        <v>0</v>
      </c>
      <c r="AD139" s="89"/>
      <c r="AE139" s="89">
        <f t="shared" si="48"/>
        <v>3390.1875</v>
      </c>
      <c r="AF139" s="89">
        <f t="shared" si="58"/>
        <v>21358.181250000001</v>
      </c>
      <c r="AG139" s="95">
        <f t="shared" si="49"/>
        <v>0</v>
      </c>
      <c r="AH139" s="85">
        <f>IFERROR(VLOOKUP(A139,CUSTOMERS!$A:$E,4),"")</f>
        <v>180.81</v>
      </c>
      <c r="AI139" s="86" t="str">
        <f t="shared" si="57"/>
        <v/>
      </c>
      <c r="AJ139" s="87">
        <f>IFERROR(VLOOKUP(A139,CUSTOMERS!$A:$F,5),"")</f>
        <v>0</v>
      </c>
      <c r="AK139" s="96"/>
      <c r="AL139" s="96">
        <v>12.25</v>
      </c>
      <c r="AM139" s="96">
        <v>1</v>
      </c>
      <c r="AN139" s="96"/>
      <c r="AO139" s="96">
        <v>2.5</v>
      </c>
      <c r="AP139" s="102">
        <f t="shared" si="45"/>
        <v>15.75</v>
      </c>
      <c r="AQ139" s="102">
        <f t="shared" si="55"/>
        <v>0</v>
      </c>
      <c r="AR139" s="68" t="str">
        <f>IFERROR(VLOOKUP(A139,CUSTOMERS!$A:$B,2),"")</f>
        <v>RMB</v>
      </c>
      <c r="AS139" s="68" t="str">
        <f>IFERROR(VLOOKUP(A139,CUSTOMERS!$A:$D,3),"")</f>
        <v>RSC</v>
      </c>
      <c r="AT139" s="68" t="str">
        <f>IFERROR(VLOOKUP(A139,CUSTOMERS!$A:$F,6),"")</f>
        <v>Y</v>
      </c>
      <c r="AU139" s="69">
        <f>IFERROR(VLOOKUP(A139,CUSTOMERS!$A:$E,4),"")</f>
        <v>180.81</v>
      </c>
      <c r="AV139" s="68" t="str">
        <f t="shared" si="51"/>
        <v/>
      </c>
      <c r="AX139" s="71" t="str">
        <f t="shared" si="47"/>
        <v>reason139</v>
      </c>
    </row>
    <row r="140" spans="1:50" ht="82.5" customHeight="1">
      <c r="A140" s="188" t="s">
        <v>162</v>
      </c>
      <c r="B140" s="120" t="s">
        <v>294</v>
      </c>
      <c r="C140" s="120"/>
      <c r="D140" s="121">
        <v>211</v>
      </c>
      <c r="E140" s="121"/>
      <c r="F140" s="122" t="str">
        <f t="shared" si="59"/>
        <v>RMB-RSC-2019-00211</v>
      </c>
      <c r="G140" s="123" t="s">
        <v>35</v>
      </c>
      <c r="H140" s="124" t="s">
        <v>165</v>
      </c>
      <c r="I140" s="239"/>
      <c r="J140" s="81">
        <f t="shared" si="42"/>
        <v>17628.975000000002</v>
      </c>
      <c r="K140" s="177">
        <f t="shared" si="56"/>
        <v>43973</v>
      </c>
      <c r="L140" s="157">
        <v>43801</v>
      </c>
      <c r="M140" s="158">
        <v>43966</v>
      </c>
      <c r="N140" s="142">
        <v>43966</v>
      </c>
      <c r="O140" s="142">
        <v>43973</v>
      </c>
      <c r="P140" s="159"/>
      <c r="Q140" s="201" t="s">
        <v>17</v>
      </c>
      <c r="R140" s="199" t="s">
        <v>4</v>
      </c>
      <c r="S140" s="199"/>
      <c r="T140" s="199"/>
      <c r="U140" s="199"/>
      <c r="V140" s="199"/>
      <c r="W140" s="199"/>
      <c r="X140" s="185" t="s">
        <v>581</v>
      </c>
      <c r="Y140" s="173">
        <f t="shared" si="54"/>
        <v>17628.975000000002</v>
      </c>
      <c r="Z140" s="88">
        <f t="shared" si="43"/>
        <v>0</v>
      </c>
      <c r="AA140" s="89">
        <f t="shared" si="52"/>
        <v>8136.4500000000007</v>
      </c>
      <c r="AB140" s="89">
        <f t="shared" si="53"/>
        <v>1356.075</v>
      </c>
      <c r="AC140" s="89">
        <f t="shared" si="44"/>
        <v>4746.2625000000007</v>
      </c>
      <c r="AD140" s="89"/>
      <c r="AE140" s="89">
        <f t="shared" si="48"/>
        <v>3390.1875</v>
      </c>
      <c r="AF140" s="89">
        <f t="shared" si="58"/>
        <v>17628.975000000002</v>
      </c>
      <c r="AG140" s="95">
        <f t="shared" si="49"/>
        <v>0</v>
      </c>
      <c r="AH140" s="85">
        <f>IFERROR(VLOOKUP(A140,CUSTOMERS!$A:$E,4),"")</f>
        <v>180.81</v>
      </c>
      <c r="AI140" s="86" t="str">
        <f t="shared" si="57"/>
        <v/>
      </c>
      <c r="AJ140" s="87">
        <f>IFERROR(VLOOKUP(A140,CUSTOMERS!$A:$F,5),"")</f>
        <v>0</v>
      </c>
      <c r="AK140" s="96"/>
      <c r="AL140" s="96">
        <v>6</v>
      </c>
      <c r="AM140" s="96">
        <v>1</v>
      </c>
      <c r="AN140" s="96">
        <v>3.5</v>
      </c>
      <c r="AO140" s="96">
        <v>2.5</v>
      </c>
      <c r="AP140" s="102">
        <f t="shared" si="45"/>
        <v>13</v>
      </c>
      <c r="AQ140" s="102">
        <f t="shared" si="55"/>
        <v>0</v>
      </c>
      <c r="AR140" s="68" t="str">
        <f>IFERROR(VLOOKUP(A140,CUSTOMERS!$A:$B,2),"")</f>
        <v>RMB</v>
      </c>
      <c r="AS140" s="68" t="str">
        <f>IFERROR(VLOOKUP(A140,CUSTOMERS!$A:$D,3),"")</f>
        <v>RSC</v>
      </c>
      <c r="AT140" s="68" t="str">
        <f>IFERROR(VLOOKUP(A140,CUSTOMERS!$A:$F,6),"")</f>
        <v>Y</v>
      </c>
      <c r="AU140" s="69">
        <f>IFERROR(VLOOKUP(A140,CUSTOMERS!$A:$E,4),"")</f>
        <v>180.81</v>
      </c>
      <c r="AV140" s="68" t="str">
        <f t="shared" si="51"/>
        <v/>
      </c>
      <c r="AX140" s="71" t="str">
        <f t="shared" si="47"/>
        <v>reason140</v>
      </c>
    </row>
    <row r="141" spans="1:50" ht="82.5" customHeight="1">
      <c r="A141" s="188" t="s">
        <v>162</v>
      </c>
      <c r="B141" s="120" t="s">
        <v>294</v>
      </c>
      <c r="C141" s="120"/>
      <c r="D141" s="121">
        <v>210</v>
      </c>
      <c r="E141" s="121"/>
      <c r="F141" s="122" t="str">
        <f t="shared" si="59"/>
        <v>RMB-RSC-2019-00210</v>
      </c>
      <c r="G141" s="123" t="s">
        <v>35</v>
      </c>
      <c r="H141" s="124" t="s">
        <v>166</v>
      </c>
      <c r="I141" s="239"/>
      <c r="J141" s="81">
        <f t="shared" si="42"/>
        <v>17289.956249999999</v>
      </c>
      <c r="K141" s="177">
        <f t="shared" si="56"/>
        <v>43973</v>
      </c>
      <c r="L141" s="157">
        <v>43771</v>
      </c>
      <c r="M141" s="158">
        <v>43801</v>
      </c>
      <c r="N141" s="142">
        <v>43971</v>
      </c>
      <c r="O141" s="142">
        <v>43973</v>
      </c>
      <c r="P141" s="159"/>
      <c r="Q141" s="201" t="s">
        <v>17</v>
      </c>
      <c r="R141" s="199" t="s">
        <v>4</v>
      </c>
      <c r="S141" s="199"/>
      <c r="T141" s="199"/>
      <c r="U141" s="199"/>
      <c r="V141" s="199"/>
      <c r="W141" s="199"/>
      <c r="X141" s="185" t="s">
        <v>581</v>
      </c>
      <c r="Y141" s="173">
        <f t="shared" si="54"/>
        <v>17289.956249999999</v>
      </c>
      <c r="Z141" s="88">
        <f t="shared" si="43"/>
        <v>0</v>
      </c>
      <c r="AA141" s="89">
        <f t="shared" si="52"/>
        <v>12882.7125</v>
      </c>
      <c r="AB141" s="89">
        <f t="shared" si="53"/>
        <v>1356.075</v>
      </c>
      <c r="AC141" s="89">
        <f t="shared" si="44"/>
        <v>0</v>
      </c>
      <c r="AD141" s="89"/>
      <c r="AE141" s="89">
        <f t="shared" si="48"/>
        <v>3051.1687499999998</v>
      </c>
      <c r="AF141" s="89">
        <f t="shared" si="58"/>
        <v>17289.956249999999</v>
      </c>
      <c r="AG141" s="95">
        <f t="shared" si="49"/>
        <v>0</v>
      </c>
      <c r="AH141" s="85">
        <f>IFERROR(VLOOKUP(A141,CUSTOMERS!$A:$E,4),"")</f>
        <v>180.81</v>
      </c>
      <c r="AI141" s="86" t="str">
        <f t="shared" si="57"/>
        <v/>
      </c>
      <c r="AJ141" s="87">
        <f>IFERROR(VLOOKUP(A141,CUSTOMERS!$A:$F,5),"")</f>
        <v>0</v>
      </c>
      <c r="AK141" s="96"/>
      <c r="AL141" s="96">
        <v>9.5</v>
      </c>
      <c r="AM141" s="96">
        <v>1</v>
      </c>
      <c r="AN141" s="96"/>
      <c r="AO141" s="96">
        <v>2.25</v>
      </c>
      <c r="AP141" s="102">
        <f t="shared" si="45"/>
        <v>12.75</v>
      </c>
      <c r="AQ141" s="102">
        <f t="shared" si="55"/>
        <v>0</v>
      </c>
      <c r="AR141" s="68" t="str">
        <f>IFERROR(VLOOKUP(A141,CUSTOMERS!$A:$B,2),"")</f>
        <v>RMB</v>
      </c>
      <c r="AS141" s="68" t="str">
        <f>IFERROR(VLOOKUP(A141,CUSTOMERS!$A:$D,3),"")</f>
        <v>RSC</v>
      </c>
      <c r="AT141" s="68" t="str">
        <f>IFERROR(VLOOKUP(A141,CUSTOMERS!$A:$F,6),"")</f>
        <v>Y</v>
      </c>
      <c r="AU141" s="69">
        <f>IFERROR(VLOOKUP(A141,CUSTOMERS!$A:$E,4),"")</f>
        <v>180.81</v>
      </c>
      <c r="AV141" s="68" t="str">
        <f t="shared" si="51"/>
        <v/>
      </c>
      <c r="AX141" s="71" t="str">
        <f t="shared" si="47"/>
        <v>reason141</v>
      </c>
    </row>
    <row r="142" spans="1:50" ht="98.25" customHeight="1">
      <c r="A142" s="188" t="s">
        <v>162</v>
      </c>
      <c r="B142" s="120" t="str">
        <f t="shared" ref="B142:B205" si="60">AT142</f>
        <v>Y</v>
      </c>
      <c r="C142" s="120"/>
      <c r="D142" s="121">
        <v>204</v>
      </c>
      <c r="E142" s="121"/>
      <c r="F142" s="122" t="str">
        <f t="shared" si="59"/>
        <v>RMB-RSC-2020-00204</v>
      </c>
      <c r="G142" s="123" t="s">
        <v>35</v>
      </c>
      <c r="H142" s="124" t="s">
        <v>167</v>
      </c>
      <c r="I142" s="239"/>
      <c r="J142" s="80">
        <f t="shared" si="42"/>
        <v>0</v>
      </c>
      <c r="K142" s="177">
        <f t="shared" si="56"/>
        <v>44068</v>
      </c>
      <c r="L142" s="157">
        <v>44068</v>
      </c>
      <c r="M142" s="158"/>
      <c r="N142" s="142"/>
      <c r="O142" s="142"/>
      <c r="P142" s="159"/>
      <c r="Q142" s="201" t="s">
        <v>14</v>
      </c>
      <c r="R142" s="199" t="s">
        <v>4</v>
      </c>
      <c r="S142" s="199"/>
      <c r="T142" s="199"/>
      <c r="U142" s="199"/>
      <c r="V142" s="199"/>
      <c r="W142" s="199"/>
      <c r="X142" s="185" t="s">
        <v>406</v>
      </c>
      <c r="Y142" s="173">
        <f t="shared" si="54"/>
        <v>0</v>
      </c>
      <c r="Z142" s="83">
        <f t="shared" si="43"/>
        <v>0</v>
      </c>
      <c r="AA142" s="84">
        <f t="shared" si="52"/>
        <v>0</v>
      </c>
      <c r="AB142" s="84">
        <f t="shared" si="53"/>
        <v>0</v>
      </c>
      <c r="AC142" s="84">
        <f t="shared" si="44"/>
        <v>0</v>
      </c>
      <c r="AD142" s="84"/>
      <c r="AE142" s="84">
        <f t="shared" si="48"/>
        <v>0</v>
      </c>
      <c r="AF142" s="84">
        <f t="shared" si="58"/>
        <v>0</v>
      </c>
      <c r="AG142" s="94">
        <f t="shared" si="49"/>
        <v>0</v>
      </c>
      <c r="AH142" s="85">
        <f>IFERROR(VLOOKUP(A142,CUSTOMERS!$A:$E,4),"")</f>
        <v>180.81</v>
      </c>
      <c r="AI142" s="86" t="str">
        <f t="shared" si="57"/>
        <v/>
      </c>
      <c r="AJ142" s="87">
        <f>IFERROR(VLOOKUP(A142,CUSTOMERS!$A:$F,5),"")</f>
        <v>0</v>
      </c>
      <c r="AK142" s="96"/>
      <c r="AL142" s="96">
        <v>0</v>
      </c>
      <c r="AM142" s="96">
        <v>0</v>
      </c>
      <c r="AN142" s="96"/>
      <c r="AO142" s="96">
        <v>0</v>
      </c>
      <c r="AP142" s="102">
        <f t="shared" si="45"/>
        <v>0</v>
      </c>
      <c r="AQ142" s="102">
        <f t="shared" si="55"/>
        <v>0</v>
      </c>
      <c r="AR142" s="68" t="str">
        <f>IFERROR(VLOOKUP(A142,CUSTOMERS!$A:$B,2),"")</f>
        <v>RMB</v>
      </c>
      <c r="AS142" s="68" t="str">
        <f>IFERROR(VLOOKUP(A142,CUSTOMERS!$A:$D,3),"")</f>
        <v>RSC</v>
      </c>
      <c r="AT142" s="68" t="str">
        <f>IFERROR(VLOOKUP(A142,CUSTOMERS!$A:$F,6),"")</f>
        <v>Y</v>
      </c>
      <c r="AU142" s="69">
        <f>IFERROR(VLOOKUP(A142,CUSTOMERS!$A:$E,4),"")</f>
        <v>180.81</v>
      </c>
      <c r="AV142" s="68" t="str">
        <f t="shared" si="51"/>
        <v/>
      </c>
      <c r="AX142" s="71" t="str">
        <f t="shared" si="47"/>
        <v>reason142</v>
      </c>
    </row>
    <row r="143" spans="1:50" ht="114" customHeight="1">
      <c r="A143" s="188" t="s">
        <v>162</v>
      </c>
      <c r="B143" s="120" t="str">
        <f t="shared" si="60"/>
        <v>Y</v>
      </c>
      <c r="C143" s="120"/>
      <c r="D143" s="121"/>
      <c r="E143" s="121"/>
      <c r="F143" s="122" t="str">
        <f t="shared" si="59"/>
        <v>RMB-RSC-2020-00000</v>
      </c>
      <c r="G143" s="123" t="s">
        <v>35</v>
      </c>
      <c r="H143" s="124" t="s">
        <v>168</v>
      </c>
      <c r="I143" s="239"/>
      <c r="J143" s="80">
        <f t="shared" si="42"/>
        <v>0</v>
      </c>
      <c r="K143" s="177">
        <f t="shared" si="56"/>
        <v>44081</v>
      </c>
      <c r="L143" s="157">
        <v>44081</v>
      </c>
      <c r="M143" s="158"/>
      <c r="N143" s="142"/>
      <c r="O143" s="142"/>
      <c r="P143" s="159"/>
      <c r="Q143" s="201" t="s">
        <v>15</v>
      </c>
      <c r="R143" s="199" t="s">
        <v>4</v>
      </c>
      <c r="S143" s="199"/>
      <c r="T143" s="199"/>
      <c r="U143" s="199"/>
      <c r="V143" s="199"/>
      <c r="W143" s="199"/>
      <c r="X143" s="154"/>
      <c r="Y143" s="173">
        <f t="shared" si="54"/>
        <v>0</v>
      </c>
      <c r="Z143" s="83">
        <f t="shared" si="43"/>
        <v>0</v>
      </c>
      <c r="AA143" s="84">
        <f t="shared" si="52"/>
        <v>0</v>
      </c>
      <c r="AB143" s="84">
        <f t="shared" si="53"/>
        <v>0</v>
      </c>
      <c r="AC143" s="84">
        <f t="shared" si="44"/>
        <v>0</v>
      </c>
      <c r="AD143" s="84"/>
      <c r="AE143" s="84">
        <f t="shared" si="48"/>
        <v>0</v>
      </c>
      <c r="AF143" s="84">
        <f t="shared" si="58"/>
        <v>0</v>
      </c>
      <c r="AG143" s="94">
        <f t="shared" si="49"/>
        <v>0</v>
      </c>
      <c r="AH143" s="85">
        <f>IFERROR(VLOOKUP(A143,CUSTOMERS!$A:$E,4),"")</f>
        <v>180.81</v>
      </c>
      <c r="AI143" s="86" t="str">
        <f t="shared" si="57"/>
        <v/>
      </c>
      <c r="AJ143" s="87">
        <f>IFERROR(VLOOKUP(A143,CUSTOMERS!$A:$F,5),"")</f>
        <v>0</v>
      </c>
      <c r="AK143" s="96"/>
      <c r="AL143" s="96">
        <v>0</v>
      </c>
      <c r="AM143" s="96">
        <v>0</v>
      </c>
      <c r="AN143" s="96"/>
      <c r="AO143" s="96">
        <v>0</v>
      </c>
      <c r="AP143" s="102">
        <f t="shared" si="45"/>
        <v>0</v>
      </c>
      <c r="AQ143" s="102">
        <f t="shared" si="55"/>
        <v>0</v>
      </c>
      <c r="AR143" s="68" t="str">
        <f>IFERROR(VLOOKUP(A143,CUSTOMERS!$A:$B,2),"")</f>
        <v>RMB</v>
      </c>
      <c r="AS143" s="68" t="str">
        <f>IFERROR(VLOOKUP(A143,CUSTOMERS!$A:$D,3),"")</f>
        <v>RSC</v>
      </c>
      <c r="AT143" s="68" t="str">
        <f>IFERROR(VLOOKUP(A143,CUSTOMERS!$A:$F,6),"")</f>
        <v>Y</v>
      </c>
      <c r="AU143" s="69">
        <f>IFERROR(VLOOKUP(A143,CUSTOMERS!$A:$E,4),"")</f>
        <v>180.81</v>
      </c>
      <c r="AV143" s="68" t="str">
        <f t="shared" si="51"/>
        <v/>
      </c>
      <c r="AX143" s="71" t="str">
        <f t="shared" si="47"/>
        <v>reason143</v>
      </c>
    </row>
    <row r="144" spans="1:50" ht="98.25" customHeight="1">
      <c r="A144" s="188" t="s">
        <v>162</v>
      </c>
      <c r="B144" s="120" t="str">
        <f t="shared" si="60"/>
        <v>Y</v>
      </c>
      <c r="C144" s="120"/>
      <c r="D144" s="121"/>
      <c r="E144" s="121"/>
      <c r="F144" s="122" t="str">
        <f t="shared" si="59"/>
        <v>RMB-RSC-2020-00000</v>
      </c>
      <c r="G144" s="123" t="s">
        <v>35</v>
      </c>
      <c r="H144" s="124" t="s">
        <v>169</v>
      </c>
      <c r="I144" s="239"/>
      <c r="J144" s="80">
        <f t="shared" si="42"/>
        <v>0</v>
      </c>
      <c r="K144" s="177">
        <f t="shared" si="56"/>
        <v>44109</v>
      </c>
      <c r="L144" s="157">
        <v>44109</v>
      </c>
      <c r="M144" s="158"/>
      <c r="N144" s="142"/>
      <c r="O144" s="142"/>
      <c r="P144" s="159"/>
      <c r="Q144" s="201" t="s">
        <v>14</v>
      </c>
      <c r="R144" s="199" t="s">
        <v>4</v>
      </c>
      <c r="S144" s="199"/>
      <c r="T144" s="199"/>
      <c r="U144" s="199"/>
      <c r="V144" s="199"/>
      <c r="W144" s="199"/>
      <c r="X144" s="154"/>
      <c r="Y144" s="173">
        <f t="shared" si="54"/>
        <v>0</v>
      </c>
      <c r="Z144" s="83">
        <f t="shared" si="43"/>
        <v>0</v>
      </c>
      <c r="AA144" s="84">
        <f t="shared" si="52"/>
        <v>0</v>
      </c>
      <c r="AB144" s="84">
        <f t="shared" si="53"/>
        <v>0</v>
      </c>
      <c r="AC144" s="84">
        <f t="shared" si="44"/>
        <v>0</v>
      </c>
      <c r="AD144" s="84"/>
      <c r="AE144" s="84">
        <f t="shared" si="48"/>
        <v>0</v>
      </c>
      <c r="AF144" s="84">
        <f t="shared" si="58"/>
        <v>0</v>
      </c>
      <c r="AG144" s="94">
        <f t="shared" si="49"/>
        <v>0</v>
      </c>
      <c r="AH144" s="85">
        <f>IFERROR(VLOOKUP(A144,CUSTOMERS!$A:$E,4),"")</f>
        <v>180.81</v>
      </c>
      <c r="AI144" s="86" t="str">
        <f t="shared" si="57"/>
        <v/>
      </c>
      <c r="AJ144" s="87">
        <f>IFERROR(VLOOKUP(A144,CUSTOMERS!$A:$F,5),"")</f>
        <v>0</v>
      </c>
      <c r="AK144" s="96"/>
      <c r="AL144" s="96">
        <v>0</v>
      </c>
      <c r="AM144" s="96">
        <v>0</v>
      </c>
      <c r="AN144" s="96"/>
      <c r="AO144" s="96">
        <v>0</v>
      </c>
      <c r="AP144" s="102">
        <f t="shared" si="45"/>
        <v>0</v>
      </c>
      <c r="AQ144" s="102">
        <f t="shared" si="55"/>
        <v>0</v>
      </c>
      <c r="AR144" s="68" t="str">
        <f>IFERROR(VLOOKUP(A144,CUSTOMERS!$A:$B,2),"")</f>
        <v>RMB</v>
      </c>
      <c r="AS144" s="68" t="str">
        <f>IFERROR(VLOOKUP(A144,CUSTOMERS!$A:$D,3),"")</f>
        <v>RSC</v>
      </c>
      <c r="AT144" s="68" t="str">
        <f>IFERROR(VLOOKUP(A144,CUSTOMERS!$A:$F,6),"")</f>
        <v>Y</v>
      </c>
      <c r="AU144" s="69">
        <f>IFERROR(VLOOKUP(A144,CUSTOMERS!$A:$E,4),"")</f>
        <v>180.81</v>
      </c>
      <c r="AV144" s="68" t="str">
        <f t="shared" si="51"/>
        <v/>
      </c>
      <c r="AX144" s="71" t="str">
        <f t="shared" si="47"/>
        <v>reason144</v>
      </c>
    </row>
    <row r="145" spans="1:50" ht="50.25" customHeight="1">
      <c r="A145" s="188" t="s">
        <v>162</v>
      </c>
      <c r="B145" s="120" t="str">
        <f t="shared" si="60"/>
        <v>Y</v>
      </c>
      <c r="C145" s="120"/>
      <c r="D145" s="121">
        <v>218</v>
      </c>
      <c r="E145" s="121"/>
      <c r="F145" s="122" t="str">
        <f t="shared" si="59"/>
        <v>RMB-RSC-2020-00218</v>
      </c>
      <c r="G145" s="123" t="s">
        <v>116</v>
      </c>
      <c r="H145" s="124" t="s">
        <v>170</v>
      </c>
      <c r="I145" s="239"/>
      <c r="J145" s="81">
        <f t="shared" si="42"/>
        <v>85365</v>
      </c>
      <c r="K145" s="177">
        <f t="shared" si="56"/>
        <v>44034</v>
      </c>
      <c r="L145" s="157">
        <v>43885</v>
      </c>
      <c r="M145" s="158">
        <v>44028</v>
      </c>
      <c r="N145" s="142">
        <v>44034</v>
      </c>
      <c r="O145" s="142">
        <v>43973</v>
      </c>
      <c r="P145" s="159">
        <v>43973</v>
      </c>
      <c r="Q145" s="201" t="s">
        <v>6</v>
      </c>
      <c r="R145" s="199" t="s">
        <v>4</v>
      </c>
      <c r="S145" s="199"/>
      <c r="T145" s="199"/>
      <c r="U145" s="199"/>
      <c r="V145" s="199"/>
      <c r="W145" s="199"/>
      <c r="X145" s="156" t="s">
        <v>582</v>
      </c>
      <c r="Y145" s="173">
        <f t="shared" si="54"/>
        <v>85365</v>
      </c>
      <c r="Z145" s="83">
        <f t="shared" si="43"/>
        <v>0</v>
      </c>
      <c r="AA145" s="84">
        <f t="shared" si="52"/>
        <v>0</v>
      </c>
      <c r="AB145" s="84">
        <f t="shared" si="53"/>
        <v>0</v>
      </c>
      <c r="AC145" s="84">
        <f t="shared" si="44"/>
        <v>0</v>
      </c>
      <c r="AD145" s="84"/>
      <c r="AE145" s="84">
        <f t="shared" si="48"/>
        <v>0</v>
      </c>
      <c r="AF145" s="179">
        <v>85365</v>
      </c>
      <c r="AG145" s="179">
        <f t="shared" si="49"/>
        <v>0</v>
      </c>
      <c r="AH145" s="85">
        <f>IFERROR(VLOOKUP(A145,CUSTOMERS!$A:$E,4),"")</f>
        <v>180.81</v>
      </c>
      <c r="AI145" s="86" t="str">
        <f t="shared" si="57"/>
        <v/>
      </c>
      <c r="AJ145" s="87">
        <f>IFERROR(VLOOKUP(A145,CUSTOMERS!$A:$F,5),"")</f>
        <v>0</v>
      </c>
      <c r="AK145" s="96"/>
      <c r="AL145" s="96">
        <v>0</v>
      </c>
      <c r="AM145" s="96">
        <v>0</v>
      </c>
      <c r="AN145" s="96"/>
      <c r="AO145" s="96">
        <v>0</v>
      </c>
      <c r="AP145" s="102">
        <f t="shared" si="45"/>
        <v>0</v>
      </c>
      <c r="AQ145" s="102">
        <f t="shared" si="55"/>
        <v>0</v>
      </c>
      <c r="AR145" s="68" t="str">
        <f>IFERROR(VLOOKUP(A145,CUSTOMERS!$A:$B,2),"")</f>
        <v>RMB</v>
      </c>
      <c r="AS145" s="68" t="str">
        <f>IFERROR(VLOOKUP(A145,CUSTOMERS!$A:$D,3),"")</f>
        <v>RSC</v>
      </c>
      <c r="AT145" s="68" t="str">
        <f>IFERROR(VLOOKUP(A145,CUSTOMERS!$A:$F,6),"")</f>
        <v>Y</v>
      </c>
      <c r="AU145" s="69">
        <f>IFERROR(VLOOKUP(A145,CUSTOMERS!$A:$E,4),"")</f>
        <v>180.81</v>
      </c>
      <c r="AV145" s="68" t="str">
        <f t="shared" si="51"/>
        <v/>
      </c>
      <c r="AX145" s="71" t="str">
        <f>"reason"&amp;ROW()</f>
        <v>reason145</v>
      </c>
    </row>
    <row r="146" spans="1:50" ht="50.25" customHeight="1">
      <c r="A146" s="188" t="s">
        <v>162</v>
      </c>
      <c r="B146" s="120" t="str">
        <f t="shared" si="60"/>
        <v>Y</v>
      </c>
      <c r="C146" s="120"/>
      <c r="D146" s="121">
        <v>219</v>
      </c>
      <c r="E146" s="121"/>
      <c r="F146" s="122" t="str">
        <f t="shared" si="59"/>
        <v>RMB-RSC-2020-00219</v>
      </c>
      <c r="G146" s="123" t="s">
        <v>116</v>
      </c>
      <c r="H146" s="124" t="s">
        <v>171</v>
      </c>
      <c r="I146" s="239"/>
      <c r="J146" s="81">
        <f t="shared" si="42"/>
        <v>7797.4312500000005</v>
      </c>
      <c r="K146" s="177">
        <f t="shared" si="56"/>
        <v>44061</v>
      </c>
      <c r="L146" s="157">
        <v>44042</v>
      </c>
      <c r="M146" s="158">
        <v>44029</v>
      </c>
      <c r="N146" s="142">
        <v>44030</v>
      </c>
      <c r="O146" s="142"/>
      <c r="P146" s="159">
        <v>44061</v>
      </c>
      <c r="Q146" s="201" t="s">
        <v>17</v>
      </c>
      <c r="R146" s="199" t="s">
        <v>4</v>
      </c>
      <c r="S146" s="199"/>
      <c r="T146" s="199"/>
      <c r="U146" s="199"/>
      <c r="V146" s="199"/>
      <c r="W146" s="199"/>
      <c r="X146" s="156" t="s">
        <v>583</v>
      </c>
      <c r="Y146" s="173">
        <f t="shared" si="54"/>
        <v>7797.4312500000005</v>
      </c>
      <c r="Z146" s="83">
        <f t="shared" si="43"/>
        <v>0</v>
      </c>
      <c r="AA146" s="84">
        <f t="shared" si="52"/>
        <v>5763.3187500000004</v>
      </c>
      <c r="AB146" s="84">
        <f t="shared" si="53"/>
        <v>678.03750000000002</v>
      </c>
      <c r="AC146" s="84">
        <f t="shared" si="44"/>
        <v>0</v>
      </c>
      <c r="AD146" s="84"/>
      <c r="AE146" s="89">
        <f t="shared" si="48"/>
        <v>1356.075</v>
      </c>
      <c r="AF146" s="179">
        <f t="shared" ref="AF146:AF209" si="61">IFERROR(SUM(Z146:AE146),"")</f>
        <v>7797.4312500000005</v>
      </c>
      <c r="AG146" s="179">
        <f t="shared" si="49"/>
        <v>0</v>
      </c>
      <c r="AH146" s="85">
        <f>IFERROR(VLOOKUP(A146,CUSTOMERS!$A:$E,4),"")</f>
        <v>180.81</v>
      </c>
      <c r="AI146" s="86" t="str">
        <f t="shared" si="57"/>
        <v/>
      </c>
      <c r="AJ146" s="87">
        <f>IFERROR(VLOOKUP(A146,CUSTOMERS!$A:$F,5),"")</f>
        <v>0</v>
      </c>
      <c r="AK146" s="96"/>
      <c r="AL146" s="96">
        <v>4.25</v>
      </c>
      <c r="AM146" s="96">
        <v>0.5</v>
      </c>
      <c r="AN146" s="96"/>
      <c r="AO146" s="96">
        <v>1</v>
      </c>
      <c r="AP146" s="102">
        <f t="shared" si="45"/>
        <v>5.75</v>
      </c>
      <c r="AQ146" s="102">
        <f t="shared" si="55"/>
        <v>0</v>
      </c>
      <c r="AR146" s="68" t="str">
        <f>IFERROR(VLOOKUP(A146,CUSTOMERS!$A:$B,2),"")</f>
        <v>RMB</v>
      </c>
      <c r="AS146" s="68" t="str">
        <f>IFERROR(VLOOKUP(A146,CUSTOMERS!$A:$D,3),"")</f>
        <v>RSC</v>
      </c>
      <c r="AT146" s="68" t="str">
        <f>IFERROR(VLOOKUP(A146,CUSTOMERS!$A:$F,6),"")</f>
        <v>Y</v>
      </c>
      <c r="AU146" s="69">
        <f>IFERROR(VLOOKUP(A146,CUSTOMERS!$A:$E,4),"")</f>
        <v>180.81</v>
      </c>
      <c r="AV146" s="68" t="str">
        <f t="shared" si="51"/>
        <v/>
      </c>
      <c r="AX146" s="71" t="str">
        <f t="shared" si="47"/>
        <v>reason146</v>
      </c>
    </row>
    <row r="147" spans="1:50" ht="50.25" customHeight="1">
      <c r="A147" s="188" t="s">
        <v>162</v>
      </c>
      <c r="B147" s="120" t="str">
        <f t="shared" si="60"/>
        <v>Y</v>
      </c>
      <c r="C147" s="120"/>
      <c r="D147" s="121">
        <v>220</v>
      </c>
      <c r="E147" s="121"/>
      <c r="F147" s="122" t="str">
        <f t="shared" si="59"/>
        <v>RMB-RSC-2021-00220</v>
      </c>
      <c r="G147" s="123" t="s">
        <v>116</v>
      </c>
      <c r="H147" s="124" t="s">
        <v>172</v>
      </c>
      <c r="I147" s="239"/>
      <c r="J147" s="81">
        <f t="shared" ref="J147:J210" si="62">Y147</f>
        <v>10509.581250000001</v>
      </c>
      <c r="K147" s="177">
        <f t="shared" si="56"/>
        <v>44292</v>
      </c>
      <c r="L147" s="157">
        <v>44292</v>
      </c>
      <c r="M147" s="158">
        <v>44292</v>
      </c>
      <c r="N147" s="142">
        <v>44292</v>
      </c>
      <c r="O147" s="142"/>
      <c r="P147" s="159">
        <v>44292</v>
      </c>
      <c r="Q147" s="201" t="s">
        <v>17</v>
      </c>
      <c r="R147" s="199" t="s">
        <v>4</v>
      </c>
      <c r="S147" s="199"/>
      <c r="T147" s="199"/>
      <c r="U147" s="199"/>
      <c r="V147" s="199"/>
      <c r="W147" s="199"/>
      <c r="X147" s="156" t="s">
        <v>583</v>
      </c>
      <c r="Y147" s="173">
        <f t="shared" si="54"/>
        <v>10509.581250000001</v>
      </c>
      <c r="Z147" s="83">
        <f t="shared" ref="Z147:Z210" si="63">IFERROR((AK147*AH147)*7.5,"")</f>
        <v>0</v>
      </c>
      <c r="AA147" s="84">
        <f t="shared" si="52"/>
        <v>8136.4500000000007</v>
      </c>
      <c r="AB147" s="84">
        <f t="shared" si="53"/>
        <v>678.03750000000002</v>
      </c>
      <c r="AC147" s="84">
        <f t="shared" ref="AC147:AC210" si="64">IFERROR((AN147*AH147)*7.5,"")</f>
        <v>0</v>
      </c>
      <c r="AD147" s="84"/>
      <c r="AE147" s="89">
        <f t="shared" si="48"/>
        <v>1695.09375</v>
      </c>
      <c r="AF147" s="179">
        <f t="shared" si="61"/>
        <v>10509.581250000001</v>
      </c>
      <c r="AG147" s="179">
        <f t="shared" si="49"/>
        <v>0</v>
      </c>
      <c r="AH147" s="179">
        <f>IFERROR(VLOOKUP(A147,CUSTOMERS!$A:$E,4),"")</f>
        <v>180.81</v>
      </c>
      <c r="AI147" s="86" t="str">
        <f t="shared" si="57"/>
        <v/>
      </c>
      <c r="AJ147" s="87">
        <f>IFERROR(VLOOKUP(A147,CUSTOMERS!$A:$F,5),"")</f>
        <v>0</v>
      </c>
      <c r="AK147" s="96"/>
      <c r="AL147" s="96">
        <v>6</v>
      </c>
      <c r="AM147" s="96">
        <v>0.5</v>
      </c>
      <c r="AN147" s="96"/>
      <c r="AO147" s="96">
        <v>1.25</v>
      </c>
      <c r="AP147" s="102">
        <f t="shared" ref="AP147:AP210" si="65">SUM(AK147:AO147)</f>
        <v>7.75</v>
      </c>
      <c r="AQ147" s="102">
        <f t="shared" si="55"/>
        <v>0</v>
      </c>
      <c r="AR147" s="68" t="str">
        <f>IFERROR(VLOOKUP(A147,CUSTOMERS!$A:$B,2),"")</f>
        <v>RMB</v>
      </c>
      <c r="AS147" s="68" t="str">
        <f>IFERROR(VLOOKUP(A147,CUSTOMERS!$A:$D,3),"")</f>
        <v>RSC</v>
      </c>
      <c r="AT147" s="68" t="str">
        <f>IFERROR(VLOOKUP(A147,CUSTOMERS!$A:$F,6),"")</f>
        <v>Y</v>
      </c>
      <c r="AU147" s="69">
        <f>IFERROR(VLOOKUP(A147,CUSTOMERS!$A:$E,4),"")</f>
        <v>180.81</v>
      </c>
      <c r="AV147" s="68" t="str">
        <f t="shared" si="51"/>
        <v/>
      </c>
      <c r="AX147" s="71" t="str">
        <f t="shared" si="47"/>
        <v>reason147</v>
      </c>
    </row>
    <row r="148" spans="1:50" ht="50.25" hidden="1" customHeight="1">
      <c r="A148" s="188" t="s">
        <v>299</v>
      </c>
      <c r="B148" s="120" t="str">
        <f t="shared" si="60"/>
        <v>Y</v>
      </c>
      <c r="C148" s="120"/>
      <c r="D148" s="121">
        <v>18</v>
      </c>
      <c r="E148" s="121"/>
      <c r="F148" s="122" t="str">
        <f t="shared" si="59"/>
        <v>RCB-RSC-2020-00018</v>
      </c>
      <c r="G148" s="123" t="s">
        <v>100</v>
      </c>
      <c r="H148" s="124" t="s">
        <v>584</v>
      </c>
      <c r="I148" s="239"/>
      <c r="J148" s="80">
        <f t="shared" si="62"/>
        <v>0</v>
      </c>
      <c r="K148" s="177">
        <f t="shared" si="56"/>
        <v>44068</v>
      </c>
      <c r="L148" s="157">
        <v>44068</v>
      </c>
      <c r="M148" s="158"/>
      <c r="N148" s="142"/>
      <c r="O148" s="142"/>
      <c r="P148" s="159"/>
      <c r="Q148" s="201" t="s">
        <v>14</v>
      </c>
      <c r="R148" s="199" t="s">
        <v>4</v>
      </c>
      <c r="S148" s="199"/>
      <c r="T148" s="199"/>
      <c r="U148" s="199"/>
      <c r="V148" s="199"/>
      <c r="W148" s="199"/>
      <c r="X148" s="185" t="s">
        <v>406</v>
      </c>
      <c r="Y148" s="173">
        <f t="shared" si="54"/>
        <v>0</v>
      </c>
      <c r="Z148" s="83">
        <f t="shared" si="63"/>
        <v>0</v>
      </c>
      <c r="AA148" s="84">
        <f t="shared" si="52"/>
        <v>0</v>
      </c>
      <c r="AB148" s="84">
        <f t="shared" si="53"/>
        <v>0</v>
      </c>
      <c r="AC148" s="84">
        <f t="shared" si="64"/>
        <v>0</v>
      </c>
      <c r="AD148" s="84"/>
      <c r="AE148" s="84">
        <f t="shared" si="48"/>
        <v>0</v>
      </c>
      <c r="AF148" s="84">
        <f t="shared" si="61"/>
        <v>0</v>
      </c>
      <c r="AG148" s="179">
        <f t="shared" si="49"/>
        <v>0</v>
      </c>
      <c r="AH148" s="179">
        <f>IFERROR(VLOOKUP(A148,CUSTOMERS!$A:$E,4),"")</f>
        <v>0</v>
      </c>
      <c r="AI148" s="86" t="str">
        <f t="shared" si="57"/>
        <v/>
      </c>
      <c r="AJ148" s="87">
        <f>IFERROR(VLOOKUP(A148,CUSTOMERS!$A:$F,5),"")</f>
        <v>0.2</v>
      </c>
      <c r="AK148" s="96"/>
      <c r="AL148" s="96">
        <v>0</v>
      </c>
      <c r="AM148" s="96">
        <v>0</v>
      </c>
      <c r="AN148" s="96"/>
      <c r="AO148" s="96">
        <v>0</v>
      </c>
      <c r="AP148" s="102">
        <f t="shared" si="65"/>
        <v>0</v>
      </c>
      <c r="AQ148" s="102">
        <f t="shared" si="55"/>
        <v>0</v>
      </c>
      <c r="AR148" s="68" t="str">
        <f>IFERROR(VLOOKUP(A148,CUSTOMERS!$A:$B,2),"")</f>
        <v>RCB</v>
      </c>
      <c r="AS148" s="68" t="str">
        <f>IFERROR(VLOOKUP(A148,CUSTOMERS!$A:$D,3),"")</f>
        <v>RSC</v>
      </c>
      <c r="AT148" s="68" t="str">
        <f>IFERROR(VLOOKUP(A148,CUSTOMERS!$A:$F,6),"")</f>
        <v>Y</v>
      </c>
      <c r="AU148" s="69">
        <f>IFERROR(VLOOKUP(A148,CUSTOMERS!$A:$E,4),"")</f>
        <v>0</v>
      </c>
      <c r="AV148" s="68" t="str">
        <f t="shared" si="51"/>
        <v/>
      </c>
      <c r="AX148" s="71" t="str">
        <f t="shared" si="47"/>
        <v>reason148</v>
      </c>
    </row>
    <row r="149" spans="1:50" ht="50.25" hidden="1" customHeight="1">
      <c r="A149" s="188" t="s">
        <v>173</v>
      </c>
      <c r="B149" s="120" t="str">
        <f t="shared" si="60"/>
        <v>Y</v>
      </c>
      <c r="C149" s="120"/>
      <c r="D149" s="121"/>
      <c r="E149" s="121"/>
      <c r="F149" s="122" t="str">
        <f t="shared" si="59"/>
        <v>ZTH-RSC-2020-00000</v>
      </c>
      <c r="G149" s="123" t="s">
        <v>339</v>
      </c>
      <c r="H149" s="124" t="s">
        <v>585</v>
      </c>
      <c r="I149" s="239"/>
      <c r="J149" s="81">
        <f t="shared" si="62"/>
        <v>0</v>
      </c>
      <c r="K149" s="177">
        <f t="shared" si="56"/>
        <v>43969</v>
      </c>
      <c r="L149" s="157">
        <v>43969</v>
      </c>
      <c r="M149" s="158"/>
      <c r="N149" s="142"/>
      <c r="O149" s="142"/>
      <c r="P149" s="159"/>
      <c r="Q149" s="201" t="s">
        <v>18</v>
      </c>
      <c r="R149" s="199" t="s">
        <v>4</v>
      </c>
      <c r="S149" s="199"/>
      <c r="T149" s="199"/>
      <c r="U149" s="199"/>
      <c r="V149" s="199"/>
      <c r="W149" s="199"/>
      <c r="X149" s="185" t="s">
        <v>586</v>
      </c>
      <c r="Y149" s="173">
        <f t="shared" si="54"/>
        <v>0</v>
      </c>
      <c r="Z149" s="83">
        <f t="shared" si="63"/>
        <v>0</v>
      </c>
      <c r="AA149" s="84">
        <f t="shared" si="52"/>
        <v>0</v>
      </c>
      <c r="AB149" s="84">
        <f t="shared" si="53"/>
        <v>0</v>
      </c>
      <c r="AC149" s="84">
        <f t="shared" si="64"/>
        <v>0</v>
      </c>
      <c r="AD149" s="84"/>
      <c r="AE149" s="84">
        <f t="shared" si="48"/>
        <v>0</v>
      </c>
      <c r="AF149" s="89">
        <f t="shared" si="61"/>
        <v>0</v>
      </c>
      <c r="AG149" s="179">
        <f t="shared" si="49"/>
        <v>0</v>
      </c>
      <c r="AH149" s="179">
        <f>IFERROR(VLOOKUP(A149,CUSTOMERS!$A:$E,4),"")</f>
        <v>211.3</v>
      </c>
      <c r="AI149" s="86" t="str">
        <f t="shared" si="57"/>
        <v/>
      </c>
      <c r="AJ149" s="87">
        <f>IFERROR(VLOOKUP(A149,CUSTOMERS!$A:$F,5),"")</f>
        <v>0.2</v>
      </c>
      <c r="AK149" s="96"/>
      <c r="AL149" s="96">
        <v>0</v>
      </c>
      <c r="AM149" s="96">
        <v>0</v>
      </c>
      <c r="AN149" s="96"/>
      <c r="AO149" s="96">
        <v>0</v>
      </c>
      <c r="AP149" s="102">
        <f t="shared" si="65"/>
        <v>0</v>
      </c>
      <c r="AQ149" s="102">
        <f t="shared" si="55"/>
        <v>0</v>
      </c>
      <c r="AR149" s="68" t="str">
        <f>IFERROR(VLOOKUP(A149,CUSTOMERS!$A:$B,2),"")</f>
        <v>ZTH</v>
      </c>
      <c r="AS149" s="68" t="str">
        <f>IFERROR(VLOOKUP(A149,CUSTOMERS!$A:$D,3),"")</f>
        <v>RSC</v>
      </c>
      <c r="AT149" s="68" t="str">
        <f>IFERROR(VLOOKUP(A149,CUSTOMERS!$A:$F,6),"")</f>
        <v>Y</v>
      </c>
      <c r="AU149" s="69">
        <f>IFERROR(VLOOKUP(A149,CUSTOMERS!$A:$E,4),"")</f>
        <v>211.3</v>
      </c>
      <c r="AV149" s="68" t="str">
        <f t="shared" si="51"/>
        <v/>
      </c>
      <c r="AX149" s="71" t="str">
        <f t="shared" si="47"/>
        <v>reason149</v>
      </c>
    </row>
    <row r="150" spans="1:50" ht="50.25" customHeight="1">
      <c r="A150" s="188" t="s">
        <v>173</v>
      </c>
      <c r="B150" s="120" t="str">
        <f t="shared" si="60"/>
        <v>Y</v>
      </c>
      <c r="C150" s="120"/>
      <c r="D150" s="121">
        <v>48</v>
      </c>
      <c r="E150" s="121"/>
      <c r="F150" s="122" t="str">
        <f t="shared" si="59"/>
        <v>ZTH-RSC-2020-00048</v>
      </c>
      <c r="G150" s="123" t="s">
        <v>35</v>
      </c>
      <c r="H150" s="124" t="s">
        <v>174</v>
      </c>
      <c r="I150" s="239"/>
      <c r="J150" s="81">
        <f t="shared" si="62"/>
        <v>31530.186000000002</v>
      </c>
      <c r="K150" s="177">
        <f t="shared" si="56"/>
        <v>43971</v>
      </c>
      <c r="L150" s="141">
        <v>43971</v>
      </c>
      <c r="M150" s="142"/>
      <c r="N150" s="142"/>
      <c r="O150" s="142"/>
      <c r="P150" s="142"/>
      <c r="Q150" s="199" t="s">
        <v>18</v>
      </c>
      <c r="R150" s="199" t="s">
        <v>4</v>
      </c>
      <c r="S150" s="199"/>
      <c r="T150" s="199"/>
      <c r="U150" s="199"/>
      <c r="V150" s="199"/>
      <c r="W150" s="199"/>
      <c r="X150" s="143" t="s">
        <v>587</v>
      </c>
      <c r="Y150" s="173">
        <f t="shared" si="54"/>
        <v>31530.186000000002</v>
      </c>
      <c r="Z150" s="83">
        <f t="shared" si="63"/>
        <v>0</v>
      </c>
      <c r="AA150" s="84">
        <f t="shared" si="52"/>
        <v>22313.280000000002</v>
      </c>
      <c r="AB150" s="84">
        <f t="shared" si="53"/>
        <v>522.96750000000009</v>
      </c>
      <c r="AC150" s="84">
        <f t="shared" si="64"/>
        <v>0</v>
      </c>
      <c r="AD150" s="84"/>
      <c r="AE150" s="84">
        <f t="shared" si="48"/>
        <v>3438.9075000000003</v>
      </c>
      <c r="AF150" s="89">
        <f t="shared" si="61"/>
        <v>26275.155000000002</v>
      </c>
      <c r="AG150" s="94">
        <f t="shared" si="49"/>
        <v>5255.0309999999999</v>
      </c>
      <c r="AH150" s="85">
        <f>IFERROR(VLOOKUP(A150,CUSTOMERS!$A:$E,4),"")</f>
        <v>211.3</v>
      </c>
      <c r="AI150" s="86" t="str">
        <f t="shared" si="57"/>
        <v/>
      </c>
      <c r="AJ150" s="87">
        <f>IFERROR(VLOOKUP(A150,CUSTOMERS!$A:$F,5),"")</f>
        <v>0.2</v>
      </c>
      <c r="AK150" s="96"/>
      <c r="AL150" s="96">
        <v>14.08</v>
      </c>
      <c r="AM150" s="96">
        <v>0.33</v>
      </c>
      <c r="AN150" s="96"/>
      <c r="AO150" s="96">
        <v>2.17</v>
      </c>
      <c r="AP150" s="102">
        <f t="shared" si="65"/>
        <v>16.579999999999998</v>
      </c>
      <c r="AQ150" s="102">
        <f t="shared" si="55"/>
        <v>3.3159999999999998</v>
      </c>
      <c r="AR150" s="68" t="str">
        <f>IFERROR(VLOOKUP(A150,CUSTOMERS!$A:$B,2),"")</f>
        <v>ZTH</v>
      </c>
      <c r="AS150" s="68" t="str">
        <f>IFERROR(VLOOKUP(A150,CUSTOMERS!$A:$D,3),"")</f>
        <v>RSC</v>
      </c>
      <c r="AT150" s="68" t="str">
        <f>IFERROR(VLOOKUP(A150,CUSTOMERS!$A:$F,6),"")</f>
        <v>Y</v>
      </c>
      <c r="AU150" s="69">
        <f>IFERROR(VLOOKUP(A150,CUSTOMERS!$A:$E,4),"")</f>
        <v>211.3</v>
      </c>
      <c r="AV150" s="68" t="str">
        <f t="shared" si="51"/>
        <v/>
      </c>
      <c r="AW150" s="70" t="str">
        <f>"descr"&amp;ROW()</f>
        <v>descr150</v>
      </c>
      <c r="AX150" s="71" t="str">
        <f>"reason"&amp;ROW()</f>
        <v>reason150</v>
      </c>
    </row>
    <row r="151" spans="1:50" ht="50.25" hidden="1" customHeight="1">
      <c r="A151" s="188" t="s">
        <v>173</v>
      </c>
      <c r="B151" s="120" t="str">
        <f t="shared" si="60"/>
        <v>Y</v>
      </c>
      <c r="C151" s="120"/>
      <c r="D151" s="121">
        <v>45</v>
      </c>
      <c r="E151" s="121"/>
      <c r="F151" s="122" t="str">
        <f t="shared" si="59"/>
        <v>ZTH-RSC-2020-00045</v>
      </c>
      <c r="G151" s="123" t="s">
        <v>100</v>
      </c>
      <c r="H151" s="124" t="s">
        <v>175</v>
      </c>
      <c r="I151" s="239"/>
      <c r="J151" s="80">
        <f t="shared" si="62"/>
        <v>0</v>
      </c>
      <c r="K151" s="177">
        <f t="shared" si="56"/>
        <v>44068</v>
      </c>
      <c r="L151" s="157">
        <v>44068</v>
      </c>
      <c r="M151" s="142"/>
      <c r="N151" s="142"/>
      <c r="O151" s="142"/>
      <c r="P151" s="142"/>
      <c r="Q151" s="199" t="s">
        <v>18</v>
      </c>
      <c r="R151" s="199" t="s">
        <v>4</v>
      </c>
      <c r="S151" s="199"/>
      <c r="T151" s="199"/>
      <c r="U151" s="199"/>
      <c r="V151" s="199"/>
      <c r="W151" s="199"/>
      <c r="X151" s="143" t="s">
        <v>588</v>
      </c>
      <c r="Y151" s="173">
        <f t="shared" si="54"/>
        <v>0</v>
      </c>
      <c r="Z151" s="83">
        <f t="shared" si="63"/>
        <v>0</v>
      </c>
      <c r="AA151" s="84">
        <f t="shared" si="52"/>
        <v>0</v>
      </c>
      <c r="AB151" s="84">
        <f t="shared" si="53"/>
        <v>0</v>
      </c>
      <c r="AC151" s="84">
        <f t="shared" si="64"/>
        <v>0</v>
      </c>
      <c r="AD151" s="84"/>
      <c r="AE151" s="84">
        <f t="shared" si="48"/>
        <v>0</v>
      </c>
      <c r="AF151" s="84">
        <f t="shared" si="61"/>
        <v>0</v>
      </c>
      <c r="AG151" s="94">
        <f t="shared" si="49"/>
        <v>0</v>
      </c>
      <c r="AH151" s="85">
        <f>IFERROR(VLOOKUP(A151,CUSTOMERS!$A:$E,4),"")</f>
        <v>211.3</v>
      </c>
      <c r="AI151" s="86" t="str">
        <f t="shared" si="57"/>
        <v/>
      </c>
      <c r="AJ151" s="87">
        <f>IFERROR(VLOOKUP(A151,CUSTOMERS!$A:$F,5),"")</f>
        <v>0.2</v>
      </c>
      <c r="AK151" s="96"/>
      <c r="AL151" s="96">
        <v>0</v>
      </c>
      <c r="AM151" s="96">
        <v>0</v>
      </c>
      <c r="AN151" s="96"/>
      <c r="AO151" s="96">
        <v>0</v>
      </c>
      <c r="AP151" s="102">
        <f t="shared" si="65"/>
        <v>0</v>
      </c>
      <c r="AQ151" s="102">
        <f t="shared" si="55"/>
        <v>0</v>
      </c>
      <c r="AR151" s="68" t="str">
        <f>IFERROR(VLOOKUP(A151,CUSTOMERS!$A:$B,2),"")</f>
        <v>ZTH</v>
      </c>
      <c r="AS151" s="68" t="str">
        <f>IFERROR(VLOOKUP(A151,CUSTOMERS!$A:$D,3),"")</f>
        <v>RSC</v>
      </c>
      <c r="AT151" s="68" t="str">
        <f>IFERROR(VLOOKUP(A151,CUSTOMERS!$A:$F,6),"")</f>
        <v>Y</v>
      </c>
      <c r="AU151" s="69">
        <f>IFERROR(VLOOKUP(A151,CUSTOMERS!$A:$E,4),"")</f>
        <v>211.3</v>
      </c>
      <c r="AV151" s="68" t="str">
        <f t="shared" si="51"/>
        <v/>
      </c>
      <c r="AW151" s="70" t="str">
        <f>"descr"&amp;ROW()</f>
        <v>descr151</v>
      </c>
      <c r="AX151" s="71" t="str">
        <f>"reason"&amp;ROW()</f>
        <v>reason151</v>
      </c>
    </row>
    <row r="152" spans="1:50" ht="50.25" customHeight="1">
      <c r="A152" s="188" t="s">
        <v>173</v>
      </c>
      <c r="B152" s="120" t="str">
        <f t="shared" si="60"/>
        <v>Y</v>
      </c>
      <c r="C152" s="120"/>
      <c r="D152" s="121">
        <v>52</v>
      </c>
      <c r="E152" s="121"/>
      <c r="F152" s="122" t="str">
        <f t="shared" si="59"/>
        <v>ZTH-RSC-2020-00052</v>
      </c>
      <c r="G152" s="123" t="s">
        <v>103</v>
      </c>
      <c r="H152" s="124" t="s">
        <v>176</v>
      </c>
      <c r="I152" s="239"/>
      <c r="J152" s="80">
        <f t="shared" si="62"/>
        <v>0</v>
      </c>
      <c r="K152" s="177">
        <f t="shared" si="56"/>
        <v>44068</v>
      </c>
      <c r="L152" s="141">
        <v>44068</v>
      </c>
      <c r="M152" s="142"/>
      <c r="N152" s="142"/>
      <c r="O152" s="142"/>
      <c r="P152" s="142"/>
      <c r="Q152" s="199" t="s">
        <v>15</v>
      </c>
      <c r="R152" s="199" t="s">
        <v>4</v>
      </c>
      <c r="S152" s="199"/>
      <c r="T152" s="199"/>
      <c r="U152" s="199"/>
      <c r="V152" s="199"/>
      <c r="W152" s="199"/>
      <c r="X152" s="143" t="s">
        <v>406</v>
      </c>
      <c r="Y152" s="173">
        <f t="shared" si="54"/>
        <v>0</v>
      </c>
      <c r="Z152" s="83">
        <f t="shared" si="63"/>
        <v>0</v>
      </c>
      <c r="AA152" s="84">
        <f t="shared" si="52"/>
        <v>0</v>
      </c>
      <c r="AB152" s="84">
        <f t="shared" si="53"/>
        <v>0</v>
      </c>
      <c r="AC152" s="84">
        <f t="shared" si="64"/>
        <v>0</v>
      </c>
      <c r="AD152" s="84"/>
      <c r="AE152" s="84">
        <f t="shared" si="48"/>
        <v>0</v>
      </c>
      <c r="AF152" s="84">
        <f t="shared" si="61"/>
        <v>0</v>
      </c>
      <c r="AG152" s="94">
        <f t="shared" si="49"/>
        <v>0</v>
      </c>
      <c r="AH152" s="85">
        <f>IFERROR(VLOOKUP(A152,CUSTOMERS!$A:$E,4),"")</f>
        <v>211.3</v>
      </c>
      <c r="AI152" s="86" t="str">
        <f t="shared" si="57"/>
        <v/>
      </c>
      <c r="AJ152" s="87">
        <f>IFERROR(VLOOKUP(A152,CUSTOMERS!$A:$F,5),"")</f>
        <v>0.2</v>
      </c>
      <c r="AK152" s="96"/>
      <c r="AL152" s="96">
        <v>0</v>
      </c>
      <c r="AM152" s="96">
        <v>0</v>
      </c>
      <c r="AN152" s="96"/>
      <c r="AO152" s="96">
        <v>0</v>
      </c>
      <c r="AP152" s="102">
        <f t="shared" si="65"/>
        <v>0</v>
      </c>
      <c r="AQ152" s="102">
        <f t="shared" si="55"/>
        <v>0</v>
      </c>
      <c r="AR152" s="68" t="str">
        <f>IFERROR(VLOOKUP(A152,CUSTOMERS!$A:$B,2),"")</f>
        <v>ZTH</v>
      </c>
      <c r="AS152" s="68" t="str">
        <f>IFERROR(VLOOKUP(A152,CUSTOMERS!$A:$D,3),"")</f>
        <v>RSC</v>
      </c>
      <c r="AT152" s="68" t="str">
        <f>IFERROR(VLOOKUP(A152,CUSTOMERS!$A:$F,6),"")</f>
        <v>Y</v>
      </c>
      <c r="AU152" s="69">
        <f>IFERROR(VLOOKUP(A152,CUSTOMERS!$A:$E,4),"")</f>
        <v>211.3</v>
      </c>
      <c r="AV152" s="68" t="str">
        <f t="shared" si="51"/>
        <v/>
      </c>
      <c r="AW152" s="70" t="str">
        <f>"descr"&amp;ROW()</f>
        <v>descr152</v>
      </c>
      <c r="AX152" s="71" t="str">
        <f>"reason"&amp;ROW()</f>
        <v>reason152</v>
      </c>
    </row>
    <row r="153" spans="1:50" ht="50.25" hidden="1" customHeight="1">
      <c r="A153" s="188" t="s">
        <v>173</v>
      </c>
      <c r="B153" s="120" t="str">
        <f t="shared" si="60"/>
        <v>Y</v>
      </c>
      <c r="C153" s="120"/>
      <c r="D153" s="121">
        <v>53</v>
      </c>
      <c r="E153" s="121"/>
      <c r="F153" s="122" t="str">
        <f t="shared" si="59"/>
        <v>ZTH-RSC-2020-00053</v>
      </c>
      <c r="G153" s="123" t="s">
        <v>100</v>
      </c>
      <c r="H153" s="124" t="s">
        <v>177</v>
      </c>
      <c r="I153" s="239"/>
      <c r="J153" s="80">
        <f t="shared" si="62"/>
        <v>0</v>
      </c>
      <c r="K153" s="177">
        <f t="shared" si="56"/>
        <v>44068</v>
      </c>
      <c r="L153" s="157">
        <v>44068</v>
      </c>
      <c r="M153" s="158"/>
      <c r="N153" s="142"/>
      <c r="O153" s="142"/>
      <c r="P153" s="159"/>
      <c r="Q153" s="201" t="s">
        <v>15</v>
      </c>
      <c r="R153" s="199" t="s">
        <v>4</v>
      </c>
      <c r="S153" s="199"/>
      <c r="T153" s="199"/>
      <c r="U153" s="199"/>
      <c r="V153" s="199"/>
      <c r="W153" s="199"/>
      <c r="X153" s="185" t="s">
        <v>406</v>
      </c>
      <c r="Y153" s="173">
        <f t="shared" si="54"/>
        <v>0</v>
      </c>
      <c r="Z153" s="83">
        <f t="shared" si="63"/>
        <v>0</v>
      </c>
      <c r="AA153" s="84">
        <f t="shared" si="52"/>
        <v>0</v>
      </c>
      <c r="AB153" s="84">
        <f t="shared" si="53"/>
        <v>0</v>
      </c>
      <c r="AC153" s="84">
        <f t="shared" si="64"/>
        <v>0</v>
      </c>
      <c r="AD153" s="84"/>
      <c r="AE153" s="84">
        <f t="shared" si="48"/>
        <v>0</v>
      </c>
      <c r="AF153" s="84">
        <f t="shared" si="61"/>
        <v>0</v>
      </c>
      <c r="AG153" s="94">
        <f t="shared" si="49"/>
        <v>0</v>
      </c>
      <c r="AH153" s="85">
        <f>IFERROR(VLOOKUP(A153,CUSTOMERS!$A:$E,4),"")</f>
        <v>211.3</v>
      </c>
      <c r="AI153" s="86" t="str">
        <f t="shared" si="57"/>
        <v/>
      </c>
      <c r="AJ153" s="87">
        <f>IFERROR(VLOOKUP(A153,CUSTOMERS!$A:$F,5),"")</f>
        <v>0.2</v>
      </c>
      <c r="AK153" s="96"/>
      <c r="AL153" s="96">
        <v>0</v>
      </c>
      <c r="AM153" s="96">
        <v>0</v>
      </c>
      <c r="AN153" s="96"/>
      <c r="AO153" s="96">
        <v>0</v>
      </c>
      <c r="AP153" s="102">
        <f t="shared" si="65"/>
        <v>0</v>
      </c>
      <c r="AQ153" s="102">
        <f t="shared" si="55"/>
        <v>0</v>
      </c>
      <c r="AR153" s="68" t="str">
        <f>IFERROR(VLOOKUP(A153,CUSTOMERS!$A:$B,2),"")</f>
        <v>ZTH</v>
      </c>
      <c r="AS153" s="68" t="str">
        <f>IFERROR(VLOOKUP(A153,CUSTOMERS!$A:$D,3),"")</f>
        <v>RSC</v>
      </c>
      <c r="AT153" s="68" t="str">
        <f>IFERROR(VLOOKUP(A153,CUSTOMERS!$A:$F,6),"")</f>
        <v>Y</v>
      </c>
      <c r="AU153" s="69">
        <f>IFERROR(VLOOKUP(A153,CUSTOMERS!$A:$E,4),"")</f>
        <v>211.3</v>
      </c>
      <c r="AV153" s="68" t="str">
        <f t="shared" si="51"/>
        <v/>
      </c>
      <c r="AX153" s="71" t="str">
        <f t="shared" ref="AX153:AX216" si="66">"reason"&amp;ROW()</f>
        <v>reason153</v>
      </c>
    </row>
    <row r="154" spans="1:50" ht="50.25" hidden="1" customHeight="1">
      <c r="A154" s="188" t="s">
        <v>27</v>
      </c>
      <c r="B154" s="125" t="str">
        <f t="shared" si="60"/>
        <v>N</v>
      </c>
      <c r="C154" s="125"/>
      <c r="D154" s="126">
        <v>8</v>
      </c>
      <c r="E154" s="126"/>
      <c r="F154" s="122" t="str">
        <f t="shared" si="59"/>
        <v>PRD-BLG-2021-00008</v>
      </c>
      <c r="G154" s="207" t="s">
        <v>339</v>
      </c>
      <c r="H154" s="124" t="s">
        <v>589</v>
      </c>
      <c r="I154" s="239"/>
      <c r="J154" s="80">
        <f t="shared" si="62"/>
        <v>0</v>
      </c>
      <c r="K154" s="177">
        <f t="shared" si="56"/>
        <v>44287</v>
      </c>
      <c r="L154" s="155">
        <v>44287</v>
      </c>
      <c r="M154" s="152"/>
      <c r="N154" s="147"/>
      <c r="O154" s="147"/>
      <c r="P154" s="153"/>
      <c r="Q154" s="201" t="s">
        <v>16</v>
      </c>
      <c r="R154" s="200" t="s">
        <v>78</v>
      </c>
      <c r="S154" s="200"/>
      <c r="T154" s="200"/>
      <c r="U154" s="200"/>
      <c r="V154" s="200"/>
      <c r="W154" s="200"/>
      <c r="X154" s="154" t="s">
        <v>590</v>
      </c>
      <c r="Y154" s="173">
        <f t="shared" si="54"/>
        <v>0</v>
      </c>
      <c r="Z154" s="83">
        <f t="shared" si="63"/>
        <v>0</v>
      </c>
      <c r="AA154" s="84">
        <f t="shared" si="52"/>
        <v>0</v>
      </c>
      <c r="AB154" s="84">
        <f t="shared" si="53"/>
        <v>0</v>
      </c>
      <c r="AC154" s="84">
        <f t="shared" si="64"/>
        <v>0</v>
      </c>
      <c r="AD154" s="84"/>
      <c r="AE154" s="84">
        <f t="shared" si="48"/>
        <v>0</v>
      </c>
      <c r="AF154" s="84">
        <f t="shared" si="61"/>
        <v>0</v>
      </c>
      <c r="AG154" s="94">
        <f t="shared" si="49"/>
        <v>0</v>
      </c>
      <c r="AH154" s="85">
        <f>IFERROR(VLOOKUP(A154,CUSTOMERS!$A:$E,4),"")</f>
        <v>-150</v>
      </c>
      <c r="AI154" s="86" t="str">
        <f t="shared" si="57"/>
        <v/>
      </c>
      <c r="AJ154" s="87">
        <f>IFERROR(VLOOKUP(A154,CUSTOMERS!$A:$F,5),"")</f>
        <v>0</v>
      </c>
      <c r="AK154" s="96"/>
      <c r="AL154" s="96">
        <v>0</v>
      </c>
      <c r="AM154" s="96">
        <v>0</v>
      </c>
      <c r="AN154" s="96"/>
      <c r="AO154" s="96">
        <v>0</v>
      </c>
      <c r="AP154" s="103">
        <f t="shared" si="65"/>
        <v>0</v>
      </c>
      <c r="AQ154" s="103">
        <f t="shared" si="55"/>
        <v>0</v>
      </c>
      <c r="AR154" s="68" t="str">
        <f>IFERROR(VLOOKUP(A154,CUSTOMERS!$A:$B,2),"")</f>
        <v>PRD</v>
      </c>
      <c r="AS154" s="68" t="str">
        <f>IFERROR(VLOOKUP(A154,CUSTOMERS!$A:$D,3),"")</f>
        <v>BLG</v>
      </c>
      <c r="AT154" s="68" t="str">
        <f>IFERROR(VLOOKUP(A154,CUSTOMERS!$A:$F,6),"")</f>
        <v>N</v>
      </c>
      <c r="AU154" s="69">
        <f>IFERROR(VLOOKUP(A154,CUSTOMERS!$A:$E,4),"")</f>
        <v>-150</v>
      </c>
      <c r="AV154" s="68" t="str">
        <f t="shared" si="51"/>
        <v/>
      </c>
      <c r="AX154" s="71" t="str">
        <f t="shared" si="66"/>
        <v>reason154</v>
      </c>
    </row>
    <row r="155" spans="1:50" ht="50.25" hidden="1" customHeight="1">
      <c r="A155" s="188" t="s">
        <v>27</v>
      </c>
      <c r="B155" s="125" t="str">
        <f t="shared" si="60"/>
        <v>N</v>
      </c>
      <c r="C155" s="125"/>
      <c r="D155" s="126">
        <v>9</v>
      </c>
      <c r="E155" s="126"/>
      <c r="F155" s="122" t="str">
        <f t="shared" si="59"/>
        <v>PRD-BLG-2021-00009</v>
      </c>
      <c r="G155" s="207" t="s">
        <v>339</v>
      </c>
      <c r="H155" s="124" t="s">
        <v>591</v>
      </c>
      <c r="I155" s="239"/>
      <c r="J155" s="80">
        <f t="shared" si="62"/>
        <v>0</v>
      </c>
      <c r="K155" s="177">
        <f t="shared" si="56"/>
        <v>44287</v>
      </c>
      <c r="L155" s="155">
        <v>44287</v>
      </c>
      <c r="M155" s="152"/>
      <c r="N155" s="147"/>
      <c r="O155" s="147"/>
      <c r="P155" s="153"/>
      <c r="Q155" s="201" t="s">
        <v>16</v>
      </c>
      <c r="R155" s="200" t="s">
        <v>78</v>
      </c>
      <c r="S155" s="200"/>
      <c r="T155" s="200"/>
      <c r="U155" s="200"/>
      <c r="V155" s="200"/>
      <c r="W155" s="200"/>
      <c r="X155" s="154" t="s">
        <v>590</v>
      </c>
      <c r="Y155" s="173">
        <f t="shared" si="54"/>
        <v>0</v>
      </c>
      <c r="Z155" s="83">
        <f t="shared" si="63"/>
        <v>0</v>
      </c>
      <c r="AA155" s="84">
        <f t="shared" si="52"/>
        <v>0</v>
      </c>
      <c r="AB155" s="84">
        <f t="shared" si="53"/>
        <v>0</v>
      </c>
      <c r="AC155" s="84">
        <f t="shared" si="64"/>
        <v>0</v>
      </c>
      <c r="AD155" s="84"/>
      <c r="AE155" s="84">
        <f t="shared" si="48"/>
        <v>0</v>
      </c>
      <c r="AF155" s="84">
        <f t="shared" si="61"/>
        <v>0</v>
      </c>
      <c r="AG155" s="94">
        <f t="shared" si="49"/>
        <v>0</v>
      </c>
      <c r="AH155" s="85">
        <f>IFERROR(VLOOKUP(A155,CUSTOMERS!$A:$E,4),"")</f>
        <v>-150</v>
      </c>
      <c r="AI155" s="86" t="str">
        <f t="shared" si="57"/>
        <v/>
      </c>
      <c r="AJ155" s="87">
        <f>IFERROR(VLOOKUP(A155,CUSTOMERS!$A:$F,5),"")</f>
        <v>0</v>
      </c>
      <c r="AK155" s="96"/>
      <c r="AL155" s="96">
        <v>0</v>
      </c>
      <c r="AM155" s="96">
        <v>0</v>
      </c>
      <c r="AN155" s="96"/>
      <c r="AO155" s="96">
        <v>0</v>
      </c>
      <c r="AP155" s="103">
        <f t="shared" si="65"/>
        <v>0</v>
      </c>
      <c r="AQ155" s="103">
        <f t="shared" si="55"/>
        <v>0</v>
      </c>
      <c r="AR155" s="68" t="str">
        <f>IFERROR(VLOOKUP(A155,CUSTOMERS!$A:$B,2),"")</f>
        <v>PRD</v>
      </c>
      <c r="AS155" s="68" t="str">
        <f>IFERROR(VLOOKUP(A155,CUSTOMERS!$A:$D,3),"")</f>
        <v>BLG</v>
      </c>
      <c r="AT155" s="68" t="str">
        <f>IFERROR(VLOOKUP(A155,CUSTOMERS!$A:$F,6),"")</f>
        <v>N</v>
      </c>
      <c r="AU155" s="69">
        <f>IFERROR(VLOOKUP(A155,CUSTOMERS!$A:$E,4),"")</f>
        <v>-150</v>
      </c>
      <c r="AV155" s="68" t="str">
        <f t="shared" si="51"/>
        <v/>
      </c>
      <c r="AX155" s="71" t="str">
        <f t="shared" si="66"/>
        <v>reason155</v>
      </c>
    </row>
    <row r="156" spans="1:50" ht="50.25" hidden="1" customHeight="1">
      <c r="A156" s="188" t="s">
        <v>27</v>
      </c>
      <c r="B156" s="125" t="str">
        <f t="shared" si="60"/>
        <v>N</v>
      </c>
      <c r="C156" s="125"/>
      <c r="D156" s="126">
        <v>10</v>
      </c>
      <c r="E156" s="126"/>
      <c r="F156" s="122" t="str">
        <f t="shared" si="59"/>
        <v>PRD-BLG-2021-00010</v>
      </c>
      <c r="G156" s="207" t="s">
        <v>339</v>
      </c>
      <c r="H156" s="124" t="s">
        <v>592</v>
      </c>
      <c r="I156" s="239"/>
      <c r="J156" s="80">
        <f t="shared" si="62"/>
        <v>0</v>
      </c>
      <c r="K156" s="177">
        <f t="shared" si="56"/>
        <v>44287</v>
      </c>
      <c r="L156" s="155">
        <v>44287</v>
      </c>
      <c r="M156" s="152"/>
      <c r="N156" s="147"/>
      <c r="O156" s="147"/>
      <c r="P156" s="153"/>
      <c r="Q156" s="201" t="s">
        <v>16</v>
      </c>
      <c r="R156" s="200" t="s">
        <v>78</v>
      </c>
      <c r="S156" s="200"/>
      <c r="T156" s="200"/>
      <c r="U156" s="200"/>
      <c r="V156" s="200"/>
      <c r="W156" s="200"/>
      <c r="X156" s="154" t="s">
        <v>590</v>
      </c>
      <c r="Y156" s="173">
        <f t="shared" si="54"/>
        <v>0</v>
      </c>
      <c r="Z156" s="83">
        <f t="shared" si="63"/>
        <v>0</v>
      </c>
      <c r="AA156" s="84">
        <f t="shared" si="52"/>
        <v>0</v>
      </c>
      <c r="AB156" s="84">
        <f t="shared" si="53"/>
        <v>0</v>
      </c>
      <c r="AC156" s="84">
        <f t="shared" si="64"/>
        <v>0</v>
      </c>
      <c r="AD156" s="84"/>
      <c r="AE156" s="84">
        <f t="shared" si="48"/>
        <v>0</v>
      </c>
      <c r="AF156" s="84">
        <f t="shared" si="61"/>
        <v>0</v>
      </c>
      <c r="AG156" s="94">
        <f t="shared" si="49"/>
        <v>0</v>
      </c>
      <c r="AH156" s="85">
        <f>IFERROR(VLOOKUP(A156,CUSTOMERS!$A:$E,4),"")</f>
        <v>-150</v>
      </c>
      <c r="AI156" s="86" t="str">
        <f t="shared" si="57"/>
        <v/>
      </c>
      <c r="AJ156" s="87">
        <f>IFERROR(VLOOKUP(A156,CUSTOMERS!$A:$F,5),"")</f>
        <v>0</v>
      </c>
      <c r="AK156" s="96"/>
      <c r="AL156" s="96">
        <v>0</v>
      </c>
      <c r="AM156" s="96">
        <v>0</v>
      </c>
      <c r="AN156" s="96"/>
      <c r="AO156" s="96">
        <v>0</v>
      </c>
      <c r="AP156" s="103">
        <f t="shared" si="65"/>
        <v>0</v>
      </c>
      <c r="AQ156" s="103">
        <f t="shared" si="55"/>
        <v>0</v>
      </c>
      <c r="AR156" s="68" t="str">
        <f>IFERROR(VLOOKUP(A156,CUSTOMERS!$A:$B,2),"")</f>
        <v>PRD</v>
      </c>
      <c r="AS156" s="68" t="str">
        <f>IFERROR(VLOOKUP(A156,CUSTOMERS!$A:$D,3),"")</f>
        <v>BLG</v>
      </c>
      <c r="AT156" s="68" t="str">
        <f>IFERROR(VLOOKUP(A156,CUSTOMERS!$A:$F,6),"")</f>
        <v>N</v>
      </c>
      <c r="AU156" s="69">
        <f>IFERROR(VLOOKUP(A156,CUSTOMERS!$A:$E,4),"")</f>
        <v>-150</v>
      </c>
      <c r="AV156" s="68" t="str">
        <f t="shared" si="51"/>
        <v/>
      </c>
      <c r="AX156" s="71" t="str">
        <f t="shared" si="66"/>
        <v>reason156</v>
      </c>
    </row>
    <row r="157" spans="1:50" ht="50.25" hidden="1" customHeight="1">
      <c r="A157" s="188" t="s">
        <v>27</v>
      </c>
      <c r="B157" s="125" t="str">
        <f t="shared" si="60"/>
        <v>N</v>
      </c>
      <c r="C157" s="125"/>
      <c r="D157" s="126">
        <v>11</v>
      </c>
      <c r="E157" s="126"/>
      <c r="F157" s="122" t="str">
        <f t="shared" si="59"/>
        <v>PRD-BLG-2021-00011</v>
      </c>
      <c r="G157" s="207" t="s">
        <v>339</v>
      </c>
      <c r="H157" s="124" t="s">
        <v>593</v>
      </c>
      <c r="I157" s="239"/>
      <c r="J157" s="80">
        <f t="shared" si="62"/>
        <v>0</v>
      </c>
      <c r="K157" s="177">
        <f t="shared" si="56"/>
        <v>44287</v>
      </c>
      <c r="L157" s="155">
        <v>44287</v>
      </c>
      <c r="M157" s="152"/>
      <c r="N157" s="147"/>
      <c r="O157" s="147"/>
      <c r="P157" s="153"/>
      <c r="Q157" s="201" t="s">
        <v>16</v>
      </c>
      <c r="R157" s="200" t="s">
        <v>78</v>
      </c>
      <c r="S157" s="200"/>
      <c r="T157" s="200"/>
      <c r="U157" s="200"/>
      <c r="V157" s="200"/>
      <c r="W157" s="200"/>
      <c r="X157" s="154" t="s">
        <v>590</v>
      </c>
      <c r="Y157" s="173">
        <f t="shared" si="54"/>
        <v>0</v>
      </c>
      <c r="Z157" s="83">
        <f t="shared" si="63"/>
        <v>0</v>
      </c>
      <c r="AA157" s="84">
        <f t="shared" si="52"/>
        <v>0</v>
      </c>
      <c r="AB157" s="84">
        <f t="shared" si="53"/>
        <v>0</v>
      </c>
      <c r="AC157" s="84">
        <f t="shared" si="64"/>
        <v>0</v>
      </c>
      <c r="AD157" s="84"/>
      <c r="AE157" s="84">
        <f t="shared" si="48"/>
        <v>0</v>
      </c>
      <c r="AF157" s="84">
        <f t="shared" si="61"/>
        <v>0</v>
      </c>
      <c r="AG157" s="94">
        <f t="shared" si="49"/>
        <v>0</v>
      </c>
      <c r="AH157" s="85">
        <f>IFERROR(VLOOKUP(A157,CUSTOMERS!$A:$E,4),"")</f>
        <v>-150</v>
      </c>
      <c r="AI157" s="86" t="str">
        <f t="shared" si="57"/>
        <v/>
      </c>
      <c r="AJ157" s="87">
        <f>IFERROR(VLOOKUP(A157,CUSTOMERS!$A:$F,5),"")</f>
        <v>0</v>
      </c>
      <c r="AK157" s="96"/>
      <c r="AL157" s="96">
        <v>0</v>
      </c>
      <c r="AM157" s="96">
        <v>0</v>
      </c>
      <c r="AN157" s="96"/>
      <c r="AO157" s="96">
        <v>0</v>
      </c>
      <c r="AP157" s="103">
        <f t="shared" si="65"/>
        <v>0</v>
      </c>
      <c r="AQ157" s="103">
        <f t="shared" si="55"/>
        <v>0</v>
      </c>
      <c r="AR157" s="68" t="str">
        <f>IFERROR(VLOOKUP(A157,CUSTOMERS!$A:$B,2),"")</f>
        <v>PRD</v>
      </c>
      <c r="AS157" s="68" t="str">
        <f>IFERROR(VLOOKUP(A157,CUSTOMERS!$A:$D,3),"")</f>
        <v>BLG</v>
      </c>
      <c r="AT157" s="68" t="str">
        <f>IFERROR(VLOOKUP(A157,CUSTOMERS!$A:$F,6),"")</f>
        <v>N</v>
      </c>
      <c r="AU157" s="69">
        <f>IFERROR(VLOOKUP(A157,CUSTOMERS!$A:$E,4),"")</f>
        <v>-150</v>
      </c>
      <c r="AV157" s="68" t="str">
        <f t="shared" si="51"/>
        <v/>
      </c>
      <c r="AX157" s="71" t="str">
        <f t="shared" si="66"/>
        <v>reason157</v>
      </c>
    </row>
    <row r="158" spans="1:50" ht="50.25" hidden="1" customHeight="1">
      <c r="A158" s="188" t="s">
        <v>27</v>
      </c>
      <c r="B158" s="125" t="str">
        <f t="shared" si="60"/>
        <v>N</v>
      </c>
      <c r="C158" s="125"/>
      <c r="D158" s="126">
        <v>12</v>
      </c>
      <c r="E158" s="126"/>
      <c r="F158" s="122" t="str">
        <f t="shared" si="59"/>
        <v>PRD-BLG-2021-00012</v>
      </c>
      <c r="G158" s="207" t="s">
        <v>339</v>
      </c>
      <c r="H158" s="124" t="s">
        <v>594</v>
      </c>
      <c r="I158" s="239"/>
      <c r="J158" s="80">
        <f t="shared" si="62"/>
        <v>0</v>
      </c>
      <c r="K158" s="177">
        <f t="shared" si="56"/>
        <v>44287</v>
      </c>
      <c r="L158" s="155">
        <v>44287</v>
      </c>
      <c r="M158" s="152"/>
      <c r="N158" s="147"/>
      <c r="O158" s="147"/>
      <c r="P158" s="153"/>
      <c r="Q158" s="201" t="s">
        <v>16</v>
      </c>
      <c r="R158" s="200" t="s">
        <v>78</v>
      </c>
      <c r="S158" s="200"/>
      <c r="T158" s="200"/>
      <c r="U158" s="200"/>
      <c r="V158" s="200"/>
      <c r="W158" s="200"/>
      <c r="X158" s="154" t="s">
        <v>590</v>
      </c>
      <c r="Y158" s="173">
        <f t="shared" si="54"/>
        <v>0</v>
      </c>
      <c r="Z158" s="83">
        <f t="shared" si="63"/>
        <v>0</v>
      </c>
      <c r="AA158" s="84">
        <f t="shared" si="52"/>
        <v>0</v>
      </c>
      <c r="AB158" s="84">
        <f t="shared" si="53"/>
        <v>0</v>
      </c>
      <c r="AC158" s="84">
        <f t="shared" si="64"/>
        <v>0</v>
      </c>
      <c r="AD158" s="84"/>
      <c r="AE158" s="84">
        <f t="shared" si="48"/>
        <v>0</v>
      </c>
      <c r="AF158" s="84">
        <f t="shared" si="61"/>
        <v>0</v>
      </c>
      <c r="AG158" s="94">
        <f t="shared" si="49"/>
        <v>0</v>
      </c>
      <c r="AH158" s="85">
        <f>IFERROR(VLOOKUP(A158,CUSTOMERS!$A:$E,4),"")</f>
        <v>-150</v>
      </c>
      <c r="AI158" s="86" t="str">
        <f t="shared" si="57"/>
        <v/>
      </c>
      <c r="AJ158" s="87">
        <f>IFERROR(VLOOKUP(A158,CUSTOMERS!$A:$F,5),"")</f>
        <v>0</v>
      </c>
      <c r="AK158" s="96"/>
      <c r="AL158" s="96">
        <v>0</v>
      </c>
      <c r="AM158" s="96">
        <v>0</v>
      </c>
      <c r="AN158" s="96"/>
      <c r="AO158" s="96">
        <v>0</v>
      </c>
      <c r="AP158" s="103">
        <f t="shared" si="65"/>
        <v>0</v>
      </c>
      <c r="AQ158" s="103">
        <f t="shared" si="55"/>
        <v>0</v>
      </c>
      <c r="AR158" s="68" t="str">
        <f>IFERROR(VLOOKUP(A158,CUSTOMERS!$A:$B,2),"")</f>
        <v>PRD</v>
      </c>
      <c r="AS158" s="68" t="str">
        <f>IFERROR(VLOOKUP(A158,CUSTOMERS!$A:$D,3),"")</f>
        <v>BLG</v>
      </c>
      <c r="AT158" s="68" t="str">
        <f>IFERROR(VLOOKUP(A158,CUSTOMERS!$A:$F,6),"")</f>
        <v>N</v>
      </c>
      <c r="AU158" s="69">
        <f>IFERROR(VLOOKUP(A158,CUSTOMERS!$A:$E,4),"")</f>
        <v>-150</v>
      </c>
      <c r="AV158" s="68" t="str">
        <f t="shared" si="51"/>
        <v/>
      </c>
      <c r="AX158" s="71" t="str">
        <f t="shared" si="66"/>
        <v>reason158</v>
      </c>
    </row>
    <row r="159" spans="1:50" ht="50.25" hidden="1" customHeight="1">
      <c r="A159" s="188" t="s">
        <v>27</v>
      </c>
      <c r="B159" s="125" t="str">
        <f t="shared" si="60"/>
        <v>N</v>
      </c>
      <c r="C159" s="125"/>
      <c r="D159" s="126">
        <v>13</v>
      </c>
      <c r="E159" s="126"/>
      <c r="F159" s="122" t="str">
        <f t="shared" si="59"/>
        <v>PRD-BLG-2021-00013</v>
      </c>
      <c r="G159" s="207" t="s">
        <v>339</v>
      </c>
      <c r="H159" s="124" t="s">
        <v>595</v>
      </c>
      <c r="I159" s="239"/>
      <c r="J159" s="80">
        <f t="shared" si="62"/>
        <v>0</v>
      </c>
      <c r="K159" s="177">
        <f t="shared" si="56"/>
        <v>44287</v>
      </c>
      <c r="L159" s="155">
        <v>44287</v>
      </c>
      <c r="M159" s="152"/>
      <c r="N159" s="147"/>
      <c r="O159" s="147"/>
      <c r="P159" s="153"/>
      <c r="Q159" s="201" t="s">
        <v>16</v>
      </c>
      <c r="R159" s="200" t="s">
        <v>78</v>
      </c>
      <c r="S159" s="200"/>
      <c r="T159" s="200"/>
      <c r="U159" s="200"/>
      <c r="V159" s="200"/>
      <c r="W159" s="200"/>
      <c r="X159" s="154" t="s">
        <v>590</v>
      </c>
      <c r="Y159" s="173">
        <f t="shared" si="54"/>
        <v>0</v>
      </c>
      <c r="Z159" s="83">
        <f t="shared" si="63"/>
        <v>0</v>
      </c>
      <c r="AA159" s="84">
        <f t="shared" si="52"/>
        <v>0</v>
      </c>
      <c r="AB159" s="84">
        <f t="shared" si="53"/>
        <v>0</v>
      </c>
      <c r="AC159" s="84">
        <f t="shared" si="64"/>
        <v>0</v>
      </c>
      <c r="AD159" s="84"/>
      <c r="AE159" s="84">
        <f t="shared" si="48"/>
        <v>0</v>
      </c>
      <c r="AF159" s="84">
        <f t="shared" si="61"/>
        <v>0</v>
      </c>
      <c r="AG159" s="94">
        <f t="shared" si="49"/>
        <v>0</v>
      </c>
      <c r="AH159" s="85">
        <f>IFERROR(VLOOKUP(A159,CUSTOMERS!$A:$E,4),"")</f>
        <v>-150</v>
      </c>
      <c r="AI159" s="86" t="str">
        <f t="shared" si="57"/>
        <v/>
      </c>
      <c r="AJ159" s="87">
        <f>IFERROR(VLOOKUP(A159,CUSTOMERS!$A:$F,5),"")</f>
        <v>0</v>
      </c>
      <c r="AK159" s="96"/>
      <c r="AL159" s="96">
        <v>0</v>
      </c>
      <c r="AM159" s="96">
        <v>0</v>
      </c>
      <c r="AN159" s="96"/>
      <c r="AO159" s="96">
        <v>0</v>
      </c>
      <c r="AP159" s="103">
        <f t="shared" si="65"/>
        <v>0</v>
      </c>
      <c r="AQ159" s="103">
        <f t="shared" si="55"/>
        <v>0</v>
      </c>
      <c r="AR159" s="68" t="str">
        <f>IFERROR(VLOOKUP(A159,CUSTOMERS!$A:$B,2),"")</f>
        <v>PRD</v>
      </c>
      <c r="AS159" s="68" t="str">
        <f>IFERROR(VLOOKUP(A159,CUSTOMERS!$A:$D,3),"")</f>
        <v>BLG</v>
      </c>
      <c r="AT159" s="68" t="str">
        <f>IFERROR(VLOOKUP(A159,CUSTOMERS!$A:$F,6),"")</f>
        <v>N</v>
      </c>
      <c r="AU159" s="69">
        <f>IFERROR(VLOOKUP(A159,CUSTOMERS!$A:$E,4),"")</f>
        <v>-150</v>
      </c>
      <c r="AV159" s="68" t="str">
        <f t="shared" si="51"/>
        <v/>
      </c>
      <c r="AX159" s="71" t="str">
        <f t="shared" si="66"/>
        <v>reason159</v>
      </c>
    </row>
    <row r="160" spans="1:50" ht="50.25" hidden="1" customHeight="1">
      <c r="A160" s="188" t="s">
        <v>27</v>
      </c>
      <c r="B160" s="125" t="str">
        <f t="shared" si="60"/>
        <v>N</v>
      </c>
      <c r="C160" s="125"/>
      <c r="D160" s="126">
        <v>14</v>
      </c>
      <c r="E160" s="126"/>
      <c r="F160" s="122" t="str">
        <f t="shared" si="59"/>
        <v>PRD-BLG-2021-00014</v>
      </c>
      <c r="G160" s="207" t="s">
        <v>339</v>
      </c>
      <c r="H160" s="124" t="s">
        <v>596</v>
      </c>
      <c r="I160" s="239"/>
      <c r="J160" s="80">
        <f t="shared" si="62"/>
        <v>0</v>
      </c>
      <c r="K160" s="177">
        <f t="shared" si="56"/>
        <v>44287</v>
      </c>
      <c r="L160" s="155">
        <v>44287</v>
      </c>
      <c r="M160" s="152"/>
      <c r="N160" s="147"/>
      <c r="O160" s="147"/>
      <c r="P160" s="153"/>
      <c r="Q160" s="201" t="s">
        <v>16</v>
      </c>
      <c r="R160" s="200" t="s">
        <v>78</v>
      </c>
      <c r="S160" s="200"/>
      <c r="T160" s="200"/>
      <c r="U160" s="200"/>
      <c r="V160" s="200"/>
      <c r="W160" s="200"/>
      <c r="X160" s="154" t="s">
        <v>590</v>
      </c>
      <c r="Y160" s="173">
        <f t="shared" si="54"/>
        <v>0</v>
      </c>
      <c r="Z160" s="83">
        <f t="shared" si="63"/>
        <v>0</v>
      </c>
      <c r="AA160" s="84">
        <f t="shared" si="52"/>
        <v>0</v>
      </c>
      <c r="AB160" s="84">
        <f t="shared" si="53"/>
        <v>0</v>
      </c>
      <c r="AC160" s="84">
        <f t="shared" si="64"/>
        <v>0</v>
      </c>
      <c r="AD160" s="84"/>
      <c r="AE160" s="84">
        <f t="shared" si="48"/>
        <v>0</v>
      </c>
      <c r="AF160" s="84">
        <f t="shared" si="61"/>
        <v>0</v>
      </c>
      <c r="AG160" s="94">
        <f t="shared" si="49"/>
        <v>0</v>
      </c>
      <c r="AH160" s="85">
        <f>IFERROR(VLOOKUP(A160,CUSTOMERS!$A:$E,4),"")</f>
        <v>-150</v>
      </c>
      <c r="AI160" s="86" t="str">
        <f t="shared" si="57"/>
        <v/>
      </c>
      <c r="AJ160" s="87">
        <f>IFERROR(VLOOKUP(A160,CUSTOMERS!$A:$F,5),"")</f>
        <v>0</v>
      </c>
      <c r="AK160" s="96"/>
      <c r="AL160" s="96">
        <v>0</v>
      </c>
      <c r="AM160" s="96">
        <v>0</v>
      </c>
      <c r="AN160" s="96"/>
      <c r="AO160" s="96">
        <v>0</v>
      </c>
      <c r="AP160" s="103">
        <f t="shared" si="65"/>
        <v>0</v>
      </c>
      <c r="AQ160" s="103">
        <f t="shared" si="55"/>
        <v>0</v>
      </c>
      <c r="AR160" s="68" t="str">
        <f>IFERROR(VLOOKUP(A160,CUSTOMERS!$A:$B,2),"")</f>
        <v>PRD</v>
      </c>
      <c r="AS160" s="68" t="str">
        <f>IFERROR(VLOOKUP(A160,CUSTOMERS!$A:$D,3),"")</f>
        <v>BLG</v>
      </c>
      <c r="AT160" s="68" t="str">
        <f>IFERROR(VLOOKUP(A160,CUSTOMERS!$A:$F,6),"")</f>
        <v>N</v>
      </c>
      <c r="AU160" s="69">
        <f>IFERROR(VLOOKUP(A160,CUSTOMERS!$A:$E,4),"")</f>
        <v>-150</v>
      </c>
      <c r="AV160" s="68" t="str">
        <f t="shared" si="51"/>
        <v/>
      </c>
      <c r="AX160" s="71" t="str">
        <f t="shared" si="66"/>
        <v>reason160</v>
      </c>
    </row>
    <row r="161" spans="1:50" ht="50.25" customHeight="1">
      <c r="A161" s="188" t="s">
        <v>27</v>
      </c>
      <c r="B161" s="125" t="str">
        <f t="shared" si="60"/>
        <v>N</v>
      </c>
      <c r="C161" s="125"/>
      <c r="D161" s="126">
        <v>15</v>
      </c>
      <c r="E161" s="126"/>
      <c r="F161" s="122" t="str">
        <f t="shared" si="59"/>
        <v>PRD-BLG-2021-00015</v>
      </c>
      <c r="G161" s="123" t="s">
        <v>291</v>
      </c>
      <c r="H161" s="124" t="s">
        <v>597</v>
      </c>
      <c r="I161" s="239"/>
      <c r="J161" s="220">
        <f t="shared" si="62"/>
        <v>0</v>
      </c>
      <c r="K161" s="177">
        <f t="shared" si="56"/>
        <v>44287</v>
      </c>
      <c r="L161" s="155">
        <v>44287</v>
      </c>
      <c r="M161" s="152"/>
      <c r="N161" s="147"/>
      <c r="O161" s="147"/>
      <c r="P161" s="153"/>
      <c r="Q161" s="221" t="s">
        <v>16</v>
      </c>
      <c r="R161" s="222" t="s">
        <v>78</v>
      </c>
      <c r="S161" s="200"/>
      <c r="T161" s="200"/>
      <c r="U161" s="200"/>
      <c r="V161" s="200"/>
      <c r="W161" s="200"/>
      <c r="X161" s="154" t="s">
        <v>590</v>
      </c>
      <c r="Y161" s="173">
        <f t="shared" si="54"/>
        <v>0</v>
      </c>
      <c r="Z161" s="83">
        <f t="shared" si="63"/>
        <v>0</v>
      </c>
      <c r="AA161" s="84">
        <f t="shared" si="52"/>
        <v>0</v>
      </c>
      <c r="AB161" s="84">
        <f t="shared" si="53"/>
        <v>0</v>
      </c>
      <c r="AC161" s="84">
        <f t="shared" si="64"/>
        <v>0</v>
      </c>
      <c r="AD161" s="84"/>
      <c r="AE161" s="84">
        <f t="shared" si="48"/>
        <v>0</v>
      </c>
      <c r="AF161" s="84">
        <f t="shared" si="61"/>
        <v>0</v>
      </c>
      <c r="AG161" s="94">
        <f t="shared" si="49"/>
        <v>0</v>
      </c>
      <c r="AH161" s="85">
        <f>IFERROR(VLOOKUP(A161,CUSTOMERS!$A:$E,4),"")</f>
        <v>-150</v>
      </c>
      <c r="AI161" s="86" t="str">
        <f t="shared" si="57"/>
        <v/>
      </c>
      <c r="AJ161" s="87">
        <f>IFERROR(VLOOKUP(A161,CUSTOMERS!$A:$F,5),"")</f>
        <v>0</v>
      </c>
      <c r="AK161" s="96"/>
      <c r="AL161" s="96">
        <v>0</v>
      </c>
      <c r="AM161" s="96">
        <v>0</v>
      </c>
      <c r="AN161" s="96"/>
      <c r="AO161" s="96">
        <v>0</v>
      </c>
      <c r="AP161" s="103">
        <f t="shared" si="65"/>
        <v>0</v>
      </c>
      <c r="AQ161" s="103">
        <f t="shared" si="55"/>
        <v>0</v>
      </c>
      <c r="AR161" s="68" t="str">
        <f>IFERROR(VLOOKUP(A161,CUSTOMERS!$A:$B,2),"")</f>
        <v>PRD</v>
      </c>
      <c r="AS161" s="68" t="str">
        <f>IFERROR(VLOOKUP(A161,CUSTOMERS!$A:$D,3),"")</f>
        <v>BLG</v>
      </c>
      <c r="AT161" s="68" t="str">
        <f>IFERROR(VLOOKUP(A161,CUSTOMERS!$A:$F,6),"")</f>
        <v>N</v>
      </c>
      <c r="AU161" s="69">
        <f>IFERROR(VLOOKUP(A161,CUSTOMERS!$A:$E,4),"")</f>
        <v>-150</v>
      </c>
      <c r="AV161" s="68" t="str">
        <f t="shared" si="51"/>
        <v/>
      </c>
      <c r="AX161" s="71" t="str">
        <f t="shared" si="66"/>
        <v>reason161</v>
      </c>
    </row>
    <row r="162" spans="1:50" ht="50.25" customHeight="1">
      <c r="A162" s="188" t="s">
        <v>50</v>
      </c>
      <c r="B162" s="125" t="str">
        <f t="shared" si="60"/>
        <v>N</v>
      </c>
      <c r="C162" s="125"/>
      <c r="D162" s="126">
        <v>16</v>
      </c>
      <c r="E162" s="126"/>
      <c r="F162" s="122" t="str">
        <f t="shared" si="59"/>
        <v>PRD-REQ-2021-00016</v>
      </c>
      <c r="G162" s="123" t="s">
        <v>29</v>
      </c>
      <c r="H162" s="216" t="s">
        <v>86</v>
      </c>
      <c r="I162" s="240"/>
      <c r="J162" s="227">
        <f t="shared" si="62"/>
        <v>0</v>
      </c>
      <c r="K162" s="218">
        <f t="shared" si="56"/>
        <v>44287</v>
      </c>
      <c r="L162" s="155">
        <v>44287</v>
      </c>
      <c r="M162" s="152"/>
      <c r="N162" s="147"/>
      <c r="O162" s="147"/>
      <c r="P162" s="217"/>
      <c r="Q162" s="213" t="s">
        <v>16</v>
      </c>
      <c r="R162" s="230" t="s">
        <v>78</v>
      </c>
      <c r="S162" s="229" t="s">
        <v>308</v>
      </c>
      <c r="T162" s="200"/>
      <c r="U162" s="200"/>
      <c r="V162" s="200"/>
      <c r="W162" s="200"/>
      <c r="X162" s="154" t="s">
        <v>590</v>
      </c>
      <c r="Y162" s="173">
        <f t="shared" si="54"/>
        <v>0</v>
      </c>
      <c r="Z162" s="83">
        <f t="shared" si="63"/>
        <v>0</v>
      </c>
      <c r="AA162" s="84">
        <f t="shared" si="52"/>
        <v>0</v>
      </c>
      <c r="AB162" s="84">
        <f t="shared" si="53"/>
        <v>0</v>
      </c>
      <c r="AC162" s="84">
        <f t="shared" si="64"/>
        <v>0</v>
      </c>
      <c r="AD162" s="84"/>
      <c r="AE162" s="84">
        <f t="shared" si="48"/>
        <v>0</v>
      </c>
      <c r="AF162" s="84">
        <f t="shared" si="61"/>
        <v>0</v>
      </c>
      <c r="AG162" s="94">
        <f t="shared" si="49"/>
        <v>0</v>
      </c>
      <c r="AH162" s="85">
        <f>IFERROR(VLOOKUP(A162,CUSTOMERS!$A:$E,4),"")</f>
        <v>-150</v>
      </c>
      <c r="AI162" s="86" t="str">
        <f t="shared" si="57"/>
        <v/>
      </c>
      <c r="AJ162" s="87">
        <f>IFERROR(VLOOKUP(A162,CUSTOMERS!$A:$F,5),"")</f>
        <v>0</v>
      </c>
      <c r="AK162" s="96"/>
      <c r="AL162" s="96">
        <v>0</v>
      </c>
      <c r="AM162" s="96">
        <v>0</v>
      </c>
      <c r="AN162" s="96"/>
      <c r="AO162" s="96">
        <v>0</v>
      </c>
      <c r="AP162" s="103">
        <f t="shared" si="65"/>
        <v>0</v>
      </c>
      <c r="AQ162" s="103">
        <f t="shared" si="55"/>
        <v>0</v>
      </c>
      <c r="AR162" s="68" t="str">
        <f>IFERROR(VLOOKUP(A162,CUSTOMERS!$A:$B,2),"")</f>
        <v>PRD</v>
      </c>
      <c r="AS162" s="68" t="str">
        <f>IFERROR(VLOOKUP(A162,CUSTOMERS!$A:$D,3),"")</f>
        <v>REQ</v>
      </c>
      <c r="AT162" s="68" t="str">
        <f>IFERROR(VLOOKUP(A162,CUSTOMERS!$A:$F,6),"")</f>
        <v>N</v>
      </c>
      <c r="AU162" s="69">
        <f>IFERROR(VLOOKUP(A162,CUSTOMERS!$A:$E,4),"")</f>
        <v>-150</v>
      </c>
      <c r="AV162" s="68" t="str">
        <f t="shared" si="51"/>
        <v/>
      </c>
      <c r="AX162" s="71" t="str">
        <f t="shared" si="66"/>
        <v>reason162</v>
      </c>
    </row>
    <row r="163" spans="1:50" ht="50.25" customHeight="1">
      <c r="A163" s="188" t="s">
        <v>27</v>
      </c>
      <c r="B163" s="125" t="str">
        <f t="shared" si="60"/>
        <v>N</v>
      </c>
      <c r="C163" s="125"/>
      <c r="D163" s="126">
        <v>17</v>
      </c>
      <c r="E163" s="126"/>
      <c r="F163" s="122" t="str">
        <f t="shared" si="59"/>
        <v>PRD-BLG-2021-00017</v>
      </c>
      <c r="G163" s="123" t="s">
        <v>29</v>
      </c>
      <c r="H163" s="216" t="s">
        <v>598</v>
      </c>
      <c r="I163" s="240"/>
      <c r="J163" s="233">
        <f t="shared" si="62"/>
        <v>0</v>
      </c>
      <c r="K163" s="218">
        <f t="shared" si="56"/>
        <v>44302</v>
      </c>
      <c r="L163" s="155">
        <v>44302</v>
      </c>
      <c r="M163" s="152"/>
      <c r="N163" s="147"/>
      <c r="O163" s="147"/>
      <c r="P163" s="217"/>
      <c r="Q163" s="234" t="s">
        <v>18</v>
      </c>
      <c r="R163" s="213" t="s">
        <v>31</v>
      </c>
      <c r="S163" s="201" t="s">
        <v>308</v>
      </c>
      <c r="T163" s="199"/>
      <c r="U163" s="199"/>
      <c r="V163" s="199"/>
      <c r="W163" s="199"/>
      <c r="X163" s="154" t="s">
        <v>599</v>
      </c>
      <c r="Y163" s="173">
        <f t="shared" si="54"/>
        <v>0</v>
      </c>
      <c r="Z163" s="83">
        <f t="shared" si="63"/>
        <v>0</v>
      </c>
      <c r="AA163" s="84">
        <f t="shared" si="52"/>
        <v>0</v>
      </c>
      <c r="AB163" s="84">
        <f t="shared" si="53"/>
        <v>0</v>
      </c>
      <c r="AC163" s="84">
        <f t="shared" si="64"/>
        <v>0</v>
      </c>
      <c r="AD163" s="84"/>
      <c r="AE163" s="84">
        <f t="shared" ref="AE163:AE226" si="67">IFERROR((AO163*AH163)*7.5,"")</f>
        <v>0</v>
      </c>
      <c r="AF163" s="84">
        <f t="shared" si="61"/>
        <v>0</v>
      </c>
      <c r="AG163" s="94">
        <f t="shared" ref="AG163:AG226" si="68">IFERROR((AQ163*AH163)*7.5,"")</f>
        <v>0</v>
      </c>
      <c r="AH163" s="85">
        <f>IFERROR(VLOOKUP(A163,CUSTOMERS!$A:$E,4),"")</f>
        <v>-150</v>
      </c>
      <c r="AI163" s="86" t="str">
        <f t="shared" si="57"/>
        <v/>
      </c>
      <c r="AJ163" s="87">
        <f>IFERROR(VLOOKUP(A163,CUSTOMERS!$A:$F,5),"")</f>
        <v>0</v>
      </c>
      <c r="AK163" s="96"/>
      <c r="AL163" s="96">
        <v>0</v>
      </c>
      <c r="AM163" s="96">
        <v>0</v>
      </c>
      <c r="AN163" s="96"/>
      <c r="AO163" s="96">
        <v>0</v>
      </c>
      <c r="AP163" s="103">
        <f t="shared" si="65"/>
        <v>0</v>
      </c>
      <c r="AQ163" s="103">
        <f t="shared" si="55"/>
        <v>0</v>
      </c>
      <c r="AR163" s="68" t="str">
        <f>IFERROR(VLOOKUP(A163,CUSTOMERS!$A:$B,2),"")</f>
        <v>PRD</v>
      </c>
      <c r="AS163" s="68" t="str">
        <f>IFERROR(VLOOKUP(A163,CUSTOMERS!$A:$D,3),"")</f>
        <v>BLG</v>
      </c>
      <c r="AT163" s="68" t="str">
        <f>IFERROR(VLOOKUP(A163,CUSTOMERS!$A:$F,6),"")</f>
        <v>N</v>
      </c>
      <c r="AU163" s="69">
        <f>IFERROR(VLOOKUP(A163,CUSTOMERS!$A:$E,4),"")</f>
        <v>-150</v>
      </c>
      <c r="AV163" s="68" t="str">
        <f t="shared" si="51"/>
        <v/>
      </c>
      <c r="AX163" s="71" t="str">
        <f t="shared" si="66"/>
        <v>reason163</v>
      </c>
    </row>
    <row r="164" spans="1:50" ht="50.25" customHeight="1">
      <c r="A164" s="188" t="s">
        <v>27</v>
      </c>
      <c r="B164" s="125" t="str">
        <f t="shared" si="60"/>
        <v>N</v>
      </c>
      <c r="C164" s="125"/>
      <c r="D164" s="126">
        <v>18</v>
      </c>
      <c r="E164" s="126"/>
      <c r="F164" s="122" t="str">
        <f t="shared" si="59"/>
        <v>PRD-BLG-2021-00018</v>
      </c>
      <c r="G164" s="123" t="s">
        <v>29</v>
      </c>
      <c r="H164" s="216" t="s">
        <v>90</v>
      </c>
      <c r="I164" s="240"/>
      <c r="J164" s="227">
        <f t="shared" si="62"/>
        <v>0</v>
      </c>
      <c r="K164" s="218">
        <f t="shared" si="56"/>
        <v>44305</v>
      </c>
      <c r="L164" s="155">
        <v>44305</v>
      </c>
      <c r="M164" s="152"/>
      <c r="N164" s="147"/>
      <c r="O164" s="147"/>
      <c r="P164" s="217"/>
      <c r="Q164" s="213" t="s">
        <v>18</v>
      </c>
      <c r="R164" s="213" t="s">
        <v>31</v>
      </c>
      <c r="S164" s="201" t="s">
        <v>313</v>
      </c>
      <c r="T164" s="199"/>
      <c r="U164" s="199"/>
      <c r="V164" s="199"/>
      <c r="W164" s="199"/>
      <c r="X164" s="154" t="s">
        <v>600</v>
      </c>
      <c r="Y164" s="173">
        <f t="shared" si="54"/>
        <v>0</v>
      </c>
      <c r="Z164" s="83">
        <f t="shared" si="63"/>
        <v>0</v>
      </c>
      <c r="AA164" s="84">
        <f t="shared" si="52"/>
        <v>0</v>
      </c>
      <c r="AB164" s="84">
        <f t="shared" si="53"/>
        <v>0</v>
      </c>
      <c r="AC164" s="84">
        <f t="shared" si="64"/>
        <v>0</v>
      </c>
      <c r="AD164" s="84"/>
      <c r="AE164" s="84">
        <f t="shared" si="67"/>
        <v>0</v>
      </c>
      <c r="AF164" s="84">
        <f t="shared" si="61"/>
        <v>0</v>
      </c>
      <c r="AG164" s="94">
        <f t="shared" si="68"/>
        <v>0</v>
      </c>
      <c r="AH164" s="85">
        <f>IFERROR(VLOOKUP(A164,CUSTOMERS!$A:$E,4),"")</f>
        <v>-150</v>
      </c>
      <c r="AI164" s="86" t="str">
        <f t="shared" si="57"/>
        <v/>
      </c>
      <c r="AJ164" s="87">
        <f>IFERROR(VLOOKUP(A164,CUSTOMERS!$A:$F,5),"")</f>
        <v>0</v>
      </c>
      <c r="AK164" s="96"/>
      <c r="AL164" s="96">
        <v>0</v>
      </c>
      <c r="AM164" s="96">
        <v>0</v>
      </c>
      <c r="AN164" s="96"/>
      <c r="AO164" s="96">
        <v>0</v>
      </c>
      <c r="AP164" s="103">
        <f t="shared" si="65"/>
        <v>0</v>
      </c>
      <c r="AQ164" s="103">
        <f t="shared" si="55"/>
        <v>0</v>
      </c>
      <c r="AR164" s="68" t="str">
        <f>IFERROR(VLOOKUP(A164,CUSTOMERS!$A:$B,2),"")</f>
        <v>PRD</v>
      </c>
      <c r="AS164" s="68" t="str">
        <f>IFERROR(VLOOKUP(A164,CUSTOMERS!$A:$D,3),"")</f>
        <v>BLG</v>
      </c>
      <c r="AT164" s="68" t="str">
        <f>IFERROR(VLOOKUP(A164,CUSTOMERS!$A:$F,6),"")</f>
        <v>N</v>
      </c>
      <c r="AU164" s="69">
        <f>IFERROR(VLOOKUP(A164,CUSTOMERS!$A:$E,4),"")</f>
        <v>-150</v>
      </c>
      <c r="AV164" s="68" t="str">
        <f t="shared" si="51"/>
        <v/>
      </c>
      <c r="AX164" s="71" t="str">
        <f t="shared" si="66"/>
        <v>reason164</v>
      </c>
    </row>
    <row r="165" spans="1:50" ht="50.25" customHeight="1">
      <c r="A165" s="188" t="s">
        <v>27</v>
      </c>
      <c r="B165" s="125" t="str">
        <f t="shared" si="60"/>
        <v>N</v>
      </c>
      <c r="C165" s="125"/>
      <c r="D165" s="126">
        <v>19</v>
      </c>
      <c r="E165" s="126"/>
      <c r="F165" s="122" t="str">
        <f t="shared" si="59"/>
        <v>PRD-BLG-2021-00019</v>
      </c>
      <c r="G165" s="123" t="s">
        <v>200</v>
      </c>
      <c r="H165" s="124" t="s">
        <v>601</v>
      </c>
      <c r="I165" s="239"/>
      <c r="J165" s="224">
        <f t="shared" si="62"/>
        <v>-5625</v>
      </c>
      <c r="K165" s="177">
        <f t="shared" si="56"/>
        <v>44307</v>
      </c>
      <c r="L165" s="155">
        <v>44307</v>
      </c>
      <c r="M165" s="152"/>
      <c r="N165" s="147"/>
      <c r="O165" s="147"/>
      <c r="P165" s="153"/>
      <c r="Q165" s="225" t="s">
        <v>12</v>
      </c>
      <c r="R165" s="226" t="s">
        <v>4</v>
      </c>
      <c r="S165" s="210"/>
      <c r="T165" s="210"/>
      <c r="U165" s="210"/>
      <c r="V165" s="210"/>
      <c r="W165" s="210"/>
      <c r="X165" s="154" t="s">
        <v>602</v>
      </c>
      <c r="Y165" s="173">
        <f t="shared" si="54"/>
        <v>-5625</v>
      </c>
      <c r="Z165" s="83">
        <f t="shared" si="63"/>
        <v>-688.77551020408168</v>
      </c>
      <c r="AA165" s="84">
        <f t="shared" si="52"/>
        <v>-2640.3061224489797</v>
      </c>
      <c r="AB165" s="84">
        <f t="shared" si="53"/>
        <v>-918.36734693877543</v>
      </c>
      <c r="AC165" s="84">
        <f t="shared" si="64"/>
        <v>-688.77551020408168</v>
      </c>
      <c r="AD165" s="84"/>
      <c r="AE165" s="84">
        <f t="shared" si="67"/>
        <v>-688.77551020408168</v>
      </c>
      <c r="AF165" s="84">
        <f t="shared" si="61"/>
        <v>-5625</v>
      </c>
      <c r="AG165" s="94">
        <f t="shared" si="68"/>
        <v>0</v>
      </c>
      <c r="AH165" s="85">
        <f>IFERROR(VLOOKUP(A165,CUSTOMERS!$A:$E,4),"")</f>
        <v>-150</v>
      </c>
      <c r="AI165" s="86" t="str">
        <f t="shared" si="57"/>
        <v/>
      </c>
      <c r="AJ165" s="87">
        <f>IFERROR(VLOOKUP(A165,CUSTOMERS!$A:$F,5),"")</f>
        <v>0</v>
      </c>
      <c r="AK165" s="96">
        <v>0.61224489795918369</v>
      </c>
      <c r="AL165" s="96">
        <v>2.3469387755102042</v>
      </c>
      <c r="AM165" s="96">
        <v>0.81632653061224481</v>
      </c>
      <c r="AN165" s="96">
        <v>0.61224489795918369</v>
      </c>
      <c r="AO165" s="96">
        <v>0.61224489795918369</v>
      </c>
      <c r="AP165" s="103">
        <f t="shared" si="65"/>
        <v>5.0000000000000009</v>
      </c>
      <c r="AQ165" s="103">
        <f t="shared" si="55"/>
        <v>0</v>
      </c>
      <c r="AR165" s="68" t="str">
        <f>IFERROR(VLOOKUP(A165,CUSTOMERS!$A:$B,2),"")</f>
        <v>PRD</v>
      </c>
      <c r="AS165" s="68" t="str">
        <f>IFERROR(VLOOKUP(A165,CUSTOMERS!$A:$D,3),"")</f>
        <v>BLG</v>
      </c>
      <c r="AT165" s="68" t="str">
        <f>IFERROR(VLOOKUP(A165,CUSTOMERS!$A:$F,6),"")</f>
        <v>N</v>
      </c>
      <c r="AU165" s="69">
        <f>IFERROR(VLOOKUP(A165,CUSTOMERS!$A:$E,4),"")</f>
        <v>-150</v>
      </c>
      <c r="AV165" s="68" t="str">
        <f t="shared" si="51"/>
        <v/>
      </c>
      <c r="AX165" s="71" t="str">
        <f t="shared" si="66"/>
        <v>reason165</v>
      </c>
    </row>
    <row r="166" spans="1:50" ht="50.25" customHeight="1">
      <c r="A166" s="188" t="s">
        <v>27</v>
      </c>
      <c r="B166" s="125" t="str">
        <f t="shared" si="60"/>
        <v>N</v>
      </c>
      <c r="C166" s="125"/>
      <c r="D166" s="126">
        <v>20</v>
      </c>
      <c r="E166" s="126"/>
      <c r="F166" s="122" t="str">
        <f t="shared" si="59"/>
        <v>PRD-BLG-2021-00020</v>
      </c>
      <c r="G166" s="123" t="s">
        <v>200</v>
      </c>
      <c r="H166" s="124" t="s">
        <v>603</v>
      </c>
      <c r="I166" s="239"/>
      <c r="J166" s="80">
        <f t="shared" si="62"/>
        <v>-4218.75</v>
      </c>
      <c r="K166" s="177">
        <f t="shared" si="56"/>
        <v>44307</v>
      </c>
      <c r="L166" s="155">
        <v>44307</v>
      </c>
      <c r="M166" s="152"/>
      <c r="N166" s="147"/>
      <c r="O166" s="147"/>
      <c r="P166" s="153"/>
      <c r="Q166" s="201" t="s">
        <v>12</v>
      </c>
      <c r="R166" s="199" t="s">
        <v>4</v>
      </c>
      <c r="S166" s="210"/>
      <c r="T166" s="210"/>
      <c r="U166" s="210"/>
      <c r="V166" s="210"/>
      <c r="W166" s="210"/>
      <c r="X166" s="154" t="s">
        <v>604</v>
      </c>
      <c r="Y166" s="173">
        <f t="shared" si="54"/>
        <v>-4218.75</v>
      </c>
      <c r="Z166" s="83">
        <f t="shared" si="63"/>
        <v>-516.58163265306121</v>
      </c>
      <c r="AA166" s="84">
        <f t="shared" si="52"/>
        <v>-1980.2295918367347</v>
      </c>
      <c r="AB166" s="84">
        <f t="shared" si="53"/>
        <v>-688.77551020408146</v>
      </c>
      <c r="AC166" s="84">
        <f t="shared" si="64"/>
        <v>-516.58163265306121</v>
      </c>
      <c r="AD166" s="84"/>
      <c r="AE166" s="84">
        <f t="shared" si="67"/>
        <v>-516.58163265306121</v>
      </c>
      <c r="AF166" s="84">
        <f t="shared" si="61"/>
        <v>-4218.75</v>
      </c>
      <c r="AG166" s="94">
        <f t="shared" si="68"/>
        <v>0</v>
      </c>
      <c r="AH166" s="85">
        <f>IFERROR(VLOOKUP(A166,CUSTOMERS!$A:$E,4),"")</f>
        <v>-150</v>
      </c>
      <c r="AI166" s="86" t="str">
        <f t="shared" si="57"/>
        <v/>
      </c>
      <c r="AJ166" s="87">
        <f>IFERROR(VLOOKUP(A166,CUSTOMERS!$A:$F,5),"")</f>
        <v>0</v>
      </c>
      <c r="AK166" s="183">
        <v>0.45918367346938777</v>
      </c>
      <c r="AL166" s="183">
        <v>1.7602040816326532</v>
      </c>
      <c r="AM166" s="183">
        <v>0.61224489795918358</v>
      </c>
      <c r="AN166" s="183">
        <v>0.45918367346938777</v>
      </c>
      <c r="AO166" s="183">
        <v>0.45918367346938777</v>
      </c>
      <c r="AP166" s="103">
        <f t="shared" si="65"/>
        <v>3.75</v>
      </c>
      <c r="AQ166" s="103">
        <f t="shared" si="55"/>
        <v>0</v>
      </c>
      <c r="AR166" s="68" t="str">
        <f>IFERROR(VLOOKUP(A166,CUSTOMERS!$A:$B,2),"")</f>
        <v>PRD</v>
      </c>
      <c r="AS166" s="68" t="str">
        <f>IFERROR(VLOOKUP(A166,CUSTOMERS!$A:$D,3),"")</f>
        <v>BLG</v>
      </c>
      <c r="AT166" s="68" t="str">
        <f>IFERROR(VLOOKUP(A166,CUSTOMERS!$A:$F,6),"")</f>
        <v>N</v>
      </c>
      <c r="AU166" s="69">
        <f>IFERROR(VLOOKUP(A166,CUSTOMERS!$A:$E,4),"")</f>
        <v>-150</v>
      </c>
      <c r="AV166" s="68" t="str">
        <f t="shared" si="51"/>
        <v/>
      </c>
      <c r="AX166" s="71" t="str">
        <f t="shared" si="66"/>
        <v>reason166</v>
      </c>
    </row>
    <row r="167" spans="1:50" ht="50.25" customHeight="1">
      <c r="A167" s="188" t="s">
        <v>27</v>
      </c>
      <c r="B167" s="125" t="str">
        <f t="shared" si="60"/>
        <v>N</v>
      </c>
      <c r="C167" s="125"/>
      <c r="D167" s="126">
        <v>21</v>
      </c>
      <c r="E167" s="126"/>
      <c r="F167" s="122" t="str">
        <f t="shared" si="59"/>
        <v>PRD-BLG-2021-00021</v>
      </c>
      <c r="G167" s="123" t="s">
        <v>200</v>
      </c>
      <c r="H167" s="124" t="s">
        <v>605</v>
      </c>
      <c r="I167" s="239"/>
      <c r="J167" s="80">
        <f t="shared" si="62"/>
        <v>-5625</v>
      </c>
      <c r="K167" s="177">
        <f t="shared" si="56"/>
        <v>44307</v>
      </c>
      <c r="L167" s="155">
        <v>44307</v>
      </c>
      <c r="M167" s="152"/>
      <c r="N167" s="147"/>
      <c r="O167" s="147"/>
      <c r="P167" s="153"/>
      <c r="Q167" s="201" t="s">
        <v>12</v>
      </c>
      <c r="R167" s="199" t="s">
        <v>4</v>
      </c>
      <c r="S167" s="210"/>
      <c r="T167" s="210"/>
      <c r="U167" s="210"/>
      <c r="V167" s="210"/>
      <c r="W167" s="210"/>
      <c r="X167" s="154" t="s">
        <v>606</v>
      </c>
      <c r="Y167" s="173">
        <f t="shared" si="54"/>
        <v>-5625</v>
      </c>
      <c r="Z167" s="83">
        <f t="shared" si="63"/>
        <v>-688.77551020408168</v>
      </c>
      <c r="AA167" s="84">
        <f t="shared" si="52"/>
        <v>-2640.3061224489797</v>
      </c>
      <c r="AB167" s="84">
        <f t="shared" si="53"/>
        <v>-918.36734693877543</v>
      </c>
      <c r="AC167" s="84">
        <f t="shared" si="64"/>
        <v>-688.77551020408168</v>
      </c>
      <c r="AD167" s="84"/>
      <c r="AE167" s="84">
        <f t="shared" si="67"/>
        <v>-688.77551020408168</v>
      </c>
      <c r="AF167" s="84">
        <f t="shared" si="61"/>
        <v>-5625</v>
      </c>
      <c r="AG167" s="94">
        <f t="shared" si="68"/>
        <v>0</v>
      </c>
      <c r="AH167" s="85">
        <f>IFERROR(VLOOKUP(A167,CUSTOMERS!$A:$E,4),"")</f>
        <v>-150</v>
      </c>
      <c r="AI167" s="86" t="str">
        <f t="shared" si="57"/>
        <v/>
      </c>
      <c r="AJ167" s="87">
        <f>IFERROR(VLOOKUP(A167,CUSTOMERS!$A:$F,5),"")</f>
        <v>0</v>
      </c>
      <c r="AK167" s="96">
        <v>0.61224489795918369</v>
      </c>
      <c r="AL167" s="96">
        <v>2.3469387755102042</v>
      </c>
      <c r="AM167" s="96">
        <v>0.81632653061224481</v>
      </c>
      <c r="AN167" s="96">
        <v>0.61224489795918369</v>
      </c>
      <c r="AO167" s="96">
        <v>0.61224489795918369</v>
      </c>
      <c r="AP167" s="103">
        <f t="shared" si="65"/>
        <v>5.0000000000000009</v>
      </c>
      <c r="AQ167" s="103">
        <f t="shared" si="55"/>
        <v>0</v>
      </c>
      <c r="AR167" s="68" t="str">
        <f>IFERROR(VLOOKUP(A167,CUSTOMERS!$A:$B,2),"")</f>
        <v>PRD</v>
      </c>
      <c r="AS167" s="68" t="str">
        <f>IFERROR(VLOOKUP(A167,CUSTOMERS!$A:$D,3),"")</f>
        <v>BLG</v>
      </c>
      <c r="AT167" s="68" t="str">
        <f>IFERROR(VLOOKUP(A167,CUSTOMERS!$A:$F,6),"")</f>
        <v>N</v>
      </c>
      <c r="AU167" s="69">
        <f>IFERROR(VLOOKUP(A167,CUSTOMERS!$A:$E,4),"")</f>
        <v>-150</v>
      </c>
      <c r="AV167" s="68" t="str">
        <f t="shared" si="51"/>
        <v/>
      </c>
      <c r="AX167" s="71" t="str">
        <f t="shared" si="66"/>
        <v>reason167</v>
      </c>
    </row>
    <row r="168" spans="1:50" ht="50.25" customHeight="1">
      <c r="A168" s="188" t="s">
        <v>27</v>
      </c>
      <c r="B168" s="125" t="str">
        <f t="shared" si="60"/>
        <v>N</v>
      </c>
      <c r="C168" s="125"/>
      <c r="D168" s="126">
        <v>22</v>
      </c>
      <c r="E168" s="126"/>
      <c r="F168" s="122" t="str">
        <f t="shared" si="59"/>
        <v>PRD-BLG-2021-00022</v>
      </c>
      <c r="G168" s="123" t="s">
        <v>200</v>
      </c>
      <c r="H168" s="124" t="s">
        <v>607</v>
      </c>
      <c r="I168" s="239"/>
      <c r="J168" s="80">
        <f t="shared" si="62"/>
        <v>-2812.5</v>
      </c>
      <c r="K168" s="177">
        <f t="shared" si="56"/>
        <v>44307</v>
      </c>
      <c r="L168" s="155">
        <v>44307</v>
      </c>
      <c r="M168" s="152"/>
      <c r="N168" s="147"/>
      <c r="O168" s="147"/>
      <c r="P168" s="153"/>
      <c r="Q168" s="201" t="s">
        <v>12</v>
      </c>
      <c r="R168" s="199" t="s">
        <v>4</v>
      </c>
      <c r="S168" s="210"/>
      <c r="T168" s="210"/>
      <c r="U168" s="210"/>
      <c r="V168" s="210"/>
      <c r="W168" s="210"/>
      <c r="X168" s="154" t="s">
        <v>608</v>
      </c>
      <c r="Y168" s="173">
        <f t="shared" si="54"/>
        <v>-2812.5</v>
      </c>
      <c r="Z168" s="83">
        <f t="shared" si="63"/>
        <v>-344.38775510204084</v>
      </c>
      <c r="AA168" s="84">
        <f t="shared" si="52"/>
        <v>-1320.1530612244899</v>
      </c>
      <c r="AB168" s="84">
        <f t="shared" si="53"/>
        <v>-459.18367346938771</v>
      </c>
      <c r="AC168" s="84">
        <f t="shared" si="64"/>
        <v>-344.38775510204084</v>
      </c>
      <c r="AD168" s="84"/>
      <c r="AE168" s="84">
        <f t="shared" si="67"/>
        <v>-344.38775510204084</v>
      </c>
      <c r="AF168" s="84">
        <f t="shared" si="61"/>
        <v>-2812.5</v>
      </c>
      <c r="AG168" s="94">
        <f t="shared" si="68"/>
        <v>0</v>
      </c>
      <c r="AH168" s="85">
        <f>IFERROR(VLOOKUP(A168,CUSTOMERS!$A:$E,4),"")</f>
        <v>-150</v>
      </c>
      <c r="AI168" s="86" t="str">
        <f t="shared" si="57"/>
        <v/>
      </c>
      <c r="AJ168" s="87">
        <f>IFERROR(VLOOKUP(A168,CUSTOMERS!$A:$F,5),"")</f>
        <v>0</v>
      </c>
      <c r="AK168" s="96">
        <v>0.30612244897959184</v>
      </c>
      <c r="AL168" s="96">
        <v>1.1734693877551021</v>
      </c>
      <c r="AM168" s="96">
        <v>0.4081632653061224</v>
      </c>
      <c r="AN168" s="96">
        <v>0.30612244897959184</v>
      </c>
      <c r="AO168" s="96">
        <v>0.30612244897959184</v>
      </c>
      <c r="AP168" s="103">
        <f t="shared" si="65"/>
        <v>2.5000000000000004</v>
      </c>
      <c r="AQ168" s="103">
        <f t="shared" si="55"/>
        <v>0</v>
      </c>
      <c r="AR168" s="68" t="str">
        <f>IFERROR(VLOOKUP(A168,CUSTOMERS!$A:$B,2),"")</f>
        <v>PRD</v>
      </c>
      <c r="AS168" s="68" t="str">
        <f>IFERROR(VLOOKUP(A168,CUSTOMERS!$A:$D,3),"")</f>
        <v>BLG</v>
      </c>
      <c r="AT168" s="68" t="str">
        <f>IFERROR(VLOOKUP(A168,CUSTOMERS!$A:$F,6),"")</f>
        <v>N</v>
      </c>
      <c r="AU168" s="69">
        <f>IFERROR(VLOOKUP(A168,CUSTOMERS!$A:$E,4),"")</f>
        <v>-150</v>
      </c>
      <c r="AV168" s="68" t="str">
        <f t="shared" si="51"/>
        <v/>
      </c>
      <c r="AX168" s="71" t="str">
        <f t="shared" si="66"/>
        <v>reason168</v>
      </c>
    </row>
    <row r="169" spans="1:50" ht="50.25" customHeight="1">
      <c r="A169" s="188" t="s">
        <v>27</v>
      </c>
      <c r="B169" s="125" t="str">
        <f t="shared" si="60"/>
        <v>N</v>
      </c>
      <c r="C169" s="125"/>
      <c r="D169" s="126">
        <v>23</v>
      </c>
      <c r="E169" s="126"/>
      <c r="F169" s="122" t="str">
        <f t="shared" si="59"/>
        <v>PRD-BLG-2021-00023</v>
      </c>
      <c r="G169" s="123" t="s">
        <v>200</v>
      </c>
      <c r="H169" s="124" t="s">
        <v>609</v>
      </c>
      <c r="I169" s="239"/>
      <c r="J169" s="80">
        <f t="shared" si="62"/>
        <v>-3164.0624999999995</v>
      </c>
      <c r="K169" s="177">
        <f t="shared" si="56"/>
        <v>44307</v>
      </c>
      <c r="L169" s="155">
        <v>44307</v>
      </c>
      <c r="M169" s="152"/>
      <c r="N169" s="147"/>
      <c r="O169" s="147"/>
      <c r="P169" s="153"/>
      <c r="Q169" s="201" t="s">
        <v>12</v>
      </c>
      <c r="R169" s="199" t="s">
        <v>4</v>
      </c>
      <c r="S169" s="210"/>
      <c r="T169" s="210"/>
      <c r="U169" s="210"/>
      <c r="V169" s="210"/>
      <c r="W169" s="210"/>
      <c r="X169" s="154" t="s">
        <v>610</v>
      </c>
      <c r="Y169" s="173">
        <f t="shared" si="54"/>
        <v>-3164.0624999999995</v>
      </c>
      <c r="Z169" s="83">
        <f t="shared" si="63"/>
        <v>-387.43622448979585</v>
      </c>
      <c r="AA169" s="84">
        <f t="shared" si="52"/>
        <v>-1485.1721938775511</v>
      </c>
      <c r="AB169" s="84">
        <f t="shared" si="53"/>
        <v>-516.58163265306121</v>
      </c>
      <c r="AC169" s="84">
        <f t="shared" si="64"/>
        <v>-387.43622448979585</v>
      </c>
      <c r="AD169" s="84"/>
      <c r="AE169" s="84">
        <f t="shared" si="67"/>
        <v>-387.43622448979585</v>
      </c>
      <c r="AF169" s="84">
        <f t="shared" si="61"/>
        <v>-3164.0624999999995</v>
      </c>
      <c r="AG169" s="94">
        <f t="shared" si="68"/>
        <v>0</v>
      </c>
      <c r="AH169" s="85">
        <f>IFERROR(VLOOKUP(A169,CUSTOMERS!$A:$E,4),"")</f>
        <v>-150</v>
      </c>
      <c r="AI169" s="86" t="str">
        <f t="shared" si="57"/>
        <v/>
      </c>
      <c r="AJ169" s="87">
        <f>IFERROR(VLOOKUP(A169,CUSTOMERS!$A:$F,5),"")</f>
        <v>0</v>
      </c>
      <c r="AK169" s="96">
        <v>0.34438775510204078</v>
      </c>
      <c r="AL169" s="96">
        <v>1.3201530612244898</v>
      </c>
      <c r="AM169" s="96">
        <v>0.45918367346938771</v>
      </c>
      <c r="AN169" s="96">
        <v>0.34438775510204078</v>
      </c>
      <c r="AO169" s="96">
        <v>0.34438775510204078</v>
      </c>
      <c r="AP169" s="103">
        <f t="shared" si="65"/>
        <v>2.8124999999999996</v>
      </c>
      <c r="AQ169" s="103">
        <f t="shared" si="55"/>
        <v>0</v>
      </c>
      <c r="AR169" s="68" t="str">
        <f>IFERROR(VLOOKUP(A169,CUSTOMERS!$A:$B,2),"")</f>
        <v>PRD</v>
      </c>
      <c r="AS169" s="68" t="str">
        <f>IFERROR(VLOOKUP(A169,CUSTOMERS!$A:$D,3),"")</f>
        <v>BLG</v>
      </c>
      <c r="AT169" s="68" t="str">
        <f>IFERROR(VLOOKUP(A169,CUSTOMERS!$A:$F,6),"")</f>
        <v>N</v>
      </c>
      <c r="AU169" s="69">
        <f>IFERROR(VLOOKUP(A169,CUSTOMERS!$A:$E,4),"")</f>
        <v>-150</v>
      </c>
      <c r="AV169" s="68" t="str">
        <f t="shared" si="51"/>
        <v/>
      </c>
      <c r="AX169" s="71" t="str">
        <f t="shared" si="66"/>
        <v>reason169</v>
      </c>
    </row>
    <row r="170" spans="1:50" ht="50.25" customHeight="1">
      <c r="A170" s="188" t="s">
        <v>27</v>
      </c>
      <c r="B170" s="125" t="str">
        <f t="shared" si="60"/>
        <v>N</v>
      </c>
      <c r="C170" s="125"/>
      <c r="D170" s="126">
        <v>24</v>
      </c>
      <c r="E170" s="126"/>
      <c r="F170" s="122" t="str">
        <f t="shared" si="59"/>
        <v>PRD-BLG-2021-00024</v>
      </c>
      <c r="G170" s="123" t="s">
        <v>200</v>
      </c>
      <c r="H170" s="124" t="s">
        <v>611</v>
      </c>
      <c r="I170" s="239"/>
      <c r="J170" s="80">
        <f t="shared" si="62"/>
        <v>-70312.5</v>
      </c>
      <c r="K170" s="177">
        <f t="shared" si="56"/>
        <v>44307</v>
      </c>
      <c r="L170" s="155">
        <v>44307</v>
      </c>
      <c r="M170" s="152"/>
      <c r="N170" s="147"/>
      <c r="O170" s="147"/>
      <c r="P170" s="153"/>
      <c r="Q170" s="201" t="s">
        <v>12</v>
      </c>
      <c r="R170" s="199" t="s">
        <v>4</v>
      </c>
      <c r="S170" s="210"/>
      <c r="T170" s="210"/>
      <c r="U170" s="210"/>
      <c r="V170" s="210"/>
      <c r="W170" s="210"/>
      <c r="X170" s="154" t="s">
        <v>612</v>
      </c>
      <c r="Y170" s="173">
        <f t="shared" si="54"/>
        <v>-70312.5</v>
      </c>
      <c r="Z170" s="83">
        <f t="shared" si="63"/>
        <v>-8609.6938775510207</v>
      </c>
      <c r="AA170" s="84">
        <f t="shared" si="52"/>
        <v>-33003.826530612248</v>
      </c>
      <c r="AB170" s="84">
        <f t="shared" si="53"/>
        <v>-11479.591836734693</v>
      </c>
      <c r="AC170" s="84">
        <f t="shared" si="64"/>
        <v>-8609.6938775510207</v>
      </c>
      <c r="AD170" s="84"/>
      <c r="AE170" s="84">
        <f t="shared" si="67"/>
        <v>-8609.6938775510207</v>
      </c>
      <c r="AF170" s="84">
        <f t="shared" si="61"/>
        <v>-70312.5</v>
      </c>
      <c r="AG170" s="94">
        <f t="shared" si="68"/>
        <v>0</v>
      </c>
      <c r="AH170" s="85">
        <f>IFERROR(VLOOKUP(A170,CUSTOMERS!$A:$E,4),"")</f>
        <v>-150</v>
      </c>
      <c r="AI170" s="86" t="str">
        <f t="shared" si="57"/>
        <v/>
      </c>
      <c r="AJ170" s="87">
        <f>IFERROR(VLOOKUP(A170,CUSTOMERS!$A:$F,5),"")</f>
        <v>0</v>
      </c>
      <c r="AK170" s="96">
        <v>7.6530612244897958</v>
      </c>
      <c r="AL170" s="96">
        <v>29.336734693877553</v>
      </c>
      <c r="AM170" s="96">
        <v>10.204081632653061</v>
      </c>
      <c r="AN170" s="96">
        <v>7.6530612244897958</v>
      </c>
      <c r="AO170" s="96">
        <v>7.6530612244897958</v>
      </c>
      <c r="AP170" s="103">
        <f t="shared" si="65"/>
        <v>62.5</v>
      </c>
      <c r="AQ170" s="103">
        <f t="shared" si="55"/>
        <v>0</v>
      </c>
      <c r="AR170" s="68" t="str">
        <f>IFERROR(VLOOKUP(A170,CUSTOMERS!$A:$B,2),"")</f>
        <v>PRD</v>
      </c>
      <c r="AS170" s="68" t="str">
        <f>IFERROR(VLOOKUP(A170,CUSTOMERS!$A:$D,3),"")</f>
        <v>BLG</v>
      </c>
      <c r="AT170" s="68" t="str">
        <f>IFERROR(VLOOKUP(A170,CUSTOMERS!$A:$F,6),"")</f>
        <v>N</v>
      </c>
      <c r="AU170" s="69">
        <f>IFERROR(VLOOKUP(A170,CUSTOMERS!$A:$E,4),"")</f>
        <v>-150</v>
      </c>
      <c r="AV170" s="68" t="str">
        <f t="shared" ref="AV170:AV233" si="69">IF(AH170&lt;&gt;AU170,"Y","")</f>
        <v/>
      </c>
      <c r="AX170" s="71" t="str">
        <f t="shared" si="66"/>
        <v>reason170</v>
      </c>
    </row>
    <row r="171" spans="1:50" ht="50.25" customHeight="1">
      <c r="A171" s="188" t="s">
        <v>27</v>
      </c>
      <c r="B171" s="125" t="str">
        <f t="shared" si="60"/>
        <v>N</v>
      </c>
      <c r="C171" s="125"/>
      <c r="D171" s="126">
        <v>25</v>
      </c>
      <c r="E171" s="126"/>
      <c r="F171" s="122" t="str">
        <f t="shared" si="59"/>
        <v>PRD-BLG-2021-00025</v>
      </c>
      <c r="G171" s="123" t="s">
        <v>200</v>
      </c>
      <c r="H171" s="124" t="s">
        <v>613</v>
      </c>
      <c r="I171" s="239"/>
      <c r="J171" s="80">
        <f t="shared" si="62"/>
        <v>-3515.625</v>
      </c>
      <c r="K171" s="177">
        <f t="shared" si="56"/>
        <v>44307</v>
      </c>
      <c r="L171" s="155">
        <v>44307</v>
      </c>
      <c r="M171" s="152"/>
      <c r="N171" s="147"/>
      <c r="O171" s="147"/>
      <c r="P171" s="153"/>
      <c r="Q171" s="201" t="s">
        <v>12</v>
      </c>
      <c r="R171" s="199" t="s">
        <v>4</v>
      </c>
      <c r="S171" s="210"/>
      <c r="T171" s="210"/>
      <c r="U171" s="210"/>
      <c r="V171" s="210"/>
      <c r="W171" s="210"/>
      <c r="X171" s="154" t="s">
        <v>614</v>
      </c>
      <c r="Y171" s="173">
        <f t="shared" si="54"/>
        <v>-3515.625</v>
      </c>
      <c r="Z171" s="83">
        <f t="shared" si="63"/>
        <v>-430.48469387755097</v>
      </c>
      <c r="AA171" s="84">
        <f t="shared" si="52"/>
        <v>-1650.1913265306123</v>
      </c>
      <c r="AB171" s="84">
        <f t="shared" si="53"/>
        <v>-573.9795918367347</v>
      </c>
      <c r="AC171" s="84">
        <f t="shared" si="64"/>
        <v>-430.48469387755097</v>
      </c>
      <c r="AD171" s="84"/>
      <c r="AE171" s="84">
        <f t="shared" si="67"/>
        <v>-430.48469387755097</v>
      </c>
      <c r="AF171" s="84">
        <f t="shared" si="61"/>
        <v>-3515.625</v>
      </c>
      <c r="AG171" s="94">
        <f t="shared" si="68"/>
        <v>0</v>
      </c>
      <c r="AH171" s="85">
        <f>IFERROR(VLOOKUP(A171,CUSTOMERS!$A:$E,4),"")</f>
        <v>-150</v>
      </c>
      <c r="AI171" s="86" t="str">
        <f t="shared" si="57"/>
        <v/>
      </c>
      <c r="AJ171" s="87">
        <f>IFERROR(VLOOKUP(A171,CUSTOMERS!$A:$F,5),"")</f>
        <v>0</v>
      </c>
      <c r="AK171" s="96">
        <v>0.38265306122448978</v>
      </c>
      <c r="AL171" s="96">
        <v>1.4668367346938775</v>
      </c>
      <c r="AM171" s="96">
        <v>0.51020408163265307</v>
      </c>
      <c r="AN171" s="96">
        <v>0.38265306122448978</v>
      </c>
      <c r="AO171" s="96">
        <v>0.38265306122448978</v>
      </c>
      <c r="AP171" s="103">
        <f t="shared" si="65"/>
        <v>3.125</v>
      </c>
      <c r="AQ171" s="103">
        <f t="shared" si="55"/>
        <v>0</v>
      </c>
      <c r="AR171" s="68" t="str">
        <f>IFERROR(VLOOKUP(A171,CUSTOMERS!$A:$B,2),"")</f>
        <v>PRD</v>
      </c>
      <c r="AS171" s="68" t="str">
        <f>IFERROR(VLOOKUP(A171,CUSTOMERS!$A:$D,3),"")</f>
        <v>BLG</v>
      </c>
      <c r="AT171" s="68" t="str">
        <f>IFERROR(VLOOKUP(A171,CUSTOMERS!$A:$F,6),"")</f>
        <v>N</v>
      </c>
      <c r="AU171" s="69">
        <f>IFERROR(VLOOKUP(A171,CUSTOMERS!$A:$E,4),"")</f>
        <v>-150</v>
      </c>
      <c r="AV171" s="68" t="str">
        <f t="shared" si="69"/>
        <v/>
      </c>
      <c r="AX171" s="71" t="str">
        <f t="shared" si="66"/>
        <v>reason171</v>
      </c>
    </row>
    <row r="172" spans="1:50" ht="50.25" customHeight="1">
      <c r="A172" s="188" t="s">
        <v>27</v>
      </c>
      <c r="B172" s="125" t="str">
        <f t="shared" si="60"/>
        <v>N</v>
      </c>
      <c r="C172" s="125"/>
      <c r="D172" s="126">
        <v>26</v>
      </c>
      <c r="E172" s="126"/>
      <c r="F172" s="122" t="str">
        <f t="shared" si="59"/>
        <v>PRD-BLG-2021-00026</v>
      </c>
      <c r="G172" s="123" t="s">
        <v>200</v>
      </c>
      <c r="H172" s="124" t="s">
        <v>615</v>
      </c>
      <c r="I172" s="239"/>
      <c r="J172" s="80">
        <f t="shared" si="62"/>
        <v>-7875</v>
      </c>
      <c r="K172" s="177">
        <f t="shared" si="56"/>
        <v>44307</v>
      </c>
      <c r="L172" s="155">
        <v>44307</v>
      </c>
      <c r="M172" s="152"/>
      <c r="N172" s="147"/>
      <c r="O172" s="147"/>
      <c r="P172" s="153"/>
      <c r="Q172" s="201" t="s">
        <v>12</v>
      </c>
      <c r="R172" s="199" t="s">
        <v>4</v>
      </c>
      <c r="S172" s="210"/>
      <c r="T172" s="210"/>
      <c r="U172" s="210"/>
      <c r="V172" s="210"/>
      <c r="W172" s="210"/>
      <c r="X172" s="154" t="s">
        <v>616</v>
      </c>
      <c r="Y172" s="173">
        <f t="shared" si="54"/>
        <v>-7875</v>
      </c>
      <c r="Z172" s="83">
        <f t="shared" si="63"/>
        <v>-1125</v>
      </c>
      <c r="AA172" s="84">
        <f t="shared" si="52"/>
        <v>-3375</v>
      </c>
      <c r="AB172" s="84">
        <f t="shared" si="53"/>
        <v>-1125</v>
      </c>
      <c r="AC172" s="84">
        <f t="shared" si="64"/>
        <v>-1125</v>
      </c>
      <c r="AD172" s="84"/>
      <c r="AE172" s="84">
        <f t="shared" si="67"/>
        <v>-1125</v>
      </c>
      <c r="AF172" s="84">
        <f t="shared" si="61"/>
        <v>-7875</v>
      </c>
      <c r="AG172" s="94">
        <f t="shared" si="68"/>
        <v>0</v>
      </c>
      <c r="AH172" s="85">
        <f>IFERROR(VLOOKUP(A172,CUSTOMERS!$A:$E,4),"")</f>
        <v>-150</v>
      </c>
      <c r="AI172" s="86" t="str">
        <f t="shared" si="57"/>
        <v/>
      </c>
      <c r="AJ172" s="87">
        <f>IFERROR(VLOOKUP(A172,CUSTOMERS!$A:$F,5),"")</f>
        <v>0</v>
      </c>
      <c r="AK172" s="194">
        <v>1</v>
      </c>
      <c r="AL172" s="195">
        <v>3</v>
      </c>
      <c r="AM172" s="195">
        <v>1</v>
      </c>
      <c r="AN172" s="195">
        <v>1</v>
      </c>
      <c r="AO172" s="195">
        <v>1</v>
      </c>
      <c r="AP172" s="103">
        <f t="shared" si="65"/>
        <v>7</v>
      </c>
      <c r="AQ172" s="103">
        <f t="shared" si="55"/>
        <v>0</v>
      </c>
      <c r="AR172" s="68" t="str">
        <f>IFERROR(VLOOKUP(A172,CUSTOMERS!$A:$B,2),"")</f>
        <v>PRD</v>
      </c>
      <c r="AS172" s="68" t="str">
        <f>IFERROR(VLOOKUP(A172,CUSTOMERS!$A:$D,3),"")</f>
        <v>BLG</v>
      </c>
      <c r="AT172" s="68" t="str">
        <f>IFERROR(VLOOKUP(A172,CUSTOMERS!$A:$F,6),"")</f>
        <v>N</v>
      </c>
      <c r="AU172" s="69">
        <f>IFERROR(VLOOKUP(A172,CUSTOMERS!$A:$E,4),"")</f>
        <v>-150</v>
      </c>
      <c r="AV172" s="68" t="str">
        <f t="shared" si="69"/>
        <v/>
      </c>
      <c r="AX172" s="71" t="str">
        <f t="shared" si="66"/>
        <v>reason172</v>
      </c>
    </row>
    <row r="173" spans="1:50" ht="50.25" customHeight="1">
      <c r="A173" s="188" t="s">
        <v>27</v>
      </c>
      <c r="B173" s="125" t="str">
        <f t="shared" si="60"/>
        <v>N</v>
      </c>
      <c r="C173" s="125"/>
      <c r="D173" s="126">
        <v>27</v>
      </c>
      <c r="E173" s="126"/>
      <c r="F173" s="122" t="str">
        <f t="shared" si="59"/>
        <v>PRD-BLG-2021-00027</v>
      </c>
      <c r="G173" s="123" t="s">
        <v>200</v>
      </c>
      <c r="H173" s="124" t="s">
        <v>617</v>
      </c>
      <c r="I173" s="239"/>
      <c r="J173" s="80">
        <f t="shared" si="62"/>
        <v>-7875</v>
      </c>
      <c r="K173" s="177">
        <f t="shared" si="56"/>
        <v>44307</v>
      </c>
      <c r="L173" s="155">
        <v>44307</v>
      </c>
      <c r="M173" s="152"/>
      <c r="N173" s="147"/>
      <c r="O173" s="147"/>
      <c r="P173" s="153"/>
      <c r="Q173" s="201" t="s">
        <v>12</v>
      </c>
      <c r="R173" s="199" t="s">
        <v>4</v>
      </c>
      <c r="S173" s="210"/>
      <c r="T173" s="210"/>
      <c r="U173" s="210"/>
      <c r="V173" s="210"/>
      <c r="W173" s="210"/>
      <c r="X173" s="154" t="s">
        <v>618</v>
      </c>
      <c r="Y173" s="173">
        <f t="shared" si="54"/>
        <v>-7875</v>
      </c>
      <c r="Z173" s="83">
        <f t="shared" si="63"/>
        <v>-1125</v>
      </c>
      <c r="AA173" s="84">
        <f t="shared" si="52"/>
        <v>-3375</v>
      </c>
      <c r="AB173" s="84">
        <f t="shared" si="53"/>
        <v>-1125</v>
      </c>
      <c r="AC173" s="84">
        <f t="shared" si="64"/>
        <v>-1125</v>
      </c>
      <c r="AD173" s="84"/>
      <c r="AE173" s="84">
        <f t="shared" si="67"/>
        <v>-1125</v>
      </c>
      <c r="AF173" s="84">
        <f t="shared" si="61"/>
        <v>-7875</v>
      </c>
      <c r="AG173" s="94">
        <f t="shared" si="68"/>
        <v>0</v>
      </c>
      <c r="AH173" s="85">
        <f>IFERROR(VLOOKUP(A173,CUSTOMERS!$A:$E,4),"")</f>
        <v>-150</v>
      </c>
      <c r="AI173" s="86" t="str">
        <f t="shared" si="57"/>
        <v/>
      </c>
      <c r="AJ173" s="87">
        <f>IFERROR(VLOOKUP(A173,CUSTOMERS!$A:$F,5),"")</f>
        <v>0</v>
      </c>
      <c r="AK173" s="194">
        <v>1</v>
      </c>
      <c r="AL173" s="195">
        <v>3</v>
      </c>
      <c r="AM173" s="195">
        <v>1</v>
      </c>
      <c r="AN173" s="195">
        <v>1</v>
      </c>
      <c r="AO173" s="195">
        <v>1</v>
      </c>
      <c r="AP173" s="103">
        <f t="shared" si="65"/>
        <v>7</v>
      </c>
      <c r="AQ173" s="103">
        <f t="shared" si="55"/>
        <v>0</v>
      </c>
      <c r="AR173" s="68" t="str">
        <f>IFERROR(VLOOKUP(A173,CUSTOMERS!$A:$B,2),"")</f>
        <v>PRD</v>
      </c>
      <c r="AS173" s="68" t="str">
        <f>IFERROR(VLOOKUP(A173,CUSTOMERS!$A:$D,3),"")</f>
        <v>BLG</v>
      </c>
      <c r="AT173" s="68" t="str">
        <f>IFERROR(VLOOKUP(A173,CUSTOMERS!$A:$F,6),"")</f>
        <v>N</v>
      </c>
      <c r="AU173" s="69">
        <f>IFERROR(VLOOKUP(A173,CUSTOMERS!$A:$E,4),"")</f>
        <v>-150</v>
      </c>
      <c r="AV173" s="68" t="str">
        <f t="shared" si="69"/>
        <v/>
      </c>
      <c r="AX173" s="71" t="str">
        <f t="shared" si="66"/>
        <v>reason173</v>
      </c>
    </row>
    <row r="174" spans="1:50" ht="50.25" customHeight="1">
      <c r="A174" s="188" t="s">
        <v>27</v>
      </c>
      <c r="B174" s="125" t="str">
        <f t="shared" si="60"/>
        <v>N</v>
      </c>
      <c r="C174" s="125"/>
      <c r="D174" s="126">
        <v>28</v>
      </c>
      <c r="E174" s="126"/>
      <c r="F174" s="122" t="str">
        <f t="shared" si="59"/>
        <v>PRD-BLG-2021-00028</v>
      </c>
      <c r="G174" s="123" t="s">
        <v>200</v>
      </c>
      <c r="H174" s="124" t="s">
        <v>619</v>
      </c>
      <c r="I174" s="239"/>
      <c r="J174" s="80">
        <f t="shared" si="62"/>
        <v>-4500</v>
      </c>
      <c r="K174" s="177">
        <f t="shared" si="56"/>
        <v>44307</v>
      </c>
      <c r="L174" s="155">
        <v>44307</v>
      </c>
      <c r="M174" s="152"/>
      <c r="N174" s="147"/>
      <c r="O174" s="147"/>
      <c r="P174" s="153"/>
      <c r="Q174" s="201" t="s">
        <v>12</v>
      </c>
      <c r="R174" s="199" t="s">
        <v>4</v>
      </c>
      <c r="S174" s="210"/>
      <c r="T174" s="210"/>
      <c r="U174" s="210"/>
      <c r="V174" s="210"/>
      <c r="W174" s="210"/>
      <c r="X174" s="154" t="s">
        <v>620</v>
      </c>
      <c r="Y174" s="173">
        <f t="shared" si="54"/>
        <v>-4500</v>
      </c>
      <c r="Z174" s="83">
        <f t="shared" si="63"/>
        <v>-562.5</v>
      </c>
      <c r="AA174" s="84">
        <f t="shared" si="52"/>
        <v>-2250</v>
      </c>
      <c r="AB174" s="84">
        <f t="shared" si="53"/>
        <v>-1125</v>
      </c>
      <c r="AC174" s="84">
        <f t="shared" si="64"/>
        <v>0</v>
      </c>
      <c r="AD174" s="84"/>
      <c r="AE174" s="84">
        <f t="shared" si="67"/>
        <v>-562.5</v>
      </c>
      <c r="AF174" s="84">
        <f t="shared" si="61"/>
        <v>-4500</v>
      </c>
      <c r="AG174" s="94">
        <f t="shared" si="68"/>
        <v>0</v>
      </c>
      <c r="AH174" s="85">
        <f>IFERROR(VLOOKUP(A174,CUSTOMERS!$A:$E,4),"")</f>
        <v>-150</v>
      </c>
      <c r="AI174" s="86" t="str">
        <f t="shared" si="57"/>
        <v/>
      </c>
      <c r="AJ174" s="87">
        <f>IFERROR(VLOOKUP(A174,CUSTOMERS!$A:$F,5),"")</f>
        <v>0</v>
      </c>
      <c r="AK174" s="194">
        <v>0.5</v>
      </c>
      <c r="AL174" s="195">
        <v>2</v>
      </c>
      <c r="AM174" s="195">
        <v>1</v>
      </c>
      <c r="AN174" s="195">
        <v>0</v>
      </c>
      <c r="AO174" s="195">
        <v>0.5</v>
      </c>
      <c r="AP174" s="103">
        <f t="shared" si="65"/>
        <v>4</v>
      </c>
      <c r="AQ174" s="103">
        <f t="shared" si="55"/>
        <v>0</v>
      </c>
      <c r="AR174" s="68" t="str">
        <f>IFERROR(VLOOKUP(A174,CUSTOMERS!$A:$B,2),"")</f>
        <v>PRD</v>
      </c>
      <c r="AS174" s="68" t="str">
        <f>IFERROR(VLOOKUP(A174,CUSTOMERS!$A:$D,3),"")</f>
        <v>BLG</v>
      </c>
      <c r="AT174" s="68" t="str">
        <f>IFERROR(VLOOKUP(A174,CUSTOMERS!$A:$F,6),"")</f>
        <v>N</v>
      </c>
      <c r="AU174" s="69">
        <f>IFERROR(VLOOKUP(A174,CUSTOMERS!$A:$E,4),"")</f>
        <v>-150</v>
      </c>
      <c r="AV174" s="68" t="str">
        <f t="shared" si="69"/>
        <v/>
      </c>
      <c r="AX174" s="71" t="str">
        <f t="shared" si="66"/>
        <v>reason174</v>
      </c>
    </row>
    <row r="175" spans="1:50" ht="50.25" customHeight="1">
      <c r="A175" s="188" t="s">
        <v>27</v>
      </c>
      <c r="B175" s="125" t="str">
        <f t="shared" si="60"/>
        <v>N</v>
      </c>
      <c r="C175" s="125"/>
      <c r="D175" s="126">
        <v>29</v>
      </c>
      <c r="E175" s="126"/>
      <c r="F175" s="122" t="str">
        <f t="shared" si="59"/>
        <v>PRD-BLG-2021-00029</v>
      </c>
      <c r="G175" s="123" t="s">
        <v>200</v>
      </c>
      <c r="H175" s="124" t="s">
        <v>621</v>
      </c>
      <c r="I175" s="239"/>
      <c r="J175" s="80">
        <f t="shared" si="62"/>
        <v>-4500</v>
      </c>
      <c r="K175" s="177">
        <f t="shared" si="56"/>
        <v>44307</v>
      </c>
      <c r="L175" s="155">
        <v>44307</v>
      </c>
      <c r="M175" s="152"/>
      <c r="N175" s="147"/>
      <c r="O175" s="147"/>
      <c r="P175" s="153"/>
      <c r="Q175" s="201" t="s">
        <v>12</v>
      </c>
      <c r="R175" s="199" t="s">
        <v>4</v>
      </c>
      <c r="S175" s="210"/>
      <c r="T175" s="210"/>
      <c r="U175" s="210"/>
      <c r="V175" s="210"/>
      <c r="W175" s="210"/>
      <c r="X175" s="154" t="s">
        <v>622</v>
      </c>
      <c r="Y175" s="173">
        <f t="shared" si="54"/>
        <v>-4500</v>
      </c>
      <c r="Z175" s="83">
        <f t="shared" si="63"/>
        <v>-562.5</v>
      </c>
      <c r="AA175" s="84">
        <f t="shared" ref="AA175:AA238" si="70">IFERROR((AL175*AH175)*7.5,"")</f>
        <v>-2250</v>
      </c>
      <c r="AB175" s="84">
        <f t="shared" ref="AB175:AB238" si="71">IFERROR((AM175*AH175)*7.5,"")</f>
        <v>-1125</v>
      </c>
      <c r="AC175" s="84">
        <f t="shared" si="64"/>
        <v>0</v>
      </c>
      <c r="AD175" s="84"/>
      <c r="AE175" s="84">
        <f t="shared" si="67"/>
        <v>-562.5</v>
      </c>
      <c r="AF175" s="84">
        <f t="shared" si="61"/>
        <v>-4500</v>
      </c>
      <c r="AG175" s="94">
        <f t="shared" si="68"/>
        <v>0</v>
      </c>
      <c r="AH175" s="85">
        <f>IFERROR(VLOOKUP(A175,CUSTOMERS!$A:$E,4),"")</f>
        <v>-150</v>
      </c>
      <c r="AI175" s="86" t="str">
        <f t="shared" si="57"/>
        <v/>
      </c>
      <c r="AJ175" s="87">
        <f>IFERROR(VLOOKUP(A175,CUSTOMERS!$A:$F,5),"")</f>
        <v>0</v>
      </c>
      <c r="AK175" s="194">
        <v>0.5</v>
      </c>
      <c r="AL175" s="195">
        <v>2</v>
      </c>
      <c r="AM175" s="195">
        <v>1</v>
      </c>
      <c r="AN175" s="195">
        <v>0</v>
      </c>
      <c r="AO175" s="195">
        <v>0.5</v>
      </c>
      <c r="AP175" s="103">
        <f t="shared" si="65"/>
        <v>4</v>
      </c>
      <c r="AQ175" s="103">
        <f t="shared" si="55"/>
        <v>0</v>
      </c>
      <c r="AR175" s="68" t="str">
        <f>IFERROR(VLOOKUP(A175,CUSTOMERS!$A:$B,2),"")</f>
        <v>PRD</v>
      </c>
      <c r="AS175" s="68" t="str">
        <f>IFERROR(VLOOKUP(A175,CUSTOMERS!$A:$D,3),"")</f>
        <v>BLG</v>
      </c>
      <c r="AT175" s="68" t="str">
        <f>IFERROR(VLOOKUP(A175,CUSTOMERS!$A:$F,6),"")</f>
        <v>N</v>
      </c>
      <c r="AU175" s="69">
        <f>IFERROR(VLOOKUP(A175,CUSTOMERS!$A:$E,4),"")</f>
        <v>-150</v>
      </c>
      <c r="AV175" s="68" t="str">
        <f t="shared" si="69"/>
        <v/>
      </c>
      <c r="AX175" s="71" t="str">
        <f t="shared" si="66"/>
        <v>reason175</v>
      </c>
    </row>
    <row r="176" spans="1:50" ht="50.25" customHeight="1">
      <c r="A176" s="188" t="s">
        <v>27</v>
      </c>
      <c r="B176" s="125" t="str">
        <f t="shared" si="60"/>
        <v>N</v>
      </c>
      <c r="C176" s="125"/>
      <c r="D176" s="126">
        <v>30</v>
      </c>
      <c r="E176" s="126"/>
      <c r="F176" s="122" t="str">
        <f t="shared" si="59"/>
        <v>PRD-BLG-2021-00030</v>
      </c>
      <c r="G176" s="123" t="s">
        <v>200</v>
      </c>
      <c r="H176" s="124" t="s">
        <v>623</v>
      </c>
      <c r="I176" s="239"/>
      <c r="J176" s="80">
        <f t="shared" si="62"/>
        <v>-28125</v>
      </c>
      <c r="K176" s="177">
        <f t="shared" si="56"/>
        <v>44307</v>
      </c>
      <c r="L176" s="155">
        <v>44307</v>
      </c>
      <c r="M176" s="152"/>
      <c r="N176" s="147"/>
      <c r="O176" s="147"/>
      <c r="P176" s="153"/>
      <c r="Q176" s="201" t="s">
        <v>12</v>
      </c>
      <c r="R176" s="199" t="s">
        <v>4</v>
      </c>
      <c r="S176" s="210"/>
      <c r="T176" s="210"/>
      <c r="U176" s="210"/>
      <c r="V176" s="210"/>
      <c r="W176" s="210"/>
      <c r="X176" s="154" t="s">
        <v>624</v>
      </c>
      <c r="Y176" s="173">
        <f t="shared" ref="Y176:Y239" si="72">IFERROR(AF176+AG176,"")</f>
        <v>-28125</v>
      </c>
      <c r="Z176" s="83">
        <f t="shared" si="63"/>
        <v>-3375</v>
      </c>
      <c r="AA176" s="84">
        <f t="shared" si="70"/>
        <v>-13500</v>
      </c>
      <c r="AB176" s="84">
        <f t="shared" si="71"/>
        <v>-4500</v>
      </c>
      <c r="AC176" s="84">
        <f t="shared" si="64"/>
        <v>-3375</v>
      </c>
      <c r="AD176" s="84"/>
      <c r="AE176" s="84">
        <f t="shared" si="67"/>
        <v>-3375</v>
      </c>
      <c r="AF176" s="84">
        <f t="shared" si="61"/>
        <v>-28125</v>
      </c>
      <c r="AG176" s="94">
        <f t="shared" si="68"/>
        <v>0</v>
      </c>
      <c r="AH176" s="85">
        <f>IFERROR(VLOOKUP(A176,CUSTOMERS!$A:$E,4),"")</f>
        <v>-150</v>
      </c>
      <c r="AI176" s="86" t="str">
        <f t="shared" si="57"/>
        <v/>
      </c>
      <c r="AJ176" s="87">
        <f>IFERROR(VLOOKUP(A176,CUSTOMERS!$A:$F,5),"")</f>
        <v>0</v>
      </c>
      <c r="AK176" s="194">
        <v>3</v>
      </c>
      <c r="AL176" s="195">
        <v>12</v>
      </c>
      <c r="AM176" s="195">
        <v>4</v>
      </c>
      <c r="AN176" s="195">
        <v>3</v>
      </c>
      <c r="AO176" s="195">
        <v>3</v>
      </c>
      <c r="AP176" s="103">
        <f t="shared" si="65"/>
        <v>25</v>
      </c>
      <c r="AQ176" s="103">
        <f t="shared" si="55"/>
        <v>0</v>
      </c>
      <c r="AR176" s="68" t="str">
        <f>IFERROR(VLOOKUP(A176,CUSTOMERS!$A:$B,2),"")</f>
        <v>PRD</v>
      </c>
      <c r="AS176" s="68" t="str">
        <f>IFERROR(VLOOKUP(A176,CUSTOMERS!$A:$D,3),"")</f>
        <v>BLG</v>
      </c>
      <c r="AT176" s="68" t="str">
        <f>IFERROR(VLOOKUP(A176,CUSTOMERS!$A:$F,6),"")</f>
        <v>N</v>
      </c>
      <c r="AU176" s="69">
        <f>IFERROR(VLOOKUP(A176,CUSTOMERS!$A:$E,4),"")</f>
        <v>-150</v>
      </c>
      <c r="AV176" s="68" t="str">
        <f t="shared" si="69"/>
        <v/>
      </c>
      <c r="AX176" s="71" t="str">
        <f t="shared" si="66"/>
        <v>reason176</v>
      </c>
    </row>
    <row r="177" spans="1:50" ht="50.25" customHeight="1">
      <c r="A177" s="188" t="s">
        <v>27</v>
      </c>
      <c r="B177" s="125" t="str">
        <f t="shared" si="60"/>
        <v>N</v>
      </c>
      <c r="C177" s="125"/>
      <c r="D177" s="126">
        <v>31</v>
      </c>
      <c r="E177" s="126"/>
      <c r="F177" s="122" t="str">
        <f t="shared" si="59"/>
        <v>PRD-BLG-2021-00031</v>
      </c>
      <c r="G177" s="123" t="s">
        <v>200</v>
      </c>
      <c r="H177" s="124" t="s">
        <v>625</v>
      </c>
      <c r="I177" s="239"/>
      <c r="J177" s="80">
        <f t="shared" si="62"/>
        <v>-12375</v>
      </c>
      <c r="K177" s="177">
        <f t="shared" si="56"/>
        <v>44307</v>
      </c>
      <c r="L177" s="155">
        <v>44307</v>
      </c>
      <c r="M177" s="152"/>
      <c r="N177" s="147"/>
      <c r="O177" s="147"/>
      <c r="P177" s="153"/>
      <c r="Q177" s="201" t="s">
        <v>12</v>
      </c>
      <c r="R177" s="199" t="s">
        <v>4</v>
      </c>
      <c r="S177" s="210"/>
      <c r="T177" s="210"/>
      <c r="U177" s="210"/>
      <c r="V177" s="210"/>
      <c r="W177" s="210"/>
      <c r="X177" s="154" t="s">
        <v>626</v>
      </c>
      <c r="Y177" s="173">
        <f t="shared" si="72"/>
        <v>-12375</v>
      </c>
      <c r="Z177" s="83">
        <f t="shared" si="63"/>
        <v>-1125</v>
      </c>
      <c r="AA177" s="84">
        <f t="shared" si="70"/>
        <v>-6750</v>
      </c>
      <c r="AB177" s="84">
        <f t="shared" si="71"/>
        <v>-2250</v>
      </c>
      <c r="AC177" s="84">
        <f t="shared" si="64"/>
        <v>-1125</v>
      </c>
      <c r="AD177" s="84"/>
      <c r="AE177" s="84">
        <f t="shared" si="67"/>
        <v>-1125</v>
      </c>
      <c r="AF177" s="84">
        <f t="shared" si="61"/>
        <v>-12375</v>
      </c>
      <c r="AG177" s="94">
        <f t="shared" si="68"/>
        <v>0</v>
      </c>
      <c r="AH177" s="85">
        <f>IFERROR(VLOOKUP(A177,CUSTOMERS!$A:$E,4),"")</f>
        <v>-150</v>
      </c>
      <c r="AI177" s="86" t="str">
        <f t="shared" si="57"/>
        <v/>
      </c>
      <c r="AJ177" s="87">
        <f>IFERROR(VLOOKUP(A177,CUSTOMERS!$A:$F,5),"")</f>
        <v>0</v>
      </c>
      <c r="AK177" s="194">
        <v>1</v>
      </c>
      <c r="AL177" s="195">
        <v>6</v>
      </c>
      <c r="AM177" s="195">
        <v>2</v>
      </c>
      <c r="AN177" s="195">
        <v>1</v>
      </c>
      <c r="AO177" s="195">
        <v>1</v>
      </c>
      <c r="AP177" s="103">
        <f t="shared" si="65"/>
        <v>11</v>
      </c>
      <c r="AQ177" s="103">
        <f t="shared" si="55"/>
        <v>0</v>
      </c>
      <c r="AR177" s="68" t="str">
        <f>IFERROR(VLOOKUP(A177,CUSTOMERS!$A:$B,2),"")</f>
        <v>PRD</v>
      </c>
      <c r="AS177" s="68" t="str">
        <f>IFERROR(VLOOKUP(A177,CUSTOMERS!$A:$D,3),"")</f>
        <v>BLG</v>
      </c>
      <c r="AT177" s="68" t="str">
        <f>IFERROR(VLOOKUP(A177,CUSTOMERS!$A:$F,6),"")</f>
        <v>N</v>
      </c>
      <c r="AU177" s="69">
        <f>IFERROR(VLOOKUP(A177,CUSTOMERS!$A:$E,4),"")</f>
        <v>-150</v>
      </c>
      <c r="AV177" s="68" t="str">
        <f t="shared" si="69"/>
        <v/>
      </c>
      <c r="AX177" s="71" t="str">
        <f t="shared" si="66"/>
        <v>reason177</v>
      </c>
    </row>
    <row r="178" spans="1:50" ht="50.25" customHeight="1">
      <c r="A178" s="188" t="s">
        <v>27</v>
      </c>
      <c r="B178" s="125" t="str">
        <f t="shared" si="60"/>
        <v>N</v>
      </c>
      <c r="C178" s="125"/>
      <c r="D178" s="126">
        <v>32</v>
      </c>
      <c r="E178" s="126"/>
      <c r="F178" s="122" t="str">
        <f t="shared" si="59"/>
        <v>PRD-BLG-2021-00032</v>
      </c>
      <c r="G178" s="123" t="s">
        <v>200</v>
      </c>
      <c r="H178" s="124" t="s">
        <v>627</v>
      </c>
      <c r="I178" s="239"/>
      <c r="J178" s="80">
        <f t="shared" si="62"/>
        <v>-22500</v>
      </c>
      <c r="K178" s="177">
        <f t="shared" si="56"/>
        <v>44307</v>
      </c>
      <c r="L178" s="155">
        <v>44307</v>
      </c>
      <c r="M178" s="152"/>
      <c r="N178" s="147"/>
      <c r="O178" s="147"/>
      <c r="P178" s="153"/>
      <c r="Q178" s="201" t="s">
        <v>12</v>
      </c>
      <c r="R178" s="199" t="s">
        <v>4</v>
      </c>
      <c r="S178" s="210"/>
      <c r="T178" s="210"/>
      <c r="U178" s="210"/>
      <c r="V178" s="210"/>
      <c r="W178" s="210"/>
      <c r="X178" s="154" t="s">
        <v>628</v>
      </c>
      <c r="Y178" s="173">
        <f t="shared" si="72"/>
        <v>-22500</v>
      </c>
      <c r="Z178" s="83">
        <f t="shared" si="63"/>
        <v>-3375</v>
      </c>
      <c r="AA178" s="84">
        <f t="shared" si="70"/>
        <v>-11250</v>
      </c>
      <c r="AB178" s="84">
        <f t="shared" si="71"/>
        <v>-3375</v>
      </c>
      <c r="AC178" s="84">
        <f t="shared" si="64"/>
        <v>-2250</v>
      </c>
      <c r="AD178" s="84"/>
      <c r="AE178" s="84">
        <f t="shared" si="67"/>
        <v>-2250</v>
      </c>
      <c r="AF178" s="84">
        <f t="shared" si="61"/>
        <v>-22500</v>
      </c>
      <c r="AG178" s="94">
        <f t="shared" si="68"/>
        <v>0</v>
      </c>
      <c r="AH178" s="85">
        <f>IFERROR(VLOOKUP(A178,CUSTOMERS!$A:$E,4),"")</f>
        <v>-150</v>
      </c>
      <c r="AI178" s="86" t="str">
        <f t="shared" si="57"/>
        <v/>
      </c>
      <c r="AJ178" s="87">
        <f>IFERROR(VLOOKUP(A178,CUSTOMERS!$A:$F,5),"")</f>
        <v>0</v>
      </c>
      <c r="AK178" s="194">
        <v>3</v>
      </c>
      <c r="AL178" s="195">
        <v>10</v>
      </c>
      <c r="AM178" s="195">
        <v>3</v>
      </c>
      <c r="AN178" s="195">
        <v>2</v>
      </c>
      <c r="AO178" s="195">
        <v>2</v>
      </c>
      <c r="AP178" s="103">
        <f t="shared" si="65"/>
        <v>20</v>
      </c>
      <c r="AQ178" s="103">
        <f t="shared" si="55"/>
        <v>0</v>
      </c>
      <c r="AR178" s="68" t="str">
        <f>IFERROR(VLOOKUP(A178,CUSTOMERS!$A:$B,2),"")</f>
        <v>PRD</v>
      </c>
      <c r="AS178" s="68" t="str">
        <f>IFERROR(VLOOKUP(A178,CUSTOMERS!$A:$D,3),"")</f>
        <v>BLG</v>
      </c>
      <c r="AT178" s="68" t="str">
        <f>IFERROR(VLOOKUP(A178,CUSTOMERS!$A:$F,6),"")</f>
        <v>N</v>
      </c>
      <c r="AU178" s="69">
        <f>IFERROR(VLOOKUP(A178,CUSTOMERS!$A:$E,4),"")</f>
        <v>-150</v>
      </c>
      <c r="AV178" s="68" t="str">
        <f t="shared" si="69"/>
        <v/>
      </c>
      <c r="AX178" s="71" t="str">
        <f t="shared" si="66"/>
        <v>reason178</v>
      </c>
    </row>
    <row r="179" spans="1:50" ht="50.25" customHeight="1">
      <c r="A179" s="188" t="s">
        <v>27</v>
      </c>
      <c r="B179" s="125" t="str">
        <f t="shared" si="60"/>
        <v>N</v>
      </c>
      <c r="C179" s="125"/>
      <c r="D179" s="126">
        <v>33</v>
      </c>
      <c r="E179" s="126"/>
      <c r="F179" s="122" t="str">
        <f t="shared" si="59"/>
        <v>PRD-BLG-2021-00033</v>
      </c>
      <c r="G179" s="123" t="s">
        <v>200</v>
      </c>
      <c r="H179" s="124" t="s">
        <v>629</v>
      </c>
      <c r="I179" s="239"/>
      <c r="J179" s="80">
        <f t="shared" si="62"/>
        <v>-3375</v>
      </c>
      <c r="K179" s="177">
        <f t="shared" si="56"/>
        <v>44307</v>
      </c>
      <c r="L179" s="155">
        <v>44307</v>
      </c>
      <c r="M179" s="152"/>
      <c r="N179" s="147"/>
      <c r="O179" s="147"/>
      <c r="P179" s="153"/>
      <c r="Q179" s="201" t="s">
        <v>12</v>
      </c>
      <c r="R179" s="199" t="s">
        <v>4</v>
      </c>
      <c r="S179" s="210"/>
      <c r="T179" s="210"/>
      <c r="U179" s="210"/>
      <c r="V179" s="210"/>
      <c r="W179" s="210"/>
      <c r="X179" s="154" t="s">
        <v>630</v>
      </c>
      <c r="Y179" s="173">
        <f t="shared" si="72"/>
        <v>-3375</v>
      </c>
      <c r="Z179" s="83">
        <f t="shared" si="63"/>
        <v>-1125</v>
      </c>
      <c r="AA179" s="84">
        <f t="shared" si="70"/>
        <v>-1125</v>
      </c>
      <c r="AB179" s="84">
        <f t="shared" si="71"/>
        <v>-1125</v>
      </c>
      <c r="AC179" s="84">
        <f t="shared" si="64"/>
        <v>0</v>
      </c>
      <c r="AD179" s="84"/>
      <c r="AE179" s="84">
        <f t="shared" si="67"/>
        <v>0</v>
      </c>
      <c r="AF179" s="84">
        <f t="shared" si="61"/>
        <v>-3375</v>
      </c>
      <c r="AG179" s="94">
        <f t="shared" si="68"/>
        <v>0</v>
      </c>
      <c r="AH179" s="85">
        <f>IFERROR(VLOOKUP(A179,CUSTOMERS!$A:$E,4),"")</f>
        <v>-150</v>
      </c>
      <c r="AI179" s="86" t="str">
        <f t="shared" si="57"/>
        <v/>
      </c>
      <c r="AJ179" s="87">
        <f>IFERROR(VLOOKUP(A179,CUSTOMERS!$A:$F,5),"")</f>
        <v>0</v>
      </c>
      <c r="AK179" s="194">
        <v>1</v>
      </c>
      <c r="AL179" s="195">
        <v>1</v>
      </c>
      <c r="AM179" s="195">
        <v>1</v>
      </c>
      <c r="AN179" s="195">
        <v>0</v>
      </c>
      <c r="AO179" s="195">
        <v>0</v>
      </c>
      <c r="AP179" s="103">
        <f t="shared" si="65"/>
        <v>3</v>
      </c>
      <c r="AQ179" s="103">
        <f t="shared" si="55"/>
        <v>0</v>
      </c>
      <c r="AR179" s="68" t="str">
        <f>IFERROR(VLOOKUP(A179,CUSTOMERS!$A:$B,2),"")</f>
        <v>PRD</v>
      </c>
      <c r="AS179" s="68" t="str">
        <f>IFERROR(VLOOKUP(A179,CUSTOMERS!$A:$D,3),"")</f>
        <v>BLG</v>
      </c>
      <c r="AT179" s="68" t="str">
        <f>IFERROR(VLOOKUP(A179,CUSTOMERS!$A:$F,6),"")</f>
        <v>N</v>
      </c>
      <c r="AU179" s="69">
        <f>IFERROR(VLOOKUP(A179,CUSTOMERS!$A:$E,4),"")</f>
        <v>-150</v>
      </c>
      <c r="AV179" s="68" t="str">
        <f t="shared" si="69"/>
        <v/>
      </c>
      <c r="AX179" s="71" t="str">
        <f t="shared" si="66"/>
        <v>reason179</v>
      </c>
    </row>
    <row r="180" spans="1:50" ht="50.25" hidden="1" customHeight="1">
      <c r="A180" s="188" t="s">
        <v>27</v>
      </c>
      <c r="B180" s="125" t="str">
        <f t="shared" si="60"/>
        <v>N</v>
      </c>
      <c r="C180" s="125"/>
      <c r="D180" s="126">
        <v>35</v>
      </c>
      <c r="E180" s="126"/>
      <c r="F180" s="122" t="str">
        <f t="shared" si="59"/>
        <v>PRD-BLG-2017-00035</v>
      </c>
      <c r="G180" s="123" t="s">
        <v>339</v>
      </c>
      <c r="H180" s="124" t="s">
        <v>80</v>
      </c>
      <c r="I180" s="239"/>
      <c r="J180" s="80">
        <f t="shared" si="62"/>
        <v>0</v>
      </c>
      <c r="K180" s="177">
        <f t="shared" si="56"/>
        <v>42736</v>
      </c>
      <c r="L180" s="155">
        <v>42736</v>
      </c>
      <c r="M180" s="152"/>
      <c r="N180" s="147"/>
      <c r="O180" s="147"/>
      <c r="P180" s="153"/>
      <c r="Q180" s="201" t="s">
        <v>12</v>
      </c>
      <c r="R180" s="199" t="s">
        <v>78</v>
      </c>
      <c r="S180" s="210"/>
      <c r="T180" s="210"/>
      <c r="U180" s="210"/>
      <c r="V180" s="210"/>
      <c r="W180" s="210"/>
      <c r="X180" s="154" t="s">
        <v>631</v>
      </c>
      <c r="Y180" s="173">
        <f t="shared" si="72"/>
        <v>0</v>
      </c>
      <c r="Z180" s="83">
        <f t="shared" si="63"/>
        <v>0</v>
      </c>
      <c r="AA180" s="84">
        <f t="shared" si="70"/>
        <v>0</v>
      </c>
      <c r="AB180" s="84">
        <f t="shared" si="71"/>
        <v>0</v>
      </c>
      <c r="AC180" s="84">
        <f t="shared" si="64"/>
        <v>0</v>
      </c>
      <c r="AD180" s="84"/>
      <c r="AE180" s="84">
        <f t="shared" si="67"/>
        <v>0</v>
      </c>
      <c r="AF180" s="84">
        <f t="shared" si="61"/>
        <v>0</v>
      </c>
      <c r="AG180" s="94">
        <f t="shared" si="68"/>
        <v>0</v>
      </c>
      <c r="AH180" s="85">
        <f>IFERROR(VLOOKUP(A180,CUSTOMERS!$A:$E,4),"")</f>
        <v>-150</v>
      </c>
      <c r="AI180" s="86" t="str">
        <f t="shared" si="57"/>
        <v/>
      </c>
      <c r="AJ180" s="87">
        <f>IFERROR(VLOOKUP(A180,CUSTOMERS!$A:$F,5),"")</f>
        <v>0</v>
      </c>
      <c r="AK180" s="96"/>
      <c r="AL180" s="96">
        <v>0</v>
      </c>
      <c r="AM180" s="96">
        <v>0</v>
      </c>
      <c r="AN180" s="96"/>
      <c r="AO180" s="96">
        <v>0</v>
      </c>
      <c r="AP180" s="103">
        <f t="shared" si="65"/>
        <v>0</v>
      </c>
      <c r="AQ180" s="103">
        <f t="shared" si="55"/>
        <v>0</v>
      </c>
      <c r="AR180" s="68" t="str">
        <f>IFERROR(VLOOKUP(A180,CUSTOMERS!$A:$B,2),"")</f>
        <v>PRD</v>
      </c>
      <c r="AS180" s="68" t="str">
        <f>IFERROR(VLOOKUP(A180,CUSTOMERS!$A:$D,3),"")</f>
        <v>BLG</v>
      </c>
      <c r="AT180" s="68" t="str">
        <f>IFERROR(VLOOKUP(A180,CUSTOMERS!$A:$F,6),"")</f>
        <v>N</v>
      </c>
      <c r="AU180" s="69">
        <f>IFERROR(VLOOKUP(A180,CUSTOMERS!$A:$E,4),"")</f>
        <v>-150</v>
      </c>
      <c r="AV180" s="68" t="str">
        <f t="shared" si="69"/>
        <v/>
      </c>
      <c r="AX180" s="71" t="str">
        <f t="shared" si="66"/>
        <v>reason180</v>
      </c>
    </row>
    <row r="181" spans="1:50" ht="50.25" hidden="1" customHeight="1">
      <c r="A181" s="188" t="s">
        <v>27</v>
      </c>
      <c r="B181" s="125" t="str">
        <f t="shared" si="60"/>
        <v>N</v>
      </c>
      <c r="C181" s="125"/>
      <c r="D181" s="126">
        <v>35568</v>
      </c>
      <c r="E181" s="126"/>
      <c r="F181" s="122" t="str">
        <f t="shared" si="59"/>
        <v>PRD-BLG-2021-35568</v>
      </c>
      <c r="G181" s="123" t="s">
        <v>339</v>
      </c>
      <c r="H181" s="124" t="s">
        <v>632</v>
      </c>
      <c r="I181" s="239"/>
      <c r="J181" s="220">
        <f t="shared" si="62"/>
        <v>0</v>
      </c>
      <c r="K181" s="177">
        <f t="shared" si="56"/>
        <v>44315</v>
      </c>
      <c r="L181" s="155">
        <v>44315</v>
      </c>
      <c r="M181" s="152"/>
      <c r="N181" s="147"/>
      <c r="O181" s="147"/>
      <c r="P181" s="153"/>
      <c r="Q181" s="221" t="s">
        <v>12</v>
      </c>
      <c r="R181" s="223" t="s">
        <v>4</v>
      </c>
      <c r="S181" s="210"/>
      <c r="T181" s="210"/>
      <c r="U181" s="210"/>
      <c r="V181" s="210"/>
      <c r="W181" s="210"/>
      <c r="X181" s="154" t="s">
        <v>633</v>
      </c>
      <c r="Y181" s="173">
        <f t="shared" si="72"/>
        <v>0</v>
      </c>
      <c r="Z181" s="83">
        <f t="shared" si="63"/>
        <v>0</v>
      </c>
      <c r="AA181" s="84">
        <f t="shared" si="70"/>
        <v>0</v>
      </c>
      <c r="AB181" s="84">
        <f t="shared" si="71"/>
        <v>0</v>
      </c>
      <c r="AC181" s="84">
        <f t="shared" si="64"/>
        <v>0</v>
      </c>
      <c r="AD181" s="84"/>
      <c r="AE181" s="84">
        <f t="shared" si="67"/>
        <v>0</v>
      </c>
      <c r="AF181" s="84">
        <f t="shared" si="61"/>
        <v>0</v>
      </c>
      <c r="AG181" s="94">
        <f t="shared" si="68"/>
        <v>0</v>
      </c>
      <c r="AH181" s="85">
        <f>IFERROR(VLOOKUP(A181,CUSTOMERS!$A:$E,4),"")</f>
        <v>-150</v>
      </c>
      <c r="AI181" s="86" t="str">
        <f t="shared" si="57"/>
        <v/>
      </c>
      <c r="AJ181" s="87">
        <f>IFERROR(VLOOKUP(A181,CUSTOMERS!$A:$F,5),"")</f>
        <v>0</v>
      </c>
      <c r="AK181" s="96"/>
      <c r="AL181" s="96">
        <v>0</v>
      </c>
      <c r="AM181" s="96">
        <v>0</v>
      </c>
      <c r="AN181" s="96"/>
      <c r="AO181" s="96">
        <v>0</v>
      </c>
      <c r="AP181" s="103">
        <f t="shared" si="65"/>
        <v>0</v>
      </c>
      <c r="AQ181" s="103">
        <f t="shared" ref="AQ181:AQ244" si="73">IFERROR(AP181*AJ181,"")</f>
        <v>0</v>
      </c>
      <c r="AR181" s="68" t="str">
        <f>IFERROR(VLOOKUP(A181,CUSTOMERS!$A:$B,2),"")</f>
        <v>PRD</v>
      </c>
      <c r="AS181" s="68" t="str">
        <f>IFERROR(VLOOKUP(A181,CUSTOMERS!$A:$D,3),"")</f>
        <v>BLG</v>
      </c>
      <c r="AT181" s="68" t="str">
        <f>IFERROR(VLOOKUP(A181,CUSTOMERS!$A:$F,6),"")</f>
        <v>N</v>
      </c>
      <c r="AU181" s="69">
        <f>IFERROR(VLOOKUP(A181,CUSTOMERS!$A:$E,4),"")</f>
        <v>-150</v>
      </c>
      <c r="AV181" s="68" t="str">
        <f t="shared" si="69"/>
        <v/>
      </c>
      <c r="AX181" s="71" t="str">
        <f t="shared" si="66"/>
        <v>reason181</v>
      </c>
    </row>
    <row r="182" spans="1:50" ht="50.25" customHeight="1">
      <c r="A182" s="188" t="s">
        <v>27</v>
      </c>
      <c r="B182" s="125" t="str">
        <f t="shared" si="60"/>
        <v>N</v>
      </c>
      <c r="C182" s="125"/>
      <c r="D182" s="126"/>
      <c r="E182" s="126"/>
      <c r="F182" s="122" t="str">
        <f t="shared" si="59"/>
        <v>PRD-BLG-2021-00000</v>
      </c>
      <c r="G182" s="123" t="s">
        <v>29</v>
      </c>
      <c r="H182" s="216" t="s">
        <v>91</v>
      </c>
      <c r="I182" s="240"/>
      <c r="J182" s="227">
        <f t="shared" si="62"/>
        <v>0</v>
      </c>
      <c r="K182" s="218">
        <f t="shared" si="56"/>
        <v>44322</v>
      </c>
      <c r="L182" s="155">
        <v>44322</v>
      </c>
      <c r="M182" s="152"/>
      <c r="N182" s="147"/>
      <c r="O182" s="147"/>
      <c r="P182" s="217"/>
      <c r="Q182" s="213" t="s">
        <v>16</v>
      </c>
      <c r="R182" s="213" t="s">
        <v>31</v>
      </c>
      <c r="S182" s="219" t="s">
        <v>308</v>
      </c>
      <c r="T182" s="213"/>
      <c r="U182" s="213"/>
      <c r="V182" s="213"/>
      <c r="W182" s="213"/>
      <c r="X182" s="154" t="s">
        <v>634</v>
      </c>
      <c r="Y182" s="173">
        <f t="shared" si="72"/>
        <v>0</v>
      </c>
      <c r="Z182" s="83">
        <f t="shared" si="63"/>
        <v>0</v>
      </c>
      <c r="AA182" s="84">
        <f t="shared" si="70"/>
        <v>0</v>
      </c>
      <c r="AB182" s="84">
        <f t="shared" si="71"/>
        <v>0</v>
      </c>
      <c r="AC182" s="84">
        <f t="shared" si="64"/>
        <v>0</v>
      </c>
      <c r="AD182" s="84"/>
      <c r="AE182" s="84">
        <f t="shared" si="67"/>
        <v>0</v>
      </c>
      <c r="AF182" s="84">
        <f t="shared" si="61"/>
        <v>0</v>
      </c>
      <c r="AG182" s="94">
        <f t="shared" si="68"/>
        <v>0</v>
      </c>
      <c r="AH182" s="85">
        <f>IFERROR(VLOOKUP(A182,CUSTOMERS!$A:$E,4),"")</f>
        <v>-150</v>
      </c>
      <c r="AI182" s="86" t="str">
        <f t="shared" si="57"/>
        <v/>
      </c>
      <c r="AJ182" s="87">
        <f>IFERROR(VLOOKUP(A182,CUSTOMERS!$A:$F,5),"")</f>
        <v>0</v>
      </c>
      <c r="AK182" s="96"/>
      <c r="AL182" s="96">
        <v>0</v>
      </c>
      <c r="AM182" s="96">
        <v>0</v>
      </c>
      <c r="AN182" s="96"/>
      <c r="AO182" s="96">
        <v>0</v>
      </c>
      <c r="AP182" s="103">
        <f t="shared" si="65"/>
        <v>0</v>
      </c>
      <c r="AQ182" s="103">
        <f t="shared" si="73"/>
        <v>0</v>
      </c>
      <c r="AR182" s="68" t="str">
        <f>IFERROR(VLOOKUP(A182,CUSTOMERS!$A:$B,2),"")</f>
        <v>PRD</v>
      </c>
      <c r="AS182" s="68" t="str">
        <f>IFERROR(VLOOKUP(A182,CUSTOMERS!$A:$D,3),"")</f>
        <v>BLG</v>
      </c>
      <c r="AT182" s="68" t="str">
        <f>IFERROR(VLOOKUP(A182,CUSTOMERS!$A:$F,6),"")</f>
        <v>N</v>
      </c>
      <c r="AU182" s="69">
        <f>IFERROR(VLOOKUP(A182,CUSTOMERS!$A:$E,4),"")</f>
        <v>-150</v>
      </c>
      <c r="AV182" s="68" t="str">
        <f t="shared" si="69"/>
        <v/>
      </c>
      <c r="AX182" s="71" t="str">
        <f t="shared" si="66"/>
        <v>reason182</v>
      </c>
    </row>
    <row r="183" spans="1:50" ht="50.25" hidden="1" customHeight="1">
      <c r="A183" s="188" t="s">
        <v>27</v>
      </c>
      <c r="B183" s="125" t="str">
        <f t="shared" si="60"/>
        <v>N</v>
      </c>
      <c r="C183" s="125"/>
      <c r="D183" s="126"/>
      <c r="E183" s="126"/>
      <c r="F183" s="122" t="str">
        <f t="shared" si="59"/>
        <v>PRD-BLG-2021-00000</v>
      </c>
      <c r="G183" s="123" t="s">
        <v>339</v>
      </c>
      <c r="H183" s="124" t="s">
        <v>635</v>
      </c>
      <c r="I183" s="239"/>
      <c r="J183" s="224">
        <f t="shared" si="62"/>
        <v>0</v>
      </c>
      <c r="K183" s="177">
        <f t="shared" ref="K183:K246" si="74">MAX(L183:R183)</f>
        <v>44322</v>
      </c>
      <c r="L183" s="155">
        <v>44322</v>
      </c>
      <c r="M183" s="152"/>
      <c r="N183" s="147"/>
      <c r="O183" s="147"/>
      <c r="P183" s="153"/>
      <c r="Q183" s="225" t="s">
        <v>18</v>
      </c>
      <c r="R183" s="226" t="s">
        <v>31</v>
      </c>
      <c r="S183" s="210"/>
      <c r="T183" s="210"/>
      <c r="U183" s="210"/>
      <c r="V183" s="210"/>
      <c r="W183" s="210"/>
      <c r="X183" s="154" t="s">
        <v>636</v>
      </c>
      <c r="Y183" s="173">
        <f t="shared" si="72"/>
        <v>0</v>
      </c>
      <c r="Z183" s="83">
        <f t="shared" si="63"/>
        <v>0</v>
      </c>
      <c r="AA183" s="84">
        <f t="shared" si="70"/>
        <v>0</v>
      </c>
      <c r="AB183" s="84">
        <f t="shared" si="71"/>
        <v>0</v>
      </c>
      <c r="AC183" s="84">
        <f t="shared" si="64"/>
        <v>0</v>
      </c>
      <c r="AD183" s="84"/>
      <c r="AE183" s="84">
        <f t="shared" si="67"/>
        <v>0</v>
      </c>
      <c r="AF183" s="84">
        <f t="shared" si="61"/>
        <v>0</v>
      </c>
      <c r="AG183" s="94">
        <f t="shared" si="68"/>
        <v>0</v>
      </c>
      <c r="AH183" s="85">
        <f>IFERROR(VLOOKUP(A183,CUSTOMERS!$A:$E,4),"")</f>
        <v>-150</v>
      </c>
      <c r="AI183" s="86" t="str">
        <f t="shared" si="57"/>
        <v/>
      </c>
      <c r="AJ183" s="87">
        <f>IFERROR(VLOOKUP(A183,CUSTOMERS!$A:$F,5),"")</f>
        <v>0</v>
      </c>
      <c r="AK183" s="96"/>
      <c r="AL183" s="96">
        <v>0</v>
      </c>
      <c r="AM183" s="96">
        <v>0</v>
      </c>
      <c r="AN183" s="96"/>
      <c r="AO183" s="96">
        <v>0</v>
      </c>
      <c r="AP183" s="103">
        <f t="shared" si="65"/>
        <v>0</v>
      </c>
      <c r="AQ183" s="103">
        <f t="shared" si="73"/>
        <v>0</v>
      </c>
      <c r="AR183" s="68" t="str">
        <f>IFERROR(VLOOKUP(A183,CUSTOMERS!$A:$B,2),"")</f>
        <v>PRD</v>
      </c>
      <c r="AS183" s="68" t="str">
        <f>IFERROR(VLOOKUP(A183,CUSTOMERS!$A:$D,3),"")</f>
        <v>BLG</v>
      </c>
      <c r="AT183" s="68" t="str">
        <f>IFERROR(VLOOKUP(A183,CUSTOMERS!$A:$F,6),"")</f>
        <v>N</v>
      </c>
      <c r="AU183" s="69">
        <f>IFERROR(VLOOKUP(A183,CUSTOMERS!$A:$E,4),"")</f>
        <v>-150</v>
      </c>
      <c r="AV183" s="68" t="str">
        <f t="shared" si="69"/>
        <v/>
      </c>
      <c r="AX183" s="71" t="str">
        <f t="shared" si="66"/>
        <v>reason183</v>
      </c>
    </row>
    <row r="184" spans="1:50" ht="50.25" customHeight="1">
      <c r="A184" s="188" t="s">
        <v>158</v>
      </c>
      <c r="B184" s="125" t="str">
        <f t="shared" si="60"/>
        <v>Y</v>
      </c>
      <c r="C184" s="125"/>
      <c r="D184" s="126">
        <v>6</v>
      </c>
      <c r="E184" s="126"/>
      <c r="F184" s="122" t="str">
        <f t="shared" si="59"/>
        <v>N26-RSC-2021-00006</v>
      </c>
      <c r="G184" s="123" t="s">
        <v>103</v>
      </c>
      <c r="H184" s="124" t="s">
        <v>178</v>
      </c>
      <c r="I184" s="239"/>
      <c r="J184" s="80">
        <f t="shared" si="62"/>
        <v>9509.4449999999997</v>
      </c>
      <c r="K184" s="177">
        <f t="shared" si="74"/>
        <v>44351</v>
      </c>
      <c r="L184" s="155">
        <v>44322</v>
      </c>
      <c r="M184" s="152">
        <v>44322</v>
      </c>
      <c r="N184" s="147">
        <v>44351</v>
      </c>
      <c r="O184" s="147"/>
      <c r="P184" s="153"/>
      <c r="Q184" s="201" t="s">
        <v>15</v>
      </c>
      <c r="R184" s="199" t="s">
        <v>4</v>
      </c>
      <c r="S184" s="210"/>
      <c r="T184" s="210"/>
      <c r="U184" s="210"/>
      <c r="V184" s="210"/>
      <c r="W184" s="210"/>
      <c r="X184" s="154"/>
      <c r="Y184" s="173">
        <f t="shared" si="72"/>
        <v>9509.4449999999997</v>
      </c>
      <c r="Z184" s="83">
        <f t="shared" si="63"/>
        <v>0</v>
      </c>
      <c r="AA184" s="84">
        <f t="shared" si="70"/>
        <v>5042.8874999999998</v>
      </c>
      <c r="AB184" s="84">
        <f t="shared" si="71"/>
        <v>1440.825</v>
      </c>
      <c r="AC184" s="84">
        <f t="shared" si="64"/>
        <v>1440.825</v>
      </c>
      <c r="AD184" s="84"/>
      <c r="AE184" s="84">
        <f t="shared" si="67"/>
        <v>0</v>
      </c>
      <c r="AF184" s="84">
        <f t="shared" si="61"/>
        <v>7924.5374999999995</v>
      </c>
      <c r="AG184" s="94">
        <f t="shared" si="68"/>
        <v>1584.9075000000003</v>
      </c>
      <c r="AH184" s="85">
        <f>IFERROR(VLOOKUP(A184,CUSTOMERS!$A:$E,4),"")</f>
        <v>192.11</v>
      </c>
      <c r="AI184" s="86" t="str">
        <f t="shared" ref="AI184:AI247" si="75">AV184</f>
        <v/>
      </c>
      <c r="AJ184" s="87">
        <f>IFERROR(VLOOKUP(A184,CUSTOMERS!$A:$F,5),"")</f>
        <v>0.2</v>
      </c>
      <c r="AK184" s="96"/>
      <c r="AL184" s="96">
        <v>3.5</v>
      </c>
      <c r="AM184" s="96">
        <v>1</v>
      </c>
      <c r="AN184" s="96">
        <v>1</v>
      </c>
      <c r="AO184" s="96">
        <v>0</v>
      </c>
      <c r="AP184" s="103">
        <f t="shared" si="65"/>
        <v>5.5</v>
      </c>
      <c r="AQ184" s="103">
        <f t="shared" si="73"/>
        <v>1.1000000000000001</v>
      </c>
      <c r="AR184" s="68" t="str">
        <f>IFERROR(VLOOKUP(A184,CUSTOMERS!$A:$B,2),"")</f>
        <v>N26</v>
      </c>
      <c r="AS184" s="68" t="str">
        <f>IFERROR(VLOOKUP(A184,CUSTOMERS!$A:$D,3),"")</f>
        <v>RSC</v>
      </c>
      <c r="AT184" s="68" t="str">
        <f>IFERROR(VLOOKUP(A184,CUSTOMERS!$A:$F,6),"")</f>
        <v>Y</v>
      </c>
      <c r="AU184" s="69">
        <f>IFERROR(VLOOKUP(A184,CUSTOMERS!$A:$E,4),"")</f>
        <v>192.11</v>
      </c>
      <c r="AV184" s="68" t="str">
        <f t="shared" si="69"/>
        <v/>
      </c>
      <c r="AX184" s="71" t="str">
        <f t="shared" si="66"/>
        <v>reason184</v>
      </c>
    </row>
    <row r="185" spans="1:50" ht="50.25" customHeight="1">
      <c r="A185" s="188" t="s">
        <v>27</v>
      </c>
      <c r="B185" s="125" t="str">
        <f t="shared" si="60"/>
        <v>N</v>
      </c>
      <c r="C185" s="125"/>
      <c r="D185" s="126"/>
      <c r="E185" s="126"/>
      <c r="F185" s="122" t="str">
        <f t="shared" si="59"/>
        <v>PRD-BLG-2021-00000</v>
      </c>
      <c r="G185" s="186" t="s">
        <v>200</v>
      </c>
      <c r="H185" s="124" t="s">
        <v>637</v>
      </c>
      <c r="I185" s="239"/>
      <c r="J185" s="80">
        <f t="shared" si="62"/>
        <v>0</v>
      </c>
      <c r="K185" s="177">
        <f t="shared" si="74"/>
        <v>44329</v>
      </c>
      <c r="L185" s="155">
        <v>44329</v>
      </c>
      <c r="M185" s="152"/>
      <c r="N185" s="147"/>
      <c r="O185" s="147"/>
      <c r="P185" s="153"/>
      <c r="Q185" s="201" t="s">
        <v>15</v>
      </c>
      <c r="R185" s="199" t="s">
        <v>25</v>
      </c>
      <c r="S185" s="210"/>
      <c r="T185" s="210"/>
      <c r="U185" s="210"/>
      <c r="V185" s="210"/>
      <c r="W185" s="210"/>
      <c r="X185" s="154" t="s">
        <v>638</v>
      </c>
      <c r="Y185" s="173">
        <f t="shared" si="72"/>
        <v>0</v>
      </c>
      <c r="Z185" s="83">
        <f t="shared" si="63"/>
        <v>0</v>
      </c>
      <c r="AA185" s="84">
        <f t="shared" si="70"/>
        <v>0</v>
      </c>
      <c r="AB185" s="84">
        <f t="shared" si="71"/>
        <v>0</v>
      </c>
      <c r="AC185" s="84">
        <f t="shared" si="64"/>
        <v>0</v>
      </c>
      <c r="AD185" s="84"/>
      <c r="AE185" s="84">
        <f t="shared" si="67"/>
        <v>0</v>
      </c>
      <c r="AF185" s="84">
        <f t="shared" si="61"/>
        <v>0</v>
      </c>
      <c r="AG185" s="94">
        <f t="shared" si="68"/>
        <v>0</v>
      </c>
      <c r="AH185" s="85">
        <f>IFERROR(VLOOKUP(A185,CUSTOMERS!$A:$E,4),"")</f>
        <v>-150</v>
      </c>
      <c r="AI185" s="86" t="str">
        <f t="shared" si="75"/>
        <v/>
      </c>
      <c r="AJ185" s="87">
        <f>IFERROR(VLOOKUP(A185,CUSTOMERS!$A:$F,5),"")</f>
        <v>0</v>
      </c>
      <c r="AK185" s="96"/>
      <c r="AL185" s="96">
        <v>0</v>
      </c>
      <c r="AM185" s="96">
        <v>0</v>
      </c>
      <c r="AN185" s="96"/>
      <c r="AO185" s="96">
        <v>0</v>
      </c>
      <c r="AP185" s="103">
        <f t="shared" si="65"/>
        <v>0</v>
      </c>
      <c r="AQ185" s="103">
        <f t="shared" si="73"/>
        <v>0</v>
      </c>
      <c r="AR185" s="68" t="str">
        <f>IFERROR(VLOOKUP(A185,CUSTOMERS!$A:$B,2),"")</f>
        <v>PRD</v>
      </c>
      <c r="AS185" s="68" t="str">
        <f>IFERROR(VLOOKUP(A185,CUSTOMERS!$A:$D,3),"")</f>
        <v>BLG</v>
      </c>
      <c r="AT185" s="68" t="str">
        <f>IFERROR(VLOOKUP(A185,CUSTOMERS!$A:$F,6),"")</f>
        <v>N</v>
      </c>
      <c r="AU185" s="69">
        <f>IFERROR(VLOOKUP(A185,CUSTOMERS!$A:$E,4),"")</f>
        <v>-150</v>
      </c>
      <c r="AV185" s="68" t="str">
        <f t="shared" si="69"/>
        <v/>
      </c>
      <c r="AX185" s="71" t="str">
        <f t="shared" si="66"/>
        <v>reason185</v>
      </c>
    </row>
    <row r="186" spans="1:50" ht="50.25" customHeight="1">
      <c r="A186" s="188" t="s">
        <v>27</v>
      </c>
      <c r="B186" s="125" t="str">
        <f t="shared" si="60"/>
        <v>N</v>
      </c>
      <c r="C186" s="125"/>
      <c r="D186" s="126"/>
      <c r="E186" s="126"/>
      <c r="F186" s="122" t="str">
        <f t="shared" si="59"/>
        <v>PRD-BLG-2021-00000</v>
      </c>
      <c r="G186" s="186" t="s">
        <v>103</v>
      </c>
      <c r="H186" s="124" t="s">
        <v>639</v>
      </c>
      <c r="I186" s="239"/>
      <c r="J186" s="80">
        <f t="shared" si="62"/>
        <v>0</v>
      </c>
      <c r="K186" s="177">
        <f t="shared" si="74"/>
        <v>44340</v>
      </c>
      <c r="L186" s="155">
        <v>44340</v>
      </c>
      <c r="M186" s="152"/>
      <c r="N186" s="147"/>
      <c r="O186" s="147"/>
      <c r="P186" s="153"/>
      <c r="Q186" s="201" t="s">
        <v>12</v>
      </c>
      <c r="R186" s="199" t="s">
        <v>31</v>
      </c>
      <c r="S186" s="210"/>
      <c r="T186" s="210"/>
      <c r="U186" s="210"/>
      <c r="V186" s="210"/>
      <c r="W186" s="210"/>
      <c r="X186" s="154" t="s">
        <v>640</v>
      </c>
      <c r="Y186" s="173">
        <f t="shared" si="72"/>
        <v>0</v>
      </c>
      <c r="Z186" s="83">
        <f t="shared" si="63"/>
        <v>0</v>
      </c>
      <c r="AA186" s="84">
        <f t="shared" si="70"/>
        <v>0</v>
      </c>
      <c r="AB186" s="84">
        <f t="shared" si="71"/>
        <v>0</v>
      </c>
      <c r="AC186" s="84">
        <f t="shared" si="64"/>
        <v>0</v>
      </c>
      <c r="AD186" s="84"/>
      <c r="AE186" s="84">
        <f t="shared" si="67"/>
        <v>0</v>
      </c>
      <c r="AF186" s="84">
        <f t="shared" si="61"/>
        <v>0</v>
      </c>
      <c r="AG186" s="94">
        <f t="shared" si="68"/>
        <v>0</v>
      </c>
      <c r="AH186" s="85">
        <f>IFERROR(VLOOKUP(A186,CUSTOMERS!$A:$E,4),"")</f>
        <v>-150</v>
      </c>
      <c r="AI186" s="86" t="str">
        <f t="shared" si="75"/>
        <v/>
      </c>
      <c r="AJ186" s="87">
        <f>IFERROR(VLOOKUP(A186,CUSTOMERS!$A:$F,5),"")</f>
        <v>0</v>
      </c>
      <c r="AK186" s="96"/>
      <c r="AL186" s="96">
        <v>0</v>
      </c>
      <c r="AM186" s="96">
        <v>0</v>
      </c>
      <c r="AN186" s="96"/>
      <c r="AO186" s="96">
        <v>0</v>
      </c>
      <c r="AP186" s="103">
        <f t="shared" si="65"/>
        <v>0</v>
      </c>
      <c r="AQ186" s="103">
        <f t="shared" si="73"/>
        <v>0</v>
      </c>
      <c r="AR186" s="68" t="str">
        <f>IFERROR(VLOOKUP(A186,CUSTOMERS!$A:$B,2),"")</f>
        <v>PRD</v>
      </c>
      <c r="AS186" s="68" t="str">
        <f>IFERROR(VLOOKUP(A186,CUSTOMERS!$A:$D,3),"")</f>
        <v>BLG</v>
      </c>
      <c r="AT186" s="68" t="str">
        <f>IFERROR(VLOOKUP(A186,CUSTOMERS!$A:$F,6),"")</f>
        <v>N</v>
      </c>
      <c r="AU186" s="69">
        <f>IFERROR(VLOOKUP(A186,CUSTOMERS!$A:$E,4),"")</f>
        <v>-150</v>
      </c>
      <c r="AV186" s="68" t="str">
        <f t="shared" si="69"/>
        <v/>
      </c>
      <c r="AX186" s="71" t="str">
        <f t="shared" si="66"/>
        <v>reason186</v>
      </c>
    </row>
    <row r="187" spans="1:50" ht="50.25" customHeight="1">
      <c r="A187" s="188" t="s">
        <v>50</v>
      </c>
      <c r="B187" s="125" t="str">
        <f t="shared" si="60"/>
        <v>N</v>
      </c>
      <c r="C187" s="125"/>
      <c r="D187" s="126">
        <v>187</v>
      </c>
      <c r="E187" s="126"/>
      <c r="F187" s="122" t="str">
        <f t="shared" si="59"/>
        <v>PRD-REQ-2021-00187</v>
      </c>
      <c r="G187" s="186" t="s">
        <v>35</v>
      </c>
      <c r="H187" s="124" t="s">
        <v>641</v>
      </c>
      <c r="I187" s="239"/>
      <c r="J187" s="80">
        <f t="shared" si="62"/>
        <v>0</v>
      </c>
      <c r="K187" s="177">
        <f t="shared" si="74"/>
        <v>44370</v>
      </c>
      <c r="L187" s="155">
        <v>44370</v>
      </c>
      <c r="M187" s="152"/>
      <c r="N187" s="147"/>
      <c r="O187" s="147"/>
      <c r="P187" s="153"/>
      <c r="Q187" s="201" t="s">
        <v>16</v>
      </c>
      <c r="R187" s="199" t="s">
        <v>31</v>
      </c>
      <c r="S187" s="210"/>
      <c r="T187" s="210"/>
      <c r="U187" s="210"/>
      <c r="V187" s="210"/>
      <c r="W187" s="210"/>
      <c r="X187" s="154" t="s">
        <v>642</v>
      </c>
      <c r="Y187" s="173">
        <f t="shared" si="72"/>
        <v>0</v>
      </c>
      <c r="Z187" s="83">
        <f t="shared" si="63"/>
        <v>0</v>
      </c>
      <c r="AA187" s="84">
        <f t="shared" si="70"/>
        <v>0</v>
      </c>
      <c r="AB187" s="84">
        <f t="shared" si="71"/>
        <v>0</v>
      </c>
      <c r="AC187" s="84">
        <f t="shared" si="64"/>
        <v>0</v>
      </c>
      <c r="AD187" s="84"/>
      <c r="AE187" s="84">
        <f t="shared" si="67"/>
        <v>0</v>
      </c>
      <c r="AF187" s="84">
        <f t="shared" si="61"/>
        <v>0</v>
      </c>
      <c r="AG187" s="94">
        <f t="shared" si="68"/>
        <v>0</v>
      </c>
      <c r="AH187" s="85">
        <f>IFERROR(VLOOKUP(A187,CUSTOMERS!$A:$E,4),"")</f>
        <v>-150</v>
      </c>
      <c r="AI187" s="86" t="str">
        <f t="shared" si="75"/>
        <v/>
      </c>
      <c r="AJ187" s="87">
        <f>IFERROR(VLOOKUP(A187,CUSTOMERS!$A:$F,5),"")</f>
        <v>0</v>
      </c>
      <c r="AK187" s="96"/>
      <c r="AL187" s="96">
        <v>0</v>
      </c>
      <c r="AM187" s="96">
        <v>0</v>
      </c>
      <c r="AN187" s="96"/>
      <c r="AO187" s="96">
        <v>0</v>
      </c>
      <c r="AP187" s="103">
        <f t="shared" si="65"/>
        <v>0</v>
      </c>
      <c r="AQ187" s="103">
        <f t="shared" si="73"/>
        <v>0</v>
      </c>
      <c r="AR187" s="68" t="str">
        <f>IFERROR(VLOOKUP(A187,CUSTOMERS!$A:$B,2),"")</f>
        <v>PRD</v>
      </c>
      <c r="AS187" s="68" t="str">
        <f>IFERROR(VLOOKUP(A187,CUSTOMERS!$A:$D,3),"")</f>
        <v>REQ</v>
      </c>
      <c r="AT187" s="68" t="str">
        <f>IFERROR(VLOOKUP(A187,CUSTOMERS!$A:$F,6),"")</f>
        <v>N</v>
      </c>
      <c r="AU187" s="69">
        <f>IFERROR(VLOOKUP(A187,CUSTOMERS!$A:$E,4),"")</f>
        <v>-150</v>
      </c>
      <c r="AV187" s="68" t="str">
        <f t="shared" si="69"/>
        <v/>
      </c>
      <c r="AX187" s="71" t="str">
        <f t="shared" si="66"/>
        <v>reason187</v>
      </c>
    </row>
    <row r="188" spans="1:50" ht="50.25" customHeight="1">
      <c r="A188" s="188" t="s">
        <v>114</v>
      </c>
      <c r="B188" s="125" t="str">
        <f t="shared" si="60"/>
        <v>Y</v>
      </c>
      <c r="C188" s="125"/>
      <c r="D188" s="126">
        <v>657</v>
      </c>
      <c r="E188" s="126"/>
      <c r="F188" s="122" t="str">
        <f t="shared" si="59"/>
        <v>BOI-RSC-2021-00657</v>
      </c>
      <c r="G188" s="186" t="s">
        <v>109</v>
      </c>
      <c r="H188" s="124" t="s">
        <v>179</v>
      </c>
      <c r="I188" s="239"/>
      <c r="J188" s="80">
        <f t="shared" si="62"/>
        <v>53379</v>
      </c>
      <c r="K188" s="177">
        <f t="shared" si="74"/>
        <v>44384</v>
      </c>
      <c r="L188" s="155">
        <v>44384</v>
      </c>
      <c r="M188" s="152"/>
      <c r="N188" s="147"/>
      <c r="O188" s="147"/>
      <c r="P188" s="153"/>
      <c r="Q188" s="201" t="s">
        <v>13</v>
      </c>
      <c r="R188" s="199"/>
      <c r="S188" s="210" t="s">
        <v>308</v>
      </c>
      <c r="T188" s="210" t="s">
        <v>6</v>
      </c>
      <c r="U188" s="210" t="s">
        <v>6</v>
      </c>
      <c r="V188" s="210"/>
      <c r="W188" s="210"/>
      <c r="X188" s="154"/>
      <c r="Y188" s="173">
        <f t="shared" si="72"/>
        <v>53379</v>
      </c>
      <c r="Z188" s="83">
        <f t="shared" si="63"/>
        <v>0</v>
      </c>
      <c r="AA188" s="84">
        <f t="shared" si="70"/>
        <v>31137.75</v>
      </c>
      <c r="AB188" s="84">
        <f t="shared" si="71"/>
        <v>7413.75</v>
      </c>
      <c r="AC188" s="84">
        <f t="shared" si="64"/>
        <v>0</v>
      </c>
      <c r="AD188" s="84"/>
      <c r="AE188" s="84">
        <f t="shared" si="67"/>
        <v>5931</v>
      </c>
      <c r="AF188" s="84">
        <f t="shared" si="61"/>
        <v>44482.5</v>
      </c>
      <c r="AG188" s="94">
        <f t="shared" si="68"/>
        <v>8896.4999999999982</v>
      </c>
      <c r="AH188" s="85">
        <f>IFERROR(VLOOKUP(A188,CUSTOMERS!$A:$E,4),"")</f>
        <v>197.7</v>
      </c>
      <c r="AI188" s="86" t="str">
        <f t="shared" si="75"/>
        <v/>
      </c>
      <c r="AJ188" s="87">
        <f>IFERROR(VLOOKUP(A188,CUSTOMERS!$A:$F,5),"")</f>
        <v>0.2</v>
      </c>
      <c r="AK188" s="96"/>
      <c r="AL188" s="96">
        <v>21</v>
      </c>
      <c r="AM188" s="96">
        <v>5</v>
      </c>
      <c r="AN188" s="96"/>
      <c r="AO188" s="96">
        <v>4</v>
      </c>
      <c r="AP188" s="103">
        <f t="shared" si="65"/>
        <v>30</v>
      </c>
      <c r="AQ188" s="103">
        <f t="shared" si="73"/>
        <v>6</v>
      </c>
      <c r="AR188" s="68" t="str">
        <f>IFERROR(VLOOKUP(A188,CUSTOMERS!$A:$B,2),"")</f>
        <v>BOI</v>
      </c>
      <c r="AS188" s="68" t="str">
        <f>IFERROR(VLOOKUP(A188,CUSTOMERS!$A:$D,3),"")</f>
        <v>RSC</v>
      </c>
      <c r="AT188" s="68" t="str">
        <f>IFERROR(VLOOKUP(A188,CUSTOMERS!$A:$F,6),"")</f>
        <v>Y</v>
      </c>
      <c r="AU188" s="69">
        <f>IFERROR(VLOOKUP(A188,CUSTOMERS!$A:$E,4),"")</f>
        <v>197.7</v>
      </c>
      <c r="AV188" s="68" t="str">
        <f t="shared" si="69"/>
        <v/>
      </c>
      <c r="AX188" s="71" t="str">
        <f t="shared" si="66"/>
        <v>reason188</v>
      </c>
    </row>
    <row r="189" spans="1:50" ht="50.25" customHeight="1">
      <c r="A189" s="188" t="s">
        <v>131</v>
      </c>
      <c r="B189" s="125" t="str">
        <f t="shared" si="60"/>
        <v>Y</v>
      </c>
      <c r="C189" s="125"/>
      <c r="D189" s="126">
        <v>90</v>
      </c>
      <c r="E189" s="126"/>
      <c r="F189" s="122" t="str">
        <f t="shared" si="59"/>
        <v>BDB-RSC-2021-00090</v>
      </c>
      <c r="G189" s="186" t="s">
        <v>180</v>
      </c>
      <c r="H189" s="124" t="s">
        <v>181</v>
      </c>
      <c r="I189" s="239"/>
      <c r="J189" s="80">
        <f t="shared" si="62"/>
        <v>0</v>
      </c>
      <c r="K189" s="177">
        <f t="shared" si="74"/>
        <v>44197</v>
      </c>
      <c r="L189" s="160">
        <v>44197</v>
      </c>
      <c r="M189" s="161"/>
      <c r="N189" s="162"/>
      <c r="O189" s="162"/>
      <c r="P189" s="163"/>
      <c r="Q189" s="202" t="s">
        <v>15</v>
      </c>
      <c r="R189" s="204" t="s">
        <v>643</v>
      </c>
      <c r="S189" s="211"/>
      <c r="T189" s="211"/>
      <c r="U189" s="211"/>
      <c r="V189" s="211"/>
      <c r="W189" s="211"/>
      <c r="X189" s="154" t="s">
        <v>644</v>
      </c>
      <c r="Y189" s="173">
        <f t="shared" si="72"/>
        <v>0</v>
      </c>
      <c r="Z189" s="83">
        <f t="shared" si="63"/>
        <v>0</v>
      </c>
      <c r="AA189" s="84">
        <f t="shared" si="70"/>
        <v>0</v>
      </c>
      <c r="AB189" s="84">
        <f t="shared" si="71"/>
        <v>0</v>
      </c>
      <c r="AC189" s="84">
        <f t="shared" si="64"/>
        <v>0</v>
      </c>
      <c r="AD189" s="84"/>
      <c r="AE189" s="84">
        <f t="shared" si="67"/>
        <v>0</v>
      </c>
      <c r="AF189" s="84">
        <f t="shared" si="61"/>
        <v>0</v>
      </c>
      <c r="AG189" s="94">
        <f t="shared" si="68"/>
        <v>0</v>
      </c>
      <c r="AH189" s="85">
        <f>IFERROR(VLOOKUP(A189,CUSTOMERS!$A:$E,4),"")</f>
        <v>215.76</v>
      </c>
      <c r="AI189" s="86" t="str">
        <f t="shared" si="75"/>
        <v/>
      </c>
      <c r="AJ189" s="87">
        <f>IFERROR(VLOOKUP(A189,CUSTOMERS!$A:$F,5),"")</f>
        <v>0.2</v>
      </c>
      <c r="AK189" s="96"/>
      <c r="AL189" s="96"/>
      <c r="AM189" s="96"/>
      <c r="AN189" s="96"/>
      <c r="AO189" s="96"/>
      <c r="AP189" s="103">
        <f t="shared" si="65"/>
        <v>0</v>
      </c>
      <c r="AQ189" s="103">
        <f t="shared" si="73"/>
        <v>0</v>
      </c>
      <c r="AR189" s="68" t="str">
        <f>IFERROR(VLOOKUP(A189,CUSTOMERS!$A:$B,2),"")</f>
        <v>BDB</v>
      </c>
      <c r="AS189" s="68" t="str">
        <f>IFERROR(VLOOKUP(A189,CUSTOMERS!$A:$D,3),"")</f>
        <v>RSC</v>
      </c>
      <c r="AT189" s="68" t="str">
        <f>IFERROR(VLOOKUP(A189,CUSTOMERS!$A:$F,6),"")</f>
        <v>Y</v>
      </c>
      <c r="AU189" s="69">
        <f>IFERROR(VLOOKUP(A189,CUSTOMERS!$A:$E,4),"")</f>
        <v>215.76</v>
      </c>
      <c r="AV189" s="68" t="str">
        <f t="shared" si="69"/>
        <v/>
      </c>
      <c r="AX189" s="71" t="str">
        <f t="shared" si="66"/>
        <v>reason189</v>
      </c>
    </row>
    <row r="190" spans="1:50" ht="50.25" customHeight="1">
      <c r="A190" s="188" t="s">
        <v>162</v>
      </c>
      <c r="B190" s="125" t="str">
        <f t="shared" si="60"/>
        <v>Y</v>
      </c>
      <c r="C190" s="125"/>
      <c r="D190" s="126">
        <v>221</v>
      </c>
      <c r="E190" s="126"/>
      <c r="F190" s="122" t="str">
        <f t="shared" si="59"/>
        <v>RMB-RSC-2021-00221</v>
      </c>
      <c r="G190" s="186" t="s">
        <v>129</v>
      </c>
      <c r="H190" s="124" t="s">
        <v>182</v>
      </c>
      <c r="I190" s="239">
        <v>44467</v>
      </c>
      <c r="J190" s="80">
        <f t="shared" si="62"/>
        <v>4230.9539999999997</v>
      </c>
      <c r="K190" s="177">
        <f t="shared" si="74"/>
        <v>44435</v>
      </c>
      <c r="L190" s="160">
        <v>44435</v>
      </c>
      <c r="M190" s="161"/>
      <c r="N190" s="162"/>
      <c r="O190" s="162"/>
      <c r="P190" s="163"/>
      <c r="Q190" s="202" t="s">
        <v>17</v>
      </c>
      <c r="R190" s="204"/>
      <c r="S190" s="211"/>
      <c r="T190" s="211"/>
      <c r="U190" s="211"/>
      <c r="V190" s="211"/>
      <c r="W190" s="211"/>
      <c r="X190" s="154"/>
      <c r="Y190" s="173">
        <f t="shared" si="72"/>
        <v>4230.9539999999997</v>
      </c>
      <c r="Z190" s="83">
        <f t="shared" si="63"/>
        <v>0</v>
      </c>
      <c r="AA190" s="84">
        <f t="shared" si="70"/>
        <v>2671.4677499999998</v>
      </c>
      <c r="AB190" s="84">
        <f t="shared" si="71"/>
        <v>678.03750000000002</v>
      </c>
      <c r="AC190" s="84">
        <f t="shared" si="64"/>
        <v>0</v>
      </c>
      <c r="AD190" s="84"/>
      <c r="AE190" s="84">
        <f t="shared" si="67"/>
        <v>176.28975000000003</v>
      </c>
      <c r="AF190" s="84">
        <f t="shared" si="61"/>
        <v>3525.7949999999996</v>
      </c>
      <c r="AG190" s="94">
        <f t="shared" si="68"/>
        <v>705.15899999999988</v>
      </c>
      <c r="AH190" s="85">
        <f>IFERROR(VLOOKUP(A190,CUSTOMERS!$A:$E,4),"")</f>
        <v>180.81</v>
      </c>
      <c r="AI190" s="86" t="str">
        <f t="shared" si="75"/>
        <v/>
      </c>
      <c r="AJ190" s="87">
        <v>0.2</v>
      </c>
      <c r="AK190" s="96"/>
      <c r="AL190" s="96">
        <v>1.97</v>
      </c>
      <c r="AM190" s="96">
        <v>0.5</v>
      </c>
      <c r="AN190" s="96"/>
      <c r="AO190" s="96">
        <v>0.13</v>
      </c>
      <c r="AP190" s="103">
        <f t="shared" si="65"/>
        <v>2.5999999999999996</v>
      </c>
      <c r="AQ190" s="103">
        <f t="shared" si="73"/>
        <v>0.51999999999999991</v>
      </c>
      <c r="AR190" s="68" t="str">
        <f>IFERROR(VLOOKUP(A190,CUSTOMERS!$A:$B,2),"")</f>
        <v>RMB</v>
      </c>
      <c r="AS190" s="68" t="str">
        <f>IFERROR(VLOOKUP(A190,CUSTOMERS!$A:$D,3),"")</f>
        <v>RSC</v>
      </c>
      <c r="AT190" s="68" t="str">
        <f>IFERROR(VLOOKUP(A190,CUSTOMERS!$A:$F,6),"")</f>
        <v>Y</v>
      </c>
      <c r="AU190" s="69">
        <f>IFERROR(VLOOKUP(A190,CUSTOMERS!$A:$E,4),"")</f>
        <v>180.81</v>
      </c>
      <c r="AV190" s="68" t="str">
        <f t="shared" si="69"/>
        <v/>
      </c>
      <c r="AX190" s="71" t="str">
        <f t="shared" si="66"/>
        <v>reason190</v>
      </c>
    </row>
    <row r="191" spans="1:50" ht="50.25" customHeight="1">
      <c r="A191" s="188" t="s">
        <v>162</v>
      </c>
      <c r="B191" s="125" t="str">
        <f t="shared" si="60"/>
        <v>Y</v>
      </c>
      <c r="C191" s="125"/>
      <c r="D191" s="126">
        <v>222</v>
      </c>
      <c r="E191" s="126"/>
      <c r="F191" s="122" t="str">
        <f t="shared" si="59"/>
        <v>RMB-RSC-2021-00222</v>
      </c>
      <c r="G191" s="186" t="s">
        <v>180</v>
      </c>
      <c r="H191" s="124" t="s">
        <v>183</v>
      </c>
      <c r="I191" s="239">
        <v>44467</v>
      </c>
      <c r="J191" s="80">
        <f t="shared" si="62"/>
        <v>12549.660480000002</v>
      </c>
      <c r="K191" s="177">
        <f t="shared" si="74"/>
        <v>44435</v>
      </c>
      <c r="L191" s="160">
        <v>44435</v>
      </c>
      <c r="M191" s="161"/>
      <c r="N191" s="162"/>
      <c r="O191" s="162"/>
      <c r="P191" s="163"/>
      <c r="Q191" s="202" t="s">
        <v>17</v>
      </c>
      <c r="R191" s="204"/>
      <c r="S191" s="211"/>
      <c r="T191" s="211"/>
      <c r="U191" s="211"/>
      <c r="V191" s="211"/>
      <c r="W191" s="211"/>
      <c r="X191" s="154"/>
      <c r="Y191" s="173">
        <f t="shared" si="72"/>
        <v>12549.660480000002</v>
      </c>
      <c r="Z191" s="83">
        <f t="shared" si="63"/>
        <v>0</v>
      </c>
      <c r="AA191" s="84">
        <f t="shared" si="70"/>
        <v>8423.9379000000008</v>
      </c>
      <c r="AB191" s="84">
        <f t="shared" si="71"/>
        <v>1356.075</v>
      </c>
      <c r="AC191" s="84">
        <f t="shared" si="64"/>
        <v>0</v>
      </c>
      <c r="AD191" s="84"/>
      <c r="AE191" s="84">
        <f t="shared" si="67"/>
        <v>678.03750000000002</v>
      </c>
      <c r="AF191" s="84">
        <f t="shared" si="61"/>
        <v>10458.050400000002</v>
      </c>
      <c r="AG191" s="94">
        <f t="shared" si="68"/>
        <v>2091.6100799999999</v>
      </c>
      <c r="AH191" s="85">
        <f>IFERROR(VLOOKUP(A191,CUSTOMERS!$A:$E,4),"")</f>
        <v>180.81</v>
      </c>
      <c r="AI191" s="86" t="str">
        <f t="shared" si="75"/>
        <v/>
      </c>
      <c r="AJ191" s="87">
        <v>0.2</v>
      </c>
      <c r="AK191" s="96"/>
      <c r="AL191" s="96">
        <v>6.2119999999999997</v>
      </c>
      <c r="AM191" s="96">
        <v>1</v>
      </c>
      <c r="AN191" s="96"/>
      <c r="AO191" s="96">
        <v>0.5</v>
      </c>
      <c r="AP191" s="103">
        <f t="shared" si="65"/>
        <v>7.7119999999999997</v>
      </c>
      <c r="AQ191" s="103">
        <f t="shared" si="73"/>
        <v>1.5424</v>
      </c>
      <c r="AR191" s="68" t="str">
        <f>IFERROR(VLOOKUP(A191,CUSTOMERS!$A:$B,2),"")</f>
        <v>RMB</v>
      </c>
      <c r="AS191" s="68" t="str">
        <f>IFERROR(VLOOKUP(A191,CUSTOMERS!$A:$D,3),"")</f>
        <v>RSC</v>
      </c>
      <c r="AT191" s="68" t="str">
        <f>IFERROR(VLOOKUP(A191,CUSTOMERS!$A:$F,6),"")</f>
        <v>Y</v>
      </c>
      <c r="AU191" s="69">
        <f>IFERROR(VLOOKUP(A191,CUSTOMERS!$A:$E,4),"")</f>
        <v>180.81</v>
      </c>
      <c r="AV191" s="68" t="str">
        <f t="shared" si="69"/>
        <v/>
      </c>
      <c r="AX191" s="71" t="str">
        <f t="shared" si="66"/>
        <v>reason191</v>
      </c>
    </row>
    <row r="192" spans="1:50" ht="50.25" customHeight="1">
      <c r="A192" s="188" t="s">
        <v>99</v>
      </c>
      <c r="B192" s="125" t="str">
        <f t="shared" si="60"/>
        <v>Y</v>
      </c>
      <c r="C192" s="125"/>
      <c r="D192" s="126">
        <v>46</v>
      </c>
      <c r="E192" s="126"/>
      <c r="F192" s="122" t="str">
        <f t="shared" si="59"/>
        <v>BAC-RSC-2021-00046</v>
      </c>
      <c r="G192" s="186" t="s">
        <v>116</v>
      </c>
      <c r="H192" s="124" t="s">
        <v>184</v>
      </c>
      <c r="I192" s="239">
        <v>44461</v>
      </c>
      <c r="J192" s="80">
        <f t="shared" si="62"/>
        <v>3809.8800000000006</v>
      </c>
      <c r="K192" s="177">
        <f t="shared" si="74"/>
        <v>44447</v>
      </c>
      <c r="L192" s="160">
        <v>44447</v>
      </c>
      <c r="M192" s="161">
        <v>44447</v>
      </c>
      <c r="N192" s="162">
        <v>44447</v>
      </c>
      <c r="O192" s="162"/>
      <c r="P192" s="163"/>
      <c r="Q192" s="202" t="s">
        <v>16</v>
      </c>
      <c r="R192" s="204" t="s">
        <v>4</v>
      </c>
      <c r="S192" s="211"/>
      <c r="T192" s="211"/>
      <c r="U192" s="211"/>
      <c r="V192" s="211"/>
      <c r="W192" s="211"/>
      <c r="X192" s="154"/>
      <c r="Y192" s="173">
        <f t="shared" si="72"/>
        <v>3809.8800000000006</v>
      </c>
      <c r="Z192" s="83">
        <f t="shared" si="63"/>
        <v>0</v>
      </c>
      <c r="AA192" s="84">
        <f t="shared" si="70"/>
        <v>2381.1750000000002</v>
      </c>
      <c r="AB192" s="84">
        <f t="shared" si="71"/>
        <v>396.86250000000001</v>
      </c>
      <c r="AC192" s="84">
        <f t="shared" si="64"/>
        <v>0</v>
      </c>
      <c r="AD192" s="84"/>
      <c r="AE192" s="84">
        <f t="shared" si="67"/>
        <v>396.86250000000001</v>
      </c>
      <c r="AF192" s="84">
        <f t="shared" si="61"/>
        <v>3174.9000000000005</v>
      </c>
      <c r="AG192" s="94">
        <f t="shared" si="68"/>
        <v>634.98</v>
      </c>
      <c r="AH192" s="85">
        <f>IFERROR(VLOOKUP(A192,CUSTOMERS!$A:$E,4),"")</f>
        <v>211.66</v>
      </c>
      <c r="AI192" s="86" t="str">
        <f t="shared" si="75"/>
        <v/>
      </c>
      <c r="AJ192" s="87">
        <f>IFERROR(VLOOKUP(A192,CUSTOMERS!$A:$F,5),"")</f>
        <v>0.2</v>
      </c>
      <c r="AK192" s="96"/>
      <c r="AL192" s="96">
        <v>1.5</v>
      </c>
      <c r="AM192" s="96">
        <v>0.25</v>
      </c>
      <c r="AN192" s="96"/>
      <c r="AO192" s="96">
        <v>0.25</v>
      </c>
      <c r="AP192" s="103">
        <f t="shared" si="65"/>
        <v>2</v>
      </c>
      <c r="AQ192" s="103">
        <f t="shared" si="73"/>
        <v>0.4</v>
      </c>
      <c r="AR192" s="68" t="str">
        <f>IFERROR(VLOOKUP(A192,CUSTOMERS!$A:$B,2),"")</f>
        <v>BAC</v>
      </c>
      <c r="AS192" s="68" t="str">
        <f>IFERROR(VLOOKUP(A192,CUSTOMERS!$A:$D,3),"")</f>
        <v>RSC</v>
      </c>
      <c r="AT192" s="68" t="str">
        <f>IFERROR(VLOOKUP(A192,CUSTOMERS!$A:$F,6),"")</f>
        <v>Y</v>
      </c>
      <c r="AU192" s="69">
        <f>IFERROR(VLOOKUP(A192,CUSTOMERS!$A:$E,4),"")</f>
        <v>211.66</v>
      </c>
      <c r="AV192" s="68" t="str">
        <f t="shared" si="69"/>
        <v/>
      </c>
      <c r="AX192" s="71" t="str">
        <f t="shared" si="66"/>
        <v>reason192</v>
      </c>
    </row>
    <row r="193" spans="1:50" ht="50.25" customHeight="1">
      <c r="A193" s="188" t="s">
        <v>158</v>
      </c>
      <c r="B193" s="125" t="str">
        <f t="shared" si="60"/>
        <v>Y</v>
      </c>
      <c r="C193" s="125"/>
      <c r="D193" s="126">
        <v>7</v>
      </c>
      <c r="E193" s="126"/>
      <c r="F193" s="122" t="str">
        <f t="shared" si="59"/>
        <v>N26-RSC-2021-00007</v>
      </c>
      <c r="G193" s="186" t="s">
        <v>103</v>
      </c>
      <c r="H193" s="124" t="s">
        <v>185</v>
      </c>
      <c r="I193" s="239"/>
      <c r="J193" s="80">
        <f t="shared" si="62"/>
        <v>3544.4295000000002</v>
      </c>
      <c r="K193" s="177">
        <f t="shared" si="74"/>
        <v>44449</v>
      </c>
      <c r="L193" s="160">
        <v>44439</v>
      </c>
      <c r="M193" s="161">
        <v>44449</v>
      </c>
      <c r="N193" s="162">
        <v>44449</v>
      </c>
      <c r="O193" s="162"/>
      <c r="P193" s="163">
        <v>44449</v>
      </c>
      <c r="Q193" s="202" t="s">
        <v>18</v>
      </c>
      <c r="R193" s="204" t="s">
        <v>4</v>
      </c>
      <c r="S193" s="211"/>
      <c r="T193" s="211"/>
      <c r="U193" s="211"/>
      <c r="V193" s="211"/>
      <c r="W193" s="211"/>
      <c r="X193" s="154"/>
      <c r="Y193" s="173">
        <f t="shared" si="72"/>
        <v>3544.4295000000002</v>
      </c>
      <c r="Z193" s="83">
        <f t="shared" si="63"/>
        <v>0</v>
      </c>
      <c r="AA193" s="84">
        <f t="shared" si="70"/>
        <v>2449.4025000000001</v>
      </c>
      <c r="AB193" s="84">
        <f t="shared" si="71"/>
        <v>389.02275000000009</v>
      </c>
      <c r="AC193" s="84">
        <f t="shared" si="64"/>
        <v>0</v>
      </c>
      <c r="AD193" s="84"/>
      <c r="AE193" s="84">
        <f t="shared" si="67"/>
        <v>115.26600000000002</v>
      </c>
      <c r="AF193" s="84">
        <f t="shared" si="61"/>
        <v>2953.6912500000003</v>
      </c>
      <c r="AG193" s="94">
        <f t="shared" si="68"/>
        <v>590.73824999999999</v>
      </c>
      <c r="AH193" s="85">
        <f>IFERROR(VLOOKUP(A193,CUSTOMERS!$A:$E,4),"")</f>
        <v>192.11</v>
      </c>
      <c r="AI193" s="86" t="str">
        <f t="shared" si="75"/>
        <v/>
      </c>
      <c r="AJ193" s="87">
        <f>IFERROR(VLOOKUP(A193,CUSTOMERS!$A:$F,5),"")</f>
        <v>0.2</v>
      </c>
      <c r="AK193" s="96"/>
      <c r="AL193" s="96">
        <v>1.7</v>
      </c>
      <c r="AM193" s="96">
        <v>0.27</v>
      </c>
      <c r="AN193" s="96"/>
      <c r="AO193" s="96">
        <v>0.08</v>
      </c>
      <c r="AP193" s="237">
        <f t="shared" si="65"/>
        <v>2.0499999999999998</v>
      </c>
      <c r="AQ193" s="103">
        <f t="shared" si="73"/>
        <v>0.41</v>
      </c>
      <c r="AR193" s="68" t="str">
        <f>IFERROR(VLOOKUP(A193,CUSTOMERS!$A:$B,2),"")</f>
        <v>N26</v>
      </c>
      <c r="AS193" s="68" t="str">
        <f>IFERROR(VLOOKUP(A193,CUSTOMERS!$A:$D,3),"")</f>
        <v>RSC</v>
      </c>
      <c r="AT193" s="68" t="str">
        <f>IFERROR(VLOOKUP(A193,CUSTOMERS!$A:$F,6),"")</f>
        <v>Y</v>
      </c>
      <c r="AU193" s="69">
        <f>IFERROR(VLOOKUP(A193,CUSTOMERS!$A:$E,4),"")</f>
        <v>192.11</v>
      </c>
      <c r="AV193" s="68" t="str">
        <f t="shared" si="69"/>
        <v/>
      </c>
      <c r="AX193" s="71" t="str">
        <f t="shared" si="66"/>
        <v>reason193</v>
      </c>
    </row>
    <row r="194" spans="1:50" ht="50.25" customHeight="1">
      <c r="A194" s="188" t="s">
        <v>131</v>
      </c>
      <c r="B194" s="125" t="str">
        <f t="shared" si="60"/>
        <v>Y</v>
      </c>
      <c r="C194" s="125"/>
      <c r="D194" s="126">
        <v>89</v>
      </c>
      <c r="E194" s="126"/>
      <c r="F194" s="122" t="str">
        <f t="shared" si="59"/>
        <v>BDB-RSC-2021-00089</v>
      </c>
      <c r="G194" s="186" t="s">
        <v>109</v>
      </c>
      <c r="H194" s="124" t="s">
        <v>186</v>
      </c>
      <c r="I194" s="239">
        <v>44468</v>
      </c>
      <c r="J194" s="80">
        <f t="shared" si="62"/>
        <v>14544.381600000001</v>
      </c>
      <c r="K194" s="177">
        <v>44453</v>
      </c>
      <c r="L194" s="160">
        <v>44450</v>
      </c>
      <c r="M194" s="161">
        <v>44450</v>
      </c>
      <c r="N194" s="162">
        <v>44454</v>
      </c>
      <c r="O194" s="162"/>
      <c r="P194" s="163"/>
      <c r="Q194" s="202" t="s">
        <v>18</v>
      </c>
      <c r="R194" s="204" t="s">
        <v>4</v>
      </c>
      <c r="S194" s="211"/>
      <c r="T194" s="211"/>
      <c r="U194" s="211"/>
      <c r="V194" s="211"/>
      <c r="W194" s="211"/>
      <c r="X194" s="154"/>
      <c r="Y194" s="173">
        <f t="shared" si="72"/>
        <v>14544.381600000001</v>
      </c>
      <c r="Z194" s="83">
        <f t="shared" si="63"/>
        <v>0</v>
      </c>
      <c r="AA194" s="84">
        <f t="shared" si="70"/>
        <v>10502.118</v>
      </c>
      <c r="AB194" s="84">
        <f t="shared" si="71"/>
        <v>809.09999999999991</v>
      </c>
      <c r="AC194" s="84">
        <f t="shared" si="64"/>
        <v>0</v>
      </c>
      <c r="AD194" s="84"/>
      <c r="AE194" s="84">
        <f t="shared" si="67"/>
        <v>809.09999999999991</v>
      </c>
      <c r="AF194" s="84">
        <f t="shared" si="61"/>
        <v>12120.318000000001</v>
      </c>
      <c r="AG194" s="94">
        <f t="shared" si="68"/>
        <v>2424.0636</v>
      </c>
      <c r="AH194" s="85">
        <f>IFERROR(VLOOKUP(A194,CUSTOMERS!$A:$E,4),"")</f>
        <v>215.76</v>
      </c>
      <c r="AI194" s="86" t="str">
        <f t="shared" si="75"/>
        <v/>
      </c>
      <c r="AJ194" s="87">
        <f>IFERROR(VLOOKUP(A194,CUSTOMERS!$A:$F,5),"")</f>
        <v>0.2</v>
      </c>
      <c r="AK194" s="96"/>
      <c r="AL194" s="96">
        <v>6.49</v>
      </c>
      <c r="AM194" s="96">
        <v>0.5</v>
      </c>
      <c r="AN194" s="96"/>
      <c r="AO194" s="96">
        <v>0.5</v>
      </c>
      <c r="AP194" s="103">
        <f t="shared" si="65"/>
        <v>7.49</v>
      </c>
      <c r="AQ194" s="103">
        <f t="shared" si="73"/>
        <v>1.4980000000000002</v>
      </c>
      <c r="AR194" s="68" t="str">
        <f>IFERROR(VLOOKUP(A194,CUSTOMERS!$A:$B,2),"")</f>
        <v>BDB</v>
      </c>
      <c r="AS194" s="68" t="str">
        <f>IFERROR(VLOOKUP(A194,CUSTOMERS!$A:$D,3),"")</f>
        <v>RSC</v>
      </c>
      <c r="AT194" s="68" t="str">
        <f>IFERROR(VLOOKUP(A194,CUSTOMERS!$A:$F,6),"")</f>
        <v>Y</v>
      </c>
      <c r="AU194" s="69">
        <f>IFERROR(VLOOKUP(A194,CUSTOMERS!$A:$E,4),"")</f>
        <v>215.76</v>
      </c>
      <c r="AV194" s="68" t="str">
        <f t="shared" si="69"/>
        <v/>
      </c>
      <c r="AX194" s="71" t="str">
        <f t="shared" si="66"/>
        <v>reason194</v>
      </c>
    </row>
    <row r="195" spans="1:50" ht="50.25" customHeight="1">
      <c r="A195" s="188" t="s">
        <v>131</v>
      </c>
      <c r="B195" s="125" t="str">
        <f t="shared" si="60"/>
        <v>Y</v>
      </c>
      <c r="C195" s="125"/>
      <c r="D195" s="126">
        <v>88</v>
      </c>
      <c r="E195" s="126"/>
      <c r="F195" s="122" t="str">
        <f t="shared" si="59"/>
        <v>BDB-RSC-2021-00088</v>
      </c>
      <c r="G195" s="186" t="s">
        <v>103</v>
      </c>
      <c r="H195" s="124" t="s">
        <v>187</v>
      </c>
      <c r="I195" s="239"/>
      <c r="J195" s="80">
        <f t="shared" si="62"/>
        <v>970.91999999999985</v>
      </c>
      <c r="K195" s="177">
        <v>44425</v>
      </c>
      <c r="L195" s="243">
        <v>44419</v>
      </c>
      <c r="M195" s="244">
        <v>44419</v>
      </c>
      <c r="N195" s="242">
        <v>44425</v>
      </c>
      <c r="O195" s="162"/>
      <c r="P195" s="163"/>
      <c r="Q195" s="202" t="s">
        <v>18</v>
      </c>
      <c r="R195" s="204" t="s">
        <v>4</v>
      </c>
      <c r="S195" s="211"/>
      <c r="T195" s="211"/>
      <c r="U195" s="211"/>
      <c r="V195" s="211"/>
      <c r="W195" s="211"/>
      <c r="X195" s="154"/>
      <c r="Y195" s="173">
        <f t="shared" si="72"/>
        <v>970.91999999999985</v>
      </c>
      <c r="Z195" s="83">
        <f t="shared" si="63"/>
        <v>0</v>
      </c>
      <c r="AA195" s="84">
        <f t="shared" si="70"/>
        <v>809.09999999999991</v>
      </c>
      <c r="AB195" s="84">
        <f t="shared" si="71"/>
        <v>0</v>
      </c>
      <c r="AC195" s="84">
        <f t="shared" si="64"/>
        <v>0</v>
      </c>
      <c r="AD195" s="84"/>
      <c r="AE195" s="84">
        <f t="shared" si="67"/>
        <v>0</v>
      </c>
      <c r="AF195" s="84">
        <f t="shared" si="61"/>
        <v>809.09999999999991</v>
      </c>
      <c r="AG195" s="94">
        <f t="shared" si="68"/>
        <v>161.82</v>
      </c>
      <c r="AH195" s="85">
        <f>IFERROR(VLOOKUP(A195,CUSTOMERS!$A:$E,4),"")</f>
        <v>215.76</v>
      </c>
      <c r="AI195" s="86" t="str">
        <f t="shared" si="75"/>
        <v/>
      </c>
      <c r="AJ195" s="87">
        <f>IFERROR(VLOOKUP(A195,CUSTOMERS!$A:$F,5),"")</f>
        <v>0.2</v>
      </c>
      <c r="AK195" s="96"/>
      <c r="AL195" s="96">
        <v>0.5</v>
      </c>
      <c r="AM195" s="96">
        <v>0</v>
      </c>
      <c r="AN195" s="96"/>
      <c r="AO195" s="96">
        <v>0</v>
      </c>
      <c r="AP195" s="103">
        <f t="shared" si="65"/>
        <v>0.5</v>
      </c>
      <c r="AQ195" s="103">
        <f t="shared" si="73"/>
        <v>0.1</v>
      </c>
      <c r="AR195" s="68" t="str">
        <f>IFERROR(VLOOKUP(A195,CUSTOMERS!$A:$B,2),"")</f>
        <v>BDB</v>
      </c>
      <c r="AS195" s="68" t="str">
        <f>IFERROR(VLOOKUP(A195,CUSTOMERS!$A:$D,3),"")</f>
        <v>RSC</v>
      </c>
      <c r="AT195" s="68" t="str">
        <f>IFERROR(VLOOKUP(A195,CUSTOMERS!$A:$F,6),"")</f>
        <v>Y</v>
      </c>
      <c r="AU195" s="69">
        <f>IFERROR(VLOOKUP(A195,CUSTOMERS!$A:$E,4),"")</f>
        <v>215.76</v>
      </c>
      <c r="AV195" s="68" t="str">
        <f t="shared" si="69"/>
        <v/>
      </c>
      <c r="AX195" s="71" t="str">
        <f t="shared" si="66"/>
        <v>reason195</v>
      </c>
    </row>
    <row r="196" spans="1:50" ht="50.25" customHeight="1">
      <c r="A196" s="188" t="s">
        <v>99</v>
      </c>
      <c r="B196" s="125" t="str">
        <f t="shared" si="60"/>
        <v>Y</v>
      </c>
      <c r="C196" s="125"/>
      <c r="D196" s="126">
        <v>45</v>
      </c>
      <c r="E196" s="126"/>
      <c r="F196" s="122" t="str">
        <f t="shared" si="59"/>
        <v>BAC-RSC-2021-00045</v>
      </c>
      <c r="G196" s="186" t="s">
        <v>116</v>
      </c>
      <c r="H196" s="124" t="s">
        <v>188</v>
      </c>
      <c r="I196" s="239">
        <v>44438</v>
      </c>
      <c r="J196" s="80">
        <f t="shared" si="62"/>
        <v>14287.050000000001</v>
      </c>
      <c r="K196" s="177">
        <f t="shared" si="74"/>
        <v>44417</v>
      </c>
      <c r="L196" s="245">
        <v>44407</v>
      </c>
      <c r="M196" s="244">
        <v>44417</v>
      </c>
      <c r="N196" s="242">
        <v>44417</v>
      </c>
      <c r="O196" s="162"/>
      <c r="P196" s="163"/>
      <c r="Q196" s="202" t="s">
        <v>18</v>
      </c>
      <c r="R196" s="204" t="s">
        <v>4</v>
      </c>
      <c r="S196" s="211"/>
      <c r="T196" s="211"/>
      <c r="U196" s="211"/>
      <c r="V196" s="211"/>
      <c r="W196" s="211"/>
      <c r="X196" s="154"/>
      <c r="Y196" s="173">
        <f t="shared" si="72"/>
        <v>14287.050000000001</v>
      </c>
      <c r="Z196" s="83">
        <f t="shared" si="63"/>
        <v>0</v>
      </c>
      <c r="AA196" s="84">
        <f t="shared" si="70"/>
        <v>11112.15</v>
      </c>
      <c r="AB196" s="84">
        <f t="shared" si="71"/>
        <v>1587.45</v>
      </c>
      <c r="AC196" s="84">
        <f t="shared" si="64"/>
        <v>0</v>
      </c>
      <c r="AD196" s="84"/>
      <c r="AE196" s="84">
        <f t="shared" si="67"/>
        <v>1587.45</v>
      </c>
      <c r="AF196" s="84">
        <f t="shared" si="61"/>
        <v>14287.050000000001</v>
      </c>
      <c r="AG196" s="94">
        <v>0</v>
      </c>
      <c r="AH196" s="85">
        <f>IFERROR(VLOOKUP(A196,CUSTOMERS!$A:$E,4),"")</f>
        <v>211.66</v>
      </c>
      <c r="AI196" s="86" t="str">
        <f t="shared" si="75"/>
        <v/>
      </c>
      <c r="AJ196" s="87">
        <f>IFERROR(VLOOKUP(A196,CUSTOMERS!$A:$F,5),"")</f>
        <v>0.2</v>
      </c>
      <c r="AK196" s="96"/>
      <c r="AL196" s="96">
        <v>7</v>
      </c>
      <c r="AM196" s="96">
        <v>1</v>
      </c>
      <c r="AN196" s="96"/>
      <c r="AO196" s="96">
        <v>1</v>
      </c>
      <c r="AP196" s="103">
        <f t="shared" si="65"/>
        <v>9</v>
      </c>
      <c r="AQ196" s="103">
        <f t="shared" si="73"/>
        <v>1.8</v>
      </c>
      <c r="AR196" s="68" t="str">
        <f>IFERROR(VLOOKUP(A196,CUSTOMERS!$A:$B,2),"")</f>
        <v>BAC</v>
      </c>
      <c r="AS196" s="68" t="str">
        <f>IFERROR(VLOOKUP(A196,CUSTOMERS!$A:$D,3),"")</f>
        <v>RSC</v>
      </c>
      <c r="AT196" s="68" t="str">
        <f>IFERROR(VLOOKUP(A196,CUSTOMERS!$A:$F,6),"")</f>
        <v>Y</v>
      </c>
      <c r="AU196" s="69">
        <f>IFERROR(VLOOKUP(A196,CUSTOMERS!$A:$E,4),"")</f>
        <v>211.66</v>
      </c>
      <c r="AV196" s="68" t="str">
        <f t="shared" si="69"/>
        <v/>
      </c>
      <c r="AX196" s="71" t="str">
        <f t="shared" si="66"/>
        <v>reason196</v>
      </c>
    </row>
    <row r="197" spans="1:50" ht="50.25" customHeight="1">
      <c r="A197" s="188" t="s">
        <v>50</v>
      </c>
      <c r="B197" s="125" t="str">
        <f t="shared" si="60"/>
        <v>N</v>
      </c>
      <c r="C197" s="125"/>
      <c r="D197" s="126">
        <v>35623</v>
      </c>
      <c r="E197" s="126"/>
      <c r="F197" s="122" t="str">
        <f t="shared" si="59"/>
        <v>PRD-REQ-0000-35623</v>
      </c>
      <c r="G197" s="186" t="s">
        <v>180</v>
      </c>
      <c r="H197" s="124" t="s">
        <v>645</v>
      </c>
      <c r="I197" s="239"/>
      <c r="J197" s="80">
        <f t="shared" si="62"/>
        <v>0</v>
      </c>
      <c r="K197" s="177">
        <f t="shared" si="74"/>
        <v>0</v>
      </c>
      <c r="L197" s="160"/>
      <c r="M197" s="161"/>
      <c r="N197" s="162"/>
      <c r="O197" s="162"/>
      <c r="P197" s="163"/>
      <c r="Q197" s="202"/>
      <c r="R197" s="204"/>
      <c r="S197" s="211"/>
      <c r="T197" s="211"/>
      <c r="U197" s="211"/>
      <c r="V197" s="211"/>
      <c r="W197" s="211"/>
      <c r="X197" s="154" t="s">
        <v>646</v>
      </c>
      <c r="Y197" s="173">
        <f t="shared" si="72"/>
        <v>0</v>
      </c>
      <c r="Z197" s="83">
        <f t="shared" si="63"/>
        <v>0</v>
      </c>
      <c r="AA197" s="84">
        <f t="shared" si="70"/>
        <v>0</v>
      </c>
      <c r="AB197" s="84">
        <f t="shared" si="71"/>
        <v>0</v>
      </c>
      <c r="AC197" s="84">
        <f t="shared" si="64"/>
        <v>0</v>
      </c>
      <c r="AD197" s="84"/>
      <c r="AE197" s="84">
        <f t="shared" si="67"/>
        <v>0</v>
      </c>
      <c r="AF197" s="84">
        <f t="shared" si="61"/>
        <v>0</v>
      </c>
      <c r="AG197" s="94">
        <f t="shared" si="68"/>
        <v>0</v>
      </c>
      <c r="AH197" s="85">
        <f>IFERROR(VLOOKUP(A197,CUSTOMERS!$A:$E,4),"")</f>
        <v>-150</v>
      </c>
      <c r="AI197" s="86" t="str">
        <f t="shared" si="75"/>
        <v/>
      </c>
      <c r="AJ197" s="87">
        <f>IFERROR(VLOOKUP(A197,CUSTOMERS!$A:$F,5),"")</f>
        <v>0</v>
      </c>
      <c r="AK197" s="96"/>
      <c r="AL197" s="96">
        <v>0</v>
      </c>
      <c r="AM197" s="96">
        <v>0</v>
      </c>
      <c r="AN197" s="96"/>
      <c r="AO197" s="96">
        <v>0</v>
      </c>
      <c r="AP197" s="103">
        <f t="shared" si="65"/>
        <v>0</v>
      </c>
      <c r="AQ197" s="103">
        <f t="shared" si="73"/>
        <v>0</v>
      </c>
      <c r="AR197" s="68" t="str">
        <f>IFERROR(VLOOKUP(A197,CUSTOMERS!$A:$B,2),"")</f>
        <v>PRD</v>
      </c>
      <c r="AS197" s="68" t="str">
        <f>IFERROR(VLOOKUP(A197,CUSTOMERS!$A:$D,3),"")</f>
        <v>REQ</v>
      </c>
      <c r="AT197" s="68" t="str">
        <f>IFERROR(VLOOKUP(A197,CUSTOMERS!$A:$F,6),"")</f>
        <v>N</v>
      </c>
      <c r="AU197" s="69">
        <f>IFERROR(VLOOKUP(A197,CUSTOMERS!$A:$E,4),"")</f>
        <v>-150</v>
      </c>
      <c r="AV197" s="68" t="str">
        <f t="shared" si="69"/>
        <v/>
      </c>
      <c r="AX197" s="71" t="str">
        <f t="shared" si="66"/>
        <v>reason197</v>
      </c>
    </row>
    <row r="198" spans="1:50" ht="50.25" customHeight="1">
      <c r="A198" s="188" t="s">
        <v>50</v>
      </c>
      <c r="B198" s="125" t="str">
        <f t="shared" si="60"/>
        <v>N</v>
      </c>
      <c r="C198" s="125"/>
      <c r="D198" s="126">
        <v>1000</v>
      </c>
      <c r="E198" s="126"/>
      <c r="F198" s="122" t="str">
        <f>IF(AS198&lt;&gt;"",_xlfn.CONCAT(AR198,"-",AS198,"-",IF(L198&lt;&gt;"",TEXT(L198,"yyyy"),"0000"),"-",REPT(0,4-LEN(D198))&amp;D198),"")</f>
        <v>PRD-REQ-2021-1000</v>
      </c>
      <c r="G198" s="186" t="s">
        <v>180</v>
      </c>
      <c r="H198" s="124" t="s">
        <v>189</v>
      </c>
      <c r="I198" s="239"/>
      <c r="J198" s="80">
        <f t="shared" si="62"/>
        <v>0</v>
      </c>
      <c r="K198" s="177">
        <f t="shared" si="74"/>
        <v>44525</v>
      </c>
      <c r="L198" s="160">
        <v>44525</v>
      </c>
      <c r="M198" s="161">
        <v>44525</v>
      </c>
      <c r="N198" s="162"/>
      <c r="O198" s="162"/>
      <c r="P198" s="163"/>
      <c r="Q198" s="202" t="s">
        <v>14</v>
      </c>
      <c r="R198" s="204" t="s">
        <v>647</v>
      </c>
      <c r="S198" s="211" t="s">
        <v>308</v>
      </c>
      <c r="T198" s="211" t="s">
        <v>455</v>
      </c>
      <c r="U198" s="211" t="s">
        <v>648</v>
      </c>
      <c r="V198" s="211"/>
      <c r="W198" s="211"/>
      <c r="X198" s="154"/>
      <c r="Y198" s="173">
        <f t="shared" si="72"/>
        <v>0</v>
      </c>
      <c r="Z198" s="83">
        <f t="shared" si="63"/>
        <v>0</v>
      </c>
      <c r="AA198" s="84">
        <f t="shared" si="70"/>
        <v>0</v>
      </c>
      <c r="AB198" s="84">
        <f t="shared" si="71"/>
        <v>0</v>
      </c>
      <c r="AC198" s="84">
        <f t="shared" si="64"/>
        <v>0</v>
      </c>
      <c r="AD198" s="84"/>
      <c r="AE198" s="84">
        <f t="shared" si="67"/>
        <v>0</v>
      </c>
      <c r="AF198" s="84">
        <f t="shared" si="61"/>
        <v>0</v>
      </c>
      <c r="AG198" s="94">
        <f t="shared" si="68"/>
        <v>0</v>
      </c>
      <c r="AH198" s="85">
        <f>IFERROR(VLOOKUP(A198,CUSTOMERS!$A:$E,4),"")</f>
        <v>-150</v>
      </c>
      <c r="AI198" s="86" t="str">
        <f t="shared" si="75"/>
        <v/>
      </c>
      <c r="AJ198" s="87">
        <f>IFERROR(VLOOKUP(A198,CUSTOMERS!$A:$F,5),"")</f>
        <v>0</v>
      </c>
      <c r="AK198" s="96"/>
      <c r="AL198" s="96">
        <v>0</v>
      </c>
      <c r="AM198" s="96">
        <v>0</v>
      </c>
      <c r="AN198" s="96"/>
      <c r="AO198" s="96">
        <v>0</v>
      </c>
      <c r="AP198" s="103">
        <f t="shared" si="65"/>
        <v>0</v>
      </c>
      <c r="AQ198" s="103">
        <f t="shared" si="73"/>
        <v>0</v>
      </c>
      <c r="AR198" s="68" t="str">
        <f>IFERROR(VLOOKUP(A198,CUSTOMERS!$A:$B,2),"")</f>
        <v>PRD</v>
      </c>
      <c r="AS198" s="68" t="str">
        <f>IFERROR(VLOOKUP(A198,CUSTOMERS!$A:$D,3),"")</f>
        <v>REQ</v>
      </c>
      <c r="AT198" s="68" t="str">
        <f>IFERROR(VLOOKUP(A198,CUSTOMERS!$A:$F,6),"")</f>
        <v>N</v>
      </c>
      <c r="AU198" s="69">
        <f>IFERROR(VLOOKUP(A198,CUSTOMERS!$A:$E,4),"")</f>
        <v>-150</v>
      </c>
      <c r="AV198" s="68" t="str">
        <f t="shared" si="69"/>
        <v/>
      </c>
      <c r="AX198" s="71" t="str">
        <f t="shared" si="66"/>
        <v>reason198</v>
      </c>
    </row>
    <row r="199" spans="1:50" ht="50.25" customHeight="1">
      <c r="A199" s="188" t="s">
        <v>50</v>
      </c>
      <c r="B199" s="125" t="str">
        <f t="shared" si="60"/>
        <v>N</v>
      </c>
      <c r="C199" s="125"/>
      <c r="D199" s="126">
        <v>1001</v>
      </c>
      <c r="E199" s="126"/>
      <c r="F199" s="122" t="str">
        <f t="shared" ref="F199:F262" si="76">IF(AS199&lt;&gt;"",_xlfn.CONCAT(AR199,"-",AS199,"-",IF(L199&lt;&gt;"",TEXT(L199,"yyyy"),"0000"),"-",REPT(0,4-LEN(D199))&amp;D199),"")</f>
        <v>PRD-REQ-2021-1001</v>
      </c>
      <c r="G199" s="186" t="s">
        <v>180</v>
      </c>
      <c r="H199" s="124" t="s">
        <v>190</v>
      </c>
      <c r="I199" s="239"/>
      <c r="J199" s="80">
        <f t="shared" si="62"/>
        <v>0</v>
      </c>
      <c r="K199" s="177">
        <v>44525</v>
      </c>
      <c r="L199" s="160">
        <v>44525</v>
      </c>
      <c r="M199" s="161">
        <v>44525</v>
      </c>
      <c r="N199" s="162"/>
      <c r="O199" s="162"/>
      <c r="P199" s="163"/>
      <c r="Q199" s="202" t="s">
        <v>14</v>
      </c>
      <c r="R199" s="204" t="s">
        <v>647</v>
      </c>
      <c r="S199" s="211" t="s">
        <v>308</v>
      </c>
      <c r="T199" s="211" t="s">
        <v>455</v>
      </c>
      <c r="U199" s="211" t="s">
        <v>450</v>
      </c>
      <c r="V199" s="211"/>
      <c r="W199" s="211"/>
      <c r="X199" s="154"/>
      <c r="Y199" s="173">
        <f t="shared" si="72"/>
        <v>0</v>
      </c>
      <c r="Z199" s="83">
        <f t="shared" si="63"/>
        <v>0</v>
      </c>
      <c r="AA199" s="84">
        <f t="shared" si="70"/>
        <v>0</v>
      </c>
      <c r="AB199" s="84">
        <f t="shared" si="71"/>
        <v>0</v>
      </c>
      <c r="AC199" s="84">
        <f t="shared" si="64"/>
        <v>0</v>
      </c>
      <c r="AD199" s="84"/>
      <c r="AE199" s="84">
        <f t="shared" si="67"/>
        <v>0</v>
      </c>
      <c r="AF199" s="84">
        <f t="shared" si="61"/>
        <v>0</v>
      </c>
      <c r="AG199" s="94">
        <f t="shared" si="68"/>
        <v>0</v>
      </c>
      <c r="AH199" s="85">
        <f>IFERROR(VLOOKUP(A199,CUSTOMERS!$A:$E,4),"")</f>
        <v>-150</v>
      </c>
      <c r="AI199" s="86" t="str">
        <f t="shared" si="75"/>
        <v/>
      </c>
      <c r="AJ199" s="87">
        <f>IFERROR(VLOOKUP(A199,CUSTOMERS!$A:$F,5),"")</f>
        <v>0</v>
      </c>
      <c r="AK199" s="96"/>
      <c r="AL199" s="96">
        <v>0</v>
      </c>
      <c r="AM199" s="96">
        <v>0</v>
      </c>
      <c r="AN199" s="96"/>
      <c r="AO199" s="96">
        <v>0</v>
      </c>
      <c r="AP199" s="103">
        <f t="shared" si="65"/>
        <v>0</v>
      </c>
      <c r="AQ199" s="103">
        <f t="shared" si="73"/>
        <v>0</v>
      </c>
      <c r="AR199" s="68" t="str">
        <f>IFERROR(VLOOKUP(A199,CUSTOMERS!$A:$B,2),"")</f>
        <v>PRD</v>
      </c>
      <c r="AS199" s="68" t="str">
        <f>IFERROR(VLOOKUP(A199,CUSTOMERS!$A:$D,3),"")</f>
        <v>REQ</v>
      </c>
      <c r="AT199" s="68" t="str">
        <f>IFERROR(VLOOKUP(A199,CUSTOMERS!$A:$F,6),"")</f>
        <v>N</v>
      </c>
      <c r="AU199" s="69">
        <f>IFERROR(VLOOKUP(A199,CUSTOMERS!$A:$E,4),"")</f>
        <v>-150</v>
      </c>
      <c r="AV199" s="68" t="str">
        <f t="shared" si="69"/>
        <v/>
      </c>
      <c r="AX199" s="71" t="str">
        <f t="shared" si="66"/>
        <v>reason199</v>
      </c>
    </row>
    <row r="200" spans="1:50" ht="50.25" customHeight="1">
      <c r="A200" s="188" t="s">
        <v>140</v>
      </c>
      <c r="B200" s="125" t="str">
        <f t="shared" si="60"/>
        <v>Y</v>
      </c>
      <c r="C200" s="125"/>
      <c r="D200" s="126">
        <v>1002</v>
      </c>
      <c r="E200" s="126"/>
      <c r="F200" s="122" t="str">
        <f t="shared" si="76"/>
        <v>LMR-RSC-0000-1002</v>
      </c>
      <c r="G200" s="186" t="s">
        <v>180</v>
      </c>
      <c r="H200" s="124" t="s">
        <v>191</v>
      </c>
      <c r="I200" s="239">
        <v>44530</v>
      </c>
      <c r="J200" s="80">
        <f t="shared" si="62"/>
        <v>3337.2</v>
      </c>
      <c r="K200" s="177">
        <f t="shared" si="74"/>
        <v>0</v>
      </c>
      <c r="L200" s="160"/>
      <c r="M200" s="161"/>
      <c r="N200" s="162"/>
      <c r="O200" s="162"/>
      <c r="P200" s="163"/>
      <c r="Q200" s="202" t="s">
        <v>18</v>
      </c>
      <c r="R200" s="204" t="s">
        <v>20</v>
      </c>
      <c r="S200" s="211" t="s">
        <v>308</v>
      </c>
      <c r="T200" s="211"/>
      <c r="U200" s="211"/>
      <c r="V200" s="211"/>
      <c r="W200" s="211"/>
      <c r="X200" s="154"/>
      <c r="Y200" s="173">
        <f t="shared" si="72"/>
        <v>3337.2</v>
      </c>
      <c r="Z200" s="83">
        <f t="shared" si="63"/>
        <v>0</v>
      </c>
      <c r="AA200" s="84">
        <f t="shared" si="70"/>
        <v>1390.5</v>
      </c>
      <c r="AB200" s="84">
        <f t="shared" si="71"/>
        <v>1390.5</v>
      </c>
      <c r="AC200" s="84">
        <f t="shared" si="64"/>
        <v>0</v>
      </c>
      <c r="AD200" s="84"/>
      <c r="AE200" s="84">
        <f t="shared" si="67"/>
        <v>0</v>
      </c>
      <c r="AF200" s="84">
        <f t="shared" si="61"/>
        <v>2781</v>
      </c>
      <c r="AG200" s="94">
        <f t="shared" si="68"/>
        <v>556.20000000000005</v>
      </c>
      <c r="AH200" s="85">
        <f>IFERROR(VLOOKUP(A200,CUSTOMERS!$A:$E,4),"")</f>
        <v>185.4</v>
      </c>
      <c r="AI200" s="86" t="str">
        <f t="shared" si="75"/>
        <v/>
      </c>
      <c r="AJ200" s="87">
        <f>IFERROR(VLOOKUP(A200,CUSTOMERS!$A:$F,5),"")</f>
        <v>0.2</v>
      </c>
      <c r="AK200" s="96"/>
      <c r="AL200" s="96">
        <v>1</v>
      </c>
      <c r="AM200" s="96">
        <v>1</v>
      </c>
      <c r="AN200" s="96"/>
      <c r="AO200" s="96">
        <v>0</v>
      </c>
      <c r="AP200" s="103">
        <f t="shared" si="65"/>
        <v>2</v>
      </c>
      <c r="AQ200" s="103">
        <f t="shared" si="73"/>
        <v>0.4</v>
      </c>
      <c r="AR200" s="68" t="str">
        <f>IFERROR(VLOOKUP(A200,CUSTOMERS!$A:$B,2),"")</f>
        <v>LMR</v>
      </c>
      <c r="AS200" s="68" t="str">
        <f>IFERROR(VLOOKUP(A200,CUSTOMERS!$A:$D,3),"")</f>
        <v>RSC</v>
      </c>
      <c r="AT200" s="68" t="str">
        <f>IFERROR(VLOOKUP(A200,CUSTOMERS!$A:$F,6),"")</f>
        <v>Y</v>
      </c>
      <c r="AU200" s="69">
        <f>IFERROR(VLOOKUP(A200,CUSTOMERS!$A:$E,4),"")</f>
        <v>185.4</v>
      </c>
      <c r="AV200" s="68" t="str">
        <f t="shared" si="69"/>
        <v/>
      </c>
      <c r="AX200" s="71" t="str">
        <f t="shared" si="66"/>
        <v>reason200</v>
      </c>
    </row>
    <row r="201" spans="1:50" ht="50.25" customHeight="1">
      <c r="A201" s="188" t="s">
        <v>114</v>
      </c>
      <c r="B201" s="125" t="str">
        <f t="shared" si="60"/>
        <v>Y</v>
      </c>
      <c r="C201" s="125"/>
      <c r="D201" s="126">
        <v>1003</v>
      </c>
      <c r="E201" s="126"/>
      <c r="F201" s="122" t="str">
        <f t="shared" si="76"/>
        <v>BOI-RSC-2021-1003</v>
      </c>
      <c r="G201" s="186" t="s">
        <v>116</v>
      </c>
      <c r="H201" s="124" t="s">
        <v>192</v>
      </c>
      <c r="I201" s="239" t="s">
        <v>649</v>
      </c>
      <c r="J201" s="80">
        <f t="shared" si="62"/>
        <v>645.4</v>
      </c>
      <c r="K201" s="177">
        <f t="shared" si="74"/>
        <v>44538</v>
      </c>
      <c r="L201" s="160">
        <v>44538</v>
      </c>
      <c r="M201" s="161" t="s">
        <v>650</v>
      </c>
      <c r="N201" s="162" t="s">
        <v>651</v>
      </c>
      <c r="O201" s="162"/>
      <c r="P201" s="163" t="s">
        <v>652</v>
      </c>
      <c r="Q201" s="202" t="s">
        <v>423</v>
      </c>
      <c r="R201" s="204" t="s">
        <v>653</v>
      </c>
      <c r="S201" s="211"/>
      <c r="T201" s="211"/>
      <c r="U201" s="211"/>
      <c r="V201" s="211"/>
      <c r="W201" s="211"/>
      <c r="X201" s="154"/>
      <c r="Y201" s="246">
        <f t="shared" si="72"/>
        <v>645.4</v>
      </c>
      <c r="Z201" s="83">
        <f t="shared" si="63"/>
        <v>0</v>
      </c>
      <c r="AA201" s="84">
        <f t="shared" si="70"/>
        <v>395.4</v>
      </c>
      <c r="AB201" s="84">
        <f t="shared" si="71"/>
        <v>0</v>
      </c>
      <c r="AC201" s="84">
        <f t="shared" si="64"/>
        <v>0</v>
      </c>
      <c r="AD201" s="84">
        <v>250</v>
      </c>
      <c r="AE201" s="84">
        <f t="shared" si="67"/>
        <v>0</v>
      </c>
      <c r="AF201" s="84">
        <f t="shared" si="61"/>
        <v>645.4</v>
      </c>
      <c r="AG201" s="94"/>
      <c r="AH201" s="85">
        <f>IFERROR(VLOOKUP(A201,CUSTOMERS!$A:$E,4),"")</f>
        <v>197.7</v>
      </c>
      <c r="AI201" s="86" t="str">
        <f t="shared" si="75"/>
        <v/>
      </c>
      <c r="AJ201" s="87">
        <f>IFERROR(VLOOKUP(A201,CUSTOMERS!$A:$F,5),"")</f>
        <v>0.2</v>
      </c>
      <c r="AK201" s="96"/>
      <c r="AL201" s="96">
        <f>(1/7.5)*2</f>
        <v>0.26666666666666666</v>
      </c>
      <c r="AM201" s="96">
        <v>0</v>
      </c>
      <c r="AN201" s="96"/>
      <c r="AO201" s="96">
        <v>0</v>
      </c>
      <c r="AP201" s="103">
        <f t="shared" si="65"/>
        <v>0.26666666666666666</v>
      </c>
      <c r="AQ201" s="103">
        <f t="shared" si="73"/>
        <v>5.3333333333333337E-2</v>
      </c>
      <c r="AR201" s="68" t="str">
        <f>IFERROR(VLOOKUP(A201,CUSTOMERS!$A:$B,2),"")</f>
        <v>BOI</v>
      </c>
      <c r="AS201" s="68" t="str">
        <f>IFERROR(VLOOKUP(A201,CUSTOMERS!$A:$D,3),"")</f>
        <v>RSC</v>
      </c>
      <c r="AT201" s="68" t="str">
        <f>IFERROR(VLOOKUP(A201,CUSTOMERS!$A:$F,6),"")</f>
        <v>Y</v>
      </c>
      <c r="AU201" s="69">
        <f>IFERROR(VLOOKUP(A201,CUSTOMERS!$A:$E,4),"")</f>
        <v>197.7</v>
      </c>
      <c r="AV201" s="68" t="str">
        <f t="shared" si="69"/>
        <v/>
      </c>
      <c r="AX201" s="71" t="str">
        <f t="shared" si="66"/>
        <v>reason201</v>
      </c>
    </row>
    <row r="202" spans="1:50" ht="50.25" customHeight="1">
      <c r="A202" s="188" t="s">
        <v>140</v>
      </c>
      <c r="B202" s="125" t="str">
        <f t="shared" si="60"/>
        <v>Y</v>
      </c>
      <c r="C202" s="125"/>
      <c r="D202" s="126">
        <v>1004</v>
      </c>
      <c r="E202" s="126">
        <v>2778</v>
      </c>
      <c r="F202" s="122" t="str">
        <f t="shared" si="76"/>
        <v>LMR-RSC-2022-1004</v>
      </c>
      <c r="G202" s="186" t="s">
        <v>106</v>
      </c>
      <c r="H202" s="124" t="s">
        <v>193</v>
      </c>
      <c r="I202" s="239" t="s">
        <v>654</v>
      </c>
      <c r="J202" s="80">
        <f t="shared" si="62"/>
        <v>103870.35</v>
      </c>
      <c r="K202" s="177">
        <f t="shared" si="74"/>
        <v>44565</v>
      </c>
      <c r="L202" s="160">
        <v>44565</v>
      </c>
      <c r="M202" s="161"/>
      <c r="N202" s="162"/>
      <c r="O202" s="162"/>
      <c r="P202" s="163"/>
      <c r="Q202" s="202"/>
      <c r="R202" s="204"/>
      <c r="S202" s="211"/>
      <c r="T202" s="211"/>
      <c r="U202" s="211"/>
      <c r="V202" s="211"/>
      <c r="W202" s="211"/>
      <c r="X202" s="154"/>
      <c r="Y202" s="173">
        <f t="shared" si="72"/>
        <v>103870.35</v>
      </c>
      <c r="Z202" s="83">
        <f t="shared" si="63"/>
        <v>0</v>
      </c>
      <c r="AA202" s="84">
        <f t="shared" si="70"/>
        <v>86558.625</v>
      </c>
      <c r="AB202" s="84">
        <f t="shared" si="71"/>
        <v>0</v>
      </c>
      <c r="AC202" s="84">
        <f t="shared" si="64"/>
        <v>0</v>
      </c>
      <c r="AD202" s="84"/>
      <c r="AE202" s="84">
        <f t="shared" si="67"/>
        <v>0</v>
      </c>
      <c r="AF202" s="84">
        <f t="shared" si="61"/>
        <v>86558.625</v>
      </c>
      <c r="AG202" s="94">
        <f t="shared" si="68"/>
        <v>17311.725000000002</v>
      </c>
      <c r="AH202" s="85">
        <f>IFERROR(VLOOKUP(A202,CUSTOMERS!$A:$E,4),"")</f>
        <v>185.4</v>
      </c>
      <c r="AI202" s="86" t="str">
        <f t="shared" si="75"/>
        <v/>
      </c>
      <c r="AJ202" s="87">
        <f>IFERROR(VLOOKUP(A202,CUSTOMERS!$A:$F,5),"")</f>
        <v>0.2</v>
      </c>
      <c r="AK202" s="96"/>
      <c r="AL202" s="96">
        <v>62.25</v>
      </c>
      <c r="AM202" s="96">
        <v>0</v>
      </c>
      <c r="AN202" s="96"/>
      <c r="AO202" s="96">
        <v>0</v>
      </c>
      <c r="AP202" s="103">
        <f t="shared" si="65"/>
        <v>62.25</v>
      </c>
      <c r="AQ202" s="103">
        <f t="shared" si="73"/>
        <v>12.450000000000001</v>
      </c>
      <c r="AR202" s="68" t="str">
        <f>IFERROR(VLOOKUP(A202,CUSTOMERS!$A:$B,2),"")</f>
        <v>LMR</v>
      </c>
      <c r="AS202" s="68" t="str">
        <f>IFERROR(VLOOKUP(A202,CUSTOMERS!$A:$D,3),"")</f>
        <v>RSC</v>
      </c>
      <c r="AT202" s="68" t="str">
        <f>IFERROR(VLOOKUP(A202,CUSTOMERS!$A:$F,6),"")</f>
        <v>Y</v>
      </c>
      <c r="AU202" s="69">
        <f>IFERROR(VLOOKUP(A202,CUSTOMERS!$A:$E,4),"")</f>
        <v>185.4</v>
      </c>
      <c r="AV202" s="68" t="str">
        <f t="shared" si="69"/>
        <v/>
      </c>
      <c r="AX202" s="71" t="str">
        <f t="shared" si="66"/>
        <v>reason202</v>
      </c>
    </row>
    <row r="203" spans="1:50" ht="50.25" customHeight="1">
      <c r="A203" s="188" t="s">
        <v>114</v>
      </c>
      <c r="B203" s="125" t="s">
        <v>294</v>
      </c>
      <c r="C203" s="125"/>
      <c r="D203" s="126">
        <v>1005</v>
      </c>
      <c r="E203" s="126"/>
      <c r="F203" s="122" t="str">
        <f t="shared" si="76"/>
        <v>BOI-RSC-2022-1005</v>
      </c>
      <c r="G203" s="186" t="s">
        <v>180</v>
      </c>
      <c r="H203" s="124" t="s">
        <v>194</v>
      </c>
      <c r="I203" s="239"/>
      <c r="J203" s="80">
        <f t="shared" si="62"/>
        <v>165474.9</v>
      </c>
      <c r="K203" s="177">
        <f t="shared" si="74"/>
        <v>44565</v>
      </c>
      <c r="L203" s="160">
        <v>44565</v>
      </c>
      <c r="M203" s="161"/>
      <c r="N203" s="162"/>
      <c r="O203" s="162"/>
      <c r="P203" s="163"/>
      <c r="Q203" s="202" t="s">
        <v>423</v>
      </c>
      <c r="R203" s="204"/>
      <c r="S203" s="211" t="s">
        <v>308</v>
      </c>
      <c r="T203" s="211" t="s">
        <v>655</v>
      </c>
      <c r="U203" s="211"/>
      <c r="V203" s="211"/>
      <c r="W203" s="211"/>
      <c r="X203" s="154" t="s">
        <v>656</v>
      </c>
      <c r="Y203" s="173">
        <f t="shared" si="72"/>
        <v>165474.9</v>
      </c>
      <c r="Z203" s="83">
        <f t="shared" si="63"/>
        <v>0</v>
      </c>
      <c r="AA203" s="84">
        <f t="shared" si="70"/>
        <v>137895.75</v>
      </c>
      <c r="AB203" s="84">
        <f t="shared" si="71"/>
        <v>0</v>
      </c>
      <c r="AC203" s="84">
        <f t="shared" si="64"/>
        <v>0</v>
      </c>
      <c r="AD203" s="84"/>
      <c r="AE203" s="84">
        <f t="shared" si="67"/>
        <v>0</v>
      </c>
      <c r="AF203" s="84">
        <f t="shared" si="61"/>
        <v>137895.75</v>
      </c>
      <c r="AG203" s="94">
        <f t="shared" si="68"/>
        <v>27579.15</v>
      </c>
      <c r="AH203" s="85">
        <f>IFERROR(VLOOKUP(A203,CUSTOMERS!$A:$E,4),"")</f>
        <v>197.7</v>
      </c>
      <c r="AI203" s="86" t="str">
        <f t="shared" si="75"/>
        <v/>
      </c>
      <c r="AJ203" s="87">
        <f>IFERROR(VLOOKUP(A203,CUSTOMERS!$A:$F,5),"")</f>
        <v>0.2</v>
      </c>
      <c r="AK203" s="96"/>
      <c r="AL203" s="96">
        <v>93</v>
      </c>
      <c r="AM203" s="96">
        <v>0</v>
      </c>
      <c r="AN203" s="96"/>
      <c r="AO203" s="96">
        <v>0</v>
      </c>
      <c r="AP203" s="103">
        <f t="shared" si="65"/>
        <v>93</v>
      </c>
      <c r="AQ203" s="103">
        <f t="shared" si="73"/>
        <v>18.600000000000001</v>
      </c>
      <c r="AR203" s="68" t="str">
        <f>IFERROR(VLOOKUP(A203,CUSTOMERS!$A:$B,2),"")</f>
        <v>BOI</v>
      </c>
      <c r="AS203" s="68" t="str">
        <f>IFERROR(VLOOKUP(A203,CUSTOMERS!$A:$D,3),"")</f>
        <v>RSC</v>
      </c>
      <c r="AT203" s="68" t="str">
        <f>IFERROR(VLOOKUP(A203,CUSTOMERS!$A:$F,6),"")</f>
        <v>Y</v>
      </c>
      <c r="AU203" s="69">
        <f>IFERROR(VLOOKUP(A203,CUSTOMERS!$A:$E,4),"")</f>
        <v>197.7</v>
      </c>
      <c r="AV203" s="68" t="str">
        <f t="shared" si="69"/>
        <v/>
      </c>
      <c r="AX203" s="71" t="str">
        <f t="shared" si="66"/>
        <v>reason203</v>
      </c>
    </row>
    <row r="204" spans="1:50" ht="50.25" customHeight="1">
      <c r="A204" s="188" t="s">
        <v>99</v>
      </c>
      <c r="B204" s="125" t="str">
        <f t="shared" si="60"/>
        <v>Y</v>
      </c>
      <c r="C204" s="125"/>
      <c r="D204" s="126">
        <v>1006</v>
      </c>
      <c r="E204" s="126">
        <v>2216</v>
      </c>
      <c r="F204" s="122" t="str">
        <f t="shared" si="76"/>
        <v>BAC-RSC-0000-1006</v>
      </c>
      <c r="G204" s="186" t="s">
        <v>29</v>
      </c>
      <c r="H204" s="124" t="s">
        <v>195</v>
      </c>
      <c r="I204" s="239"/>
      <c r="J204" s="80">
        <f t="shared" si="62"/>
        <v>793.72500000000002</v>
      </c>
      <c r="K204" s="177">
        <f t="shared" si="74"/>
        <v>0</v>
      </c>
      <c r="L204" s="160"/>
      <c r="M204" s="161"/>
      <c r="N204" s="162"/>
      <c r="O204" s="162"/>
      <c r="P204" s="163"/>
      <c r="Q204" s="202"/>
      <c r="R204" s="204"/>
      <c r="S204" s="211"/>
      <c r="T204" s="211"/>
      <c r="U204" s="211"/>
      <c r="V204" s="211"/>
      <c r="W204" s="211"/>
      <c r="X204" s="154"/>
      <c r="Y204" s="173">
        <f t="shared" si="72"/>
        <v>793.72500000000002</v>
      </c>
      <c r="Z204" s="83">
        <f t="shared" si="63"/>
        <v>0</v>
      </c>
      <c r="AA204" s="84">
        <f t="shared" si="70"/>
        <v>793.72500000000002</v>
      </c>
      <c r="AB204" s="84">
        <f t="shared" si="71"/>
        <v>0</v>
      </c>
      <c r="AC204" s="84">
        <f t="shared" si="64"/>
        <v>0</v>
      </c>
      <c r="AD204" s="84"/>
      <c r="AE204" s="84">
        <f t="shared" si="67"/>
        <v>0</v>
      </c>
      <c r="AF204" s="84">
        <f t="shared" si="61"/>
        <v>793.72500000000002</v>
      </c>
      <c r="AG204" s="94">
        <f t="shared" si="68"/>
        <v>0</v>
      </c>
      <c r="AH204" s="85">
        <f>IFERROR(VLOOKUP(A204,CUSTOMERS!$A:$E,4),"")</f>
        <v>211.66</v>
      </c>
      <c r="AI204" s="86" t="str">
        <f t="shared" si="75"/>
        <v/>
      </c>
      <c r="AJ204" s="87">
        <f>IFERROR(VLOOKUP(A204,CUSTOMERS!$A:$F,5),"")</f>
        <v>0.2</v>
      </c>
      <c r="AK204" s="96"/>
      <c r="AL204" s="96">
        <v>0.5</v>
      </c>
      <c r="AM204" s="96">
        <v>0</v>
      </c>
      <c r="AN204" s="96"/>
      <c r="AO204" s="96">
        <v>0</v>
      </c>
      <c r="AP204" s="103">
        <f t="shared" si="65"/>
        <v>0.5</v>
      </c>
      <c r="AQ204" s="103">
        <v>0</v>
      </c>
      <c r="AR204" s="68" t="str">
        <f>IFERROR(VLOOKUP(A204,CUSTOMERS!$A:$B,2),"")</f>
        <v>BAC</v>
      </c>
      <c r="AS204" s="68" t="str">
        <f>IFERROR(VLOOKUP(A204,CUSTOMERS!$A:$D,3),"")</f>
        <v>RSC</v>
      </c>
      <c r="AT204" s="68" t="str">
        <f>IFERROR(VLOOKUP(A204,CUSTOMERS!$A:$F,6),"")</f>
        <v>Y</v>
      </c>
      <c r="AU204" s="69">
        <f>IFERROR(VLOOKUP(A204,CUSTOMERS!$A:$E,4),"")</f>
        <v>211.66</v>
      </c>
      <c r="AV204" s="68" t="str">
        <f t="shared" si="69"/>
        <v/>
      </c>
      <c r="AX204" s="71" t="str">
        <f t="shared" si="66"/>
        <v>reason204</v>
      </c>
    </row>
    <row r="205" spans="1:50" ht="50.25" customHeight="1">
      <c r="A205" s="188" t="s">
        <v>140</v>
      </c>
      <c r="B205" s="125" t="str">
        <f t="shared" si="60"/>
        <v>Y</v>
      </c>
      <c r="C205" s="125"/>
      <c r="D205" s="126">
        <v>1007</v>
      </c>
      <c r="E205" s="126">
        <v>3096</v>
      </c>
      <c r="F205" s="122" t="str">
        <f t="shared" si="76"/>
        <v>LMR-RSC-2022-1007</v>
      </c>
      <c r="G205" s="186" t="s">
        <v>116</v>
      </c>
      <c r="H205" s="124" t="s">
        <v>196</v>
      </c>
      <c r="I205" s="239">
        <v>44896</v>
      </c>
      <c r="J205" s="80">
        <f t="shared" si="62"/>
        <v>130150.8</v>
      </c>
      <c r="K205" s="177">
        <f t="shared" si="74"/>
        <v>44573</v>
      </c>
      <c r="L205" s="160">
        <v>44573</v>
      </c>
      <c r="M205" s="161"/>
      <c r="N205" s="162"/>
      <c r="O205" s="162"/>
      <c r="P205" s="163"/>
      <c r="Q205" s="202"/>
      <c r="R205" s="204"/>
      <c r="S205" s="211"/>
      <c r="T205" s="211"/>
      <c r="U205" s="211"/>
      <c r="V205" s="211"/>
      <c r="W205" s="211"/>
      <c r="X205" s="154"/>
      <c r="Y205" s="173">
        <f t="shared" si="72"/>
        <v>130150.8</v>
      </c>
      <c r="Z205" s="83">
        <f t="shared" si="63"/>
        <v>0</v>
      </c>
      <c r="AA205" s="84">
        <f t="shared" si="70"/>
        <v>108459</v>
      </c>
      <c r="AB205" s="84">
        <f t="shared" si="71"/>
        <v>0</v>
      </c>
      <c r="AC205" s="84">
        <f t="shared" si="64"/>
        <v>0</v>
      </c>
      <c r="AD205" s="84"/>
      <c r="AE205" s="84">
        <f t="shared" si="67"/>
        <v>0</v>
      </c>
      <c r="AF205" s="84">
        <f t="shared" si="61"/>
        <v>108459</v>
      </c>
      <c r="AG205" s="94">
        <f t="shared" si="68"/>
        <v>21691.800000000003</v>
      </c>
      <c r="AH205" s="85">
        <f>IFERROR(VLOOKUP(A205,CUSTOMERS!$A:$E,4),"")</f>
        <v>185.4</v>
      </c>
      <c r="AI205" s="86" t="str">
        <f t="shared" si="75"/>
        <v/>
      </c>
      <c r="AJ205" s="87">
        <f>IFERROR(VLOOKUP(A205,CUSTOMERS!$A:$F,5),"")</f>
        <v>0.2</v>
      </c>
      <c r="AK205" s="96"/>
      <c r="AL205" s="96">
        <v>78</v>
      </c>
      <c r="AM205" s="96">
        <v>0</v>
      </c>
      <c r="AN205" s="96"/>
      <c r="AO205" s="96">
        <v>0</v>
      </c>
      <c r="AP205" s="103">
        <f t="shared" si="65"/>
        <v>78</v>
      </c>
      <c r="AQ205" s="103">
        <f t="shared" si="73"/>
        <v>15.600000000000001</v>
      </c>
      <c r="AR205" s="68" t="str">
        <f>IFERROR(VLOOKUP(A205,CUSTOMERS!$A:$B,2),"")</f>
        <v>LMR</v>
      </c>
      <c r="AS205" s="68" t="str">
        <f>IFERROR(VLOOKUP(A205,CUSTOMERS!$A:$D,3),"")</f>
        <v>RSC</v>
      </c>
      <c r="AT205" s="68" t="str">
        <f>IFERROR(VLOOKUP(A205,CUSTOMERS!$A:$F,6),"")</f>
        <v>Y</v>
      </c>
      <c r="AU205" s="69">
        <f>IFERROR(VLOOKUP(A205,CUSTOMERS!$A:$E,4),"")</f>
        <v>185.4</v>
      </c>
      <c r="AV205" s="68" t="str">
        <f t="shared" si="69"/>
        <v/>
      </c>
      <c r="AX205" s="71" t="str">
        <f t="shared" si="66"/>
        <v>reason205</v>
      </c>
    </row>
    <row r="206" spans="1:50" ht="50.25" customHeight="1">
      <c r="A206" s="188" t="s">
        <v>158</v>
      </c>
      <c r="B206" s="125" t="str">
        <f t="shared" ref="B206:B269" si="77">AT206</f>
        <v>Y</v>
      </c>
      <c r="C206" s="125"/>
      <c r="D206" s="126">
        <v>1008</v>
      </c>
      <c r="E206" s="126">
        <v>3216</v>
      </c>
      <c r="F206" s="122" t="str">
        <f t="shared" si="76"/>
        <v>N26-RSC-2022-1008</v>
      </c>
      <c r="G206" s="186" t="s">
        <v>180</v>
      </c>
      <c r="H206" s="124" t="s">
        <v>197</v>
      </c>
      <c r="I206" s="239" t="s">
        <v>657</v>
      </c>
      <c r="J206" s="80">
        <f t="shared" si="62"/>
        <v>3457.98</v>
      </c>
      <c r="K206" s="177">
        <f t="shared" si="74"/>
        <v>44578</v>
      </c>
      <c r="L206" s="160">
        <v>44578</v>
      </c>
      <c r="M206" s="161"/>
      <c r="N206" s="162"/>
      <c r="O206" s="162"/>
      <c r="P206" s="163"/>
      <c r="Q206" s="202"/>
      <c r="R206" s="204"/>
      <c r="S206" s="211"/>
      <c r="T206" s="211"/>
      <c r="U206" s="211"/>
      <c r="V206" s="211"/>
      <c r="W206" s="211"/>
      <c r="X206" s="154"/>
      <c r="Y206" s="173">
        <f t="shared" si="72"/>
        <v>3457.98</v>
      </c>
      <c r="Z206" s="83">
        <f t="shared" si="63"/>
        <v>0</v>
      </c>
      <c r="AA206" s="84">
        <f t="shared" si="70"/>
        <v>2881.65</v>
      </c>
      <c r="AB206" s="84">
        <f t="shared" si="71"/>
        <v>0</v>
      </c>
      <c r="AC206" s="84">
        <f t="shared" si="64"/>
        <v>0</v>
      </c>
      <c r="AD206" s="84"/>
      <c r="AE206" s="84">
        <f t="shared" si="67"/>
        <v>0</v>
      </c>
      <c r="AF206" s="84">
        <f t="shared" si="61"/>
        <v>2881.65</v>
      </c>
      <c r="AG206" s="94">
        <f t="shared" si="68"/>
        <v>576.33000000000004</v>
      </c>
      <c r="AH206" s="85">
        <f>IFERROR(VLOOKUP(A206,CUSTOMERS!$A:$E,4),"")</f>
        <v>192.11</v>
      </c>
      <c r="AI206" s="86" t="str">
        <f t="shared" si="75"/>
        <v/>
      </c>
      <c r="AJ206" s="87">
        <f>IFERROR(VLOOKUP(A206,CUSTOMERS!$A:$F,5),"")</f>
        <v>0.2</v>
      </c>
      <c r="AK206" s="96"/>
      <c r="AL206" s="96">
        <v>2</v>
      </c>
      <c r="AM206" s="96">
        <v>0</v>
      </c>
      <c r="AN206" s="96"/>
      <c r="AO206" s="96">
        <v>0</v>
      </c>
      <c r="AP206" s="103">
        <f t="shared" si="65"/>
        <v>2</v>
      </c>
      <c r="AQ206" s="103">
        <f t="shared" si="73"/>
        <v>0.4</v>
      </c>
      <c r="AR206" s="68" t="str">
        <f>IFERROR(VLOOKUP(A206,CUSTOMERS!$A:$B,2),"")</f>
        <v>N26</v>
      </c>
      <c r="AS206" s="68" t="str">
        <f>IFERROR(VLOOKUP(A206,CUSTOMERS!$A:$D,3),"")</f>
        <v>RSC</v>
      </c>
      <c r="AT206" s="68" t="str">
        <f>IFERROR(VLOOKUP(A206,CUSTOMERS!$A:$F,6),"")</f>
        <v>Y</v>
      </c>
      <c r="AU206" s="69">
        <f>IFERROR(VLOOKUP(A206,CUSTOMERS!$A:$E,4),"")</f>
        <v>192.11</v>
      </c>
      <c r="AV206" s="68" t="str">
        <f t="shared" si="69"/>
        <v/>
      </c>
      <c r="AX206" s="71" t="str">
        <f t="shared" si="66"/>
        <v>reason206</v>
      </c>
    </row>
    <row r="207" spans="1:50" ht="50.25" customHeight="1">
      <c r="A207" s="188" t="s">
        <v>140</v>
      </c>
      <c r="B207" s="125" t="s">
        <v>283</v>
      </c>
      <c r="C207" s="125"/>
      <c r="D207" s="126">
        <v>1009</v>
      </c>
      <c r="E207" s="126">
        <v>1562</v>
      </c>
      <c r="F207" s="122" t="str">
        <f t="shared" si="76"/>
        <v>LMR-RSC-2021-1009</v>
      </c>
      <c r="G207" s="186" t="s">
        <v>116</v>
      </c>
      <c r="H207" s="124" t="s">
        <v>198</v>
      </c>
      <c r="I207" s="239"/>
      <c r="J207" s="80">
        <f t="shared" si="62"/>
        <v>15017.400000000001</v>
      </c>
      <c r="K207" s="177">
        <f t="shared" si="74"/>
        <v>44519</v>
      </c>
      <c r="L207" s="160">
        <v>44519</v>
      </c>
      <c r="M207" s="161"/>
      <c r="N207" s="162"/>
      <c r="O207" s="162"/>
      <c r="P207" s="163"/>
      <c r="Q207" s="202"/>
      <c r="R207" s="204"/>
      <c r="S207" s="211"/>
      <c r="T207" s="211"/>
      <c r="U207" s="211"/>
      <c r="V207" s="211"/>
      <c r="W207" s="211"/>
      <c r="X207" s="154"/>
      <c r="Y207" s="173">
        <f t="shared" si="72"/>
        <v>15017.400000000001</v>
      </c>
      <c r="Z207" s="83">
        <f t="shared" si="63"/>
        <v>0</v>
      </c>
      <c r="AA207" s="84">
        <f t="shared" si="70"/>
        <v>12514.500000000002</v>
      </c>
      <c r="AB207" s="84">
        <f t="shared" si="71"/>
        <v>0</v>
      </c>
      <c r="AC207" s="84">
        <f t="shared" si="64"/>
        <v>0</v>
      </c>
      <c r="AD207" s="84"/>
      <c r="AE207" s="84">
        <f t="shared" si="67"/>
        <v>0</v>
      </c>
      <c r="AF207" s="84">
        <f t="shared" si="61"/>
        <v>12514.500000000002</v>
      </c>
      <c r="AG207" s="94">
        <f t="shared" si="68"/>
        <v>2502.9</v>
      </c>
      <c r="AH207" s="85">
        <f>IFERROR(VLOOKUP(A207,CUSTOMERS!$A:$E,4),"")</f>
        <v>185.4</v>
      </c>
      <c r="AI207" s="86" t="str">
        <f t="shared" si="75"/>
        <v/>
      </c>
      <c r="AJ207" s="87">
        <f>IFERROR(VLOOKUP(A207,CUSTOMERS!$A:$F,5),"")</f>
        <v>0.2</v>
      </c>
      <c r="AK207" s="96"/>
      <c r="AL207" s="96">
        <v>9</v>
      </c>
      <c r="AM207" s="96">
        <v>0</v>
      </c>
      <c r="AN207" s="96"/>
      <c r="AO207" s="96">
        <v>0</v>
      </c>
      <c r="AP207" s="103">
        <f t="shared" si="65"/>
        <v>9</v>
      </c>
      <c r="AQ207" s="103">
        <f t="shared" si="73"/>
        <v>1.8</v>
      </c>
      <c r="AR207" s="68" t="str">
        <f>IFERROR(VLOOKUP(A207,CUSTOMERS!$A:$B,2),"")</f>
        <v>LMR</v>
      </c>
      <c r="AS207" s="68" t="str">
        <f>IFERROR(VLOOKUP(A207,CUSTOMERS!$A:$D,3),"")</f>
        <v>RSC</v>
      </c>
      <c r="AT207" s="68" t="str">
        <f>IFERROR(VLOOKUP(A207,CUSTOMERS!$A:$F,6),"")</f>
        <v>Y</v>
      </c>
      <c r="AU207" s="69">
        <f>IFERROR(VLOOKUP(A207,CUSTOMERS!$A:$E,4),"")</f>
        <v>185.4</v>
      </c>
      <c r="AV207" s="68" t="str">
        <f t="shared" si="69"/>
        <v/>
      </c>
      <c r="AX207" s="71" t="str">
        <f t="shared" si="66"/>
        <v>reason207</v>
      </c>
    </row>
    <row r="208" spans="1:50" ht="50.25" customHeight="1">
      <c r="A208" s="188" t="s">
        <v>162</v>
      </c>
      <c r="B208" s="125" t="str">
        <f t="shared" si="77"/>
        <v>Y</v>
      </c>
      <c r="C208" s="125"/>
      <c r="D208" s="126">
        <v>1010</v>
      </c>
      <c r="E208" s="126">
        <v>3547</v>
      </c>
      <c r="F208" s="122" t="str">
        <f t="shared" si="76"/>
        <v>RMB-RSC-2022-1010</v>
      </c>
      <c r="G208" s="186" t="s">
        <v>180</v>
      </c>
      <c r="H208" s="124" t="s">
        <v>658</v>
      </c>
      <c r="I208" s="239"/>
      <c r="J208" s="80">
        <f t="shared" si="62"/>
        <v>0</v>
      </c>
      <c r="K208" s="177">
        <f t="shared" si="74"/>
        <v>44588</v>
      </c>
      <c r="L208" s="160">
        <v>44588</v>
      </c>
      <c r="M208" s="161"/>
      <c r="N208" s="162"/>
      <c r="O208" s="162"/>
      <c r="P208" s="163"/>
      <c r="Q208" s="202"/>
      <c r="R208" s="204"/>
      <c r="S208" s="211"/>
      <c r="T208" s="211"/>
      <c r="U208" s="211"/>
      <c r="V208" s="211"/>
      <c r="W208" s="211"/>
      <c r="X208" s="154"/>
      <c r="Y208" s="173">
        <f t="shared" si="72"/>
        <v>0</v>
      </c>
      <c r="Z208" s="83">
        <f t="shared" si="63"/>
        <v>0</v>
      </c>
      <c r="AA208" s="84">
        <f t="shared" si="70"/>
        <v>0</v>
      </c>
      <c r="AB208" s="84">
        <f t="shared" si="71"/>
        <v>0</v>
      </c>
      <c r="AC208" s="84">
        <f t="shared" si="64"/>
        <v>0</v>
      </c>
      <c r="AD208" s="84"/>
      <c r="AE208" s="84">
        <f t="shared" si="67"/>
        <v>0</v>
      </c>
      <c r="AF208" s="84">
        <f t="shared" si="61"/>
        <v>0</v>
      </c>
      <c r="AG208" s="94">
        <f t="shared" si="68"/>
        <v>0</v>
      </c>
      <c r="AH208" s="85">
        <f>IFERROR(VLOOKUP(A208,CUSTOMERS!$A:$E,4),"")</f>
        <v>180.81</v>
      </c>
      <c r="AI208" s="86" t="str">
        <f t="shared" si="75"/>
        <v/>
      </c>
      <c r="AJ208" s="87">
        <f>IFERROR(VLOOKUP(A208,CUSTOMERS!$A:$F,5),"")</f>
        <v>0</v>
      </c>
      <c r="AK208" s="96"/>
      <c r="AL208" s="96">
        <v>0</v>
      </c>
      <c r="AM208" s="96">
        <v>0</v>
      </c>
      <c r="AN208" s="96"/>
      <c r="AO208" s="96">
        <v>0</v>
      </c>
      <c r="AP208" s="103">
        <f t="shared" si="65"/>
        <v>0</v>
      </c>
      <c r="AQ208" s="103">
        <f t="shared" si="73"/>
        <v>0</v>
      </c>
      <c r="AR208" s="68" t="str">
        <f>IFERROR(VLOOKUP(A208,CUSTOMERS!$A:$B,2),"")</f>
        <v>RMB</v>
      </c>
      <c r="AS208" s="68" t="str">
        <f>IFERROR(VLOOKUP(A208,CUSTOMERS!$A:$D,3),"")</f>
        <v>RSC</v>
      </c>
      <c r="AT208" s="68" t="str">
        <f>IFERROR(VLOOKUP(A208,CUSTOMERS!$A:$F,6),"")</f>
        <v>Y</v>
      </c>
      <c r="AU208" s="69">
        <f>IFERROR(VLOOKUP(A208,CUSTOMERS!$A:$E,4),"")</f>
        <v>180.81</v>
      </c>
      <c r="AV208" s="68" t="str">
        <f t="shared" si="69"/>
        <v/>
      </c>
      <c r="AX208" s="71" t="str">
        <f t="shared" si="66"/>
        <v>reason208</v>
      </c>
    </row>
    <row r="209" spans="1:50" ht="50.25" customHeight="1">
      <c r="A209" s="188" t="s">
        <v>162</v>
      </c>
      <c r="B209" s="125" t="str">
        <f t="shared" si="77"/>
        <v>Y</v>
      </c>
      <c r="C209" s="125"/>
      <c r="D209" s="126">
        <v>1011</v>
      </c>
      <c r="E209" s="126">
        <v>3579</v>
      </c>
      <c r="F209" s="122" t="str">
        <f t="shared" si="76"/>
        <v>RMB-RSC-2022-1011</v>
      </c>
      <c r="G209" s="186" t="s">
        <v>200</v>
      </c>
      <c r="H209" s="124" t="s">
        <v>201</v>
      </c>
      <c r="I209" s="239"/>
      <c r="J209" s="80">
        <f t="shared" si="62"/>
        <v>0</v>
      </c>
      <c r="K209" s="177">
        <f t="shared" si="74"/>
        <v>44588</v>
      </c>
      <c r="L209" s="160">
        <v>44588</v>
      </c>
      <c r="M209" s="161"/>
      <c r="N209" s="162"/>
      <c r="O209" s="162"/>
      <c r="P209" s="163"/>
      <c r="Q209" s="202"/>
      <c r="R209" s="204"/>
      <c r="S209" s="211"/>
      <c r="T209" s="211"/>
      <c r="U209" s="211"/>
      <c r="V209" s="211"/>
      <c r="W209" s="211"/>
      <c r="X209" s="154"/>
      <c r="Y209" s="173">
        <f t="shared" si="72"/>
        <v>0</v>
      </c>
      <c r="Z209" s="83">
        <f t="shared" si="63"/>
        <v>0</v>
      </c>
      <c r="AA209" s="84">
        <f t="shared" si="70"/>
        <v>0</v>
      </c>
      <c r="AB209" s="84">
        <f t="shared" si="71"/>
        <v>0</v>
      </c>
      <c r="AC209" s="84">
        <f t="shared" si="64"/>
        <v>0</v>
      </c>
      <c r="AD209" s="84"/>
      <c r="AE209" s="84">
        <f t="shared" si="67"/>
        <v>0</v>
      </c>
      <c r="AF209" s="84">
        <f t="shared" si="61"/>
        <v>0</v>
      </c>
      <c r="AG209" s="94">
        <f t="shared" si="68"/>
        <v>0</v>
      </c>
      <c r="AH209" s="85">
        <f>IFERROR(VLOOKUP(A209,CUSTOMERS!$A:$E,4),"")</f>
        <v>180.81</v>
      </c>
      <c r="AI209" s="86" t="str">
        <f t="shared" si="75"/>
        <v/>
      </c>
      <c r="AJ209" s="87">
        <f>IFERROR(VLOOKUP(A209,CUSTOMERS!$A:$F,5),"")</f>
        <v>0</v>
      </c>
      <c r="AK209" s="96"/>
      <c r="AL209" s="96">
        <v>0</v>
      </c>
      <c r="AM209" s="96">
        <v>0</v>
      </c>
      <c r="AN209" s="96"/>
      <c r="AO209" s="96">
        <v>0</v>
      </c>
      <c r="AP209" s="103">
        <f t="shared" si="65"/>
        <v>0</v>
      </c>
      <c r="AQ209" s="103">
        <f t="shared" si="73"/>
        <v>0</v>
      </c>
      <c r="AR209" s="68" t="str">
        <f>IFERROR(VLOOKUP(A209,CUSTOMERS!$A:$B,2),"")</f>
        <v>RMB</v>
      </c>
      <c r="AS209" s="68" t="str">
        <f>IFERROR(VLOOKUP(A209,CUSTOMERS!$A:$D,3),"")</f>
        <v>RSC</v>
      </c>
      <c r="AT209" s="68" t="str">
        <f>IFERROR(VLOOKUP(A209,CUSTOMERS!$A:$F,6),"")</f>
        <v>Y</v>
      </c>
      <c r="AU209" s="69">
        <f>IFERROR(VLOOKUP(A209,CUSTOMERS!$A:$E,4),"")</f>
        <v>180.81</v>
      </c>
      <c r="AV209" s="68" t="str">
        <f t="shared" si="69"/>
        <v/>
      </c>
      <c r="AX209" s="71" t="str">
        <f t="shared" si="66"/>
        <v>reason209</v>
      </c>
    </row>
    <row r="210" spans="1:50" ht="50.25" customHeight="1">
      <c r="A210" s="188" t="s">
        <v>27</v>
      </c>
      <c r="B210" s="125" t="str">
        <f t="shared" si="77"/>
        <v>N</v>
      </c>
      <c r="C210" s="125"/>
      <c r="D210" s="126">
        <v>1012</v>
      </c>
      <c r="E210" s="126"/>
      <c r="F210" s="122" t="str">
        <f t="shared" si="76"/>
        <v>PRD-BLG-2022-1012</v>
      </c>
      <c r="G210" s="186" t="s">
        <v>200</v>
      </c>
      <c r="H210" s="124" t="s">
        <v>202</v>
      </c>
      <c r="I210" s="239"/>
      <c r="J210" s="80">
        <f t="shared" si="62"/>
        <v>0</v>
      </c>
      <c r="K210" s="177">
        <f t="shared" si="74"/>
        <v>0</v>
      </c>
      <c r="L210" s="160" t="s">
        <v>203</v>
      </c>
      <c r="M210" s="161"/>
      <c r="N210" s="162"/>
      <c r="O210" s="162"/>
      <c r="P210" s="163"/>
      <c r="Q210" s="202"/>
      <c r="R210" s="204"/>
      <c r="S210" s="211"/>
      <c r="T210" s="211"/>
      <c r="U210" s="211"/>
      <c r="V210" s="211"/>
      <c r="W210" s="211"/>
      <c r="X210" s="154"/>
      <c r="Y210" s="173">
        <f t="shared" si="72"/>
        <v>0</v>
      </c>
      <c r="Z210" s="83">
        <f t="shared" si="63"/>
        <v>0</v>
      </c>
      <c r="AA210" s="84">
        <f t="shared" si="70"/>
        <v>0</v>
      </c>
      <c r="AB210" s="84">
        <f t="shared" si="71"/>
        <v>0</v>
      </c>
      <c r="AC210" s="84">
        <f t="shared" si="64"/>
        <v>0</v>
      </c>
      <c r="AD210" s="84"/>
      <c r="AE210" s="84">
        <f t="shared" si="67"/>
        <v>0</v>
      </c>
      <c r="AF210" s="84">
        <f t="shared" ref="AF210:AF273" si="78">IFERROR(SUM(Z210:AE210),"")</f>
        <v>0</v>
      </c>
      <c r="AG210" s="94">
        <f t="shared" si="68"/>
        <v>0</v>
      </c>
      <c r="AH210" s="85">
        <f>IFERROR(VLOOKUP(A210,CUSTOMERS!$A:$E,4),"")</f>
        <v>-150</v>
      </c>
      <c r="AI210" s="86" t="str">
        <f t="shared" si="75"/>
        <v/>
      </c>
      <c r="AJ210" s="87">
        <f>IFERROR(VLOOKUP(A210,CUSTOMERS!$A:$F,5),"")</f>
        <v>0</v>
      </c>
      <c r="AK210" s="96"/>
      <c r="AL210" s="96">
        <v>0</v>
      </c>
      <c r="AM210" s="96">
        <v>0</v>
      </c>
      <c r="AN210" s="96"/>
      <c r="AO210" s="96">
        <v>0</v>
      </c>
      <c r="AP210" s="103">
        <f t="shared" si="65"/>
        <v>0</v>
      </c>
      <c r="AQ210" s="103">
        <f t="shared" si="73"/>
        <v>0</v>
      </c>
      <c r="AR210" s="68" t="str">
        <f>IFERROR(VLOOKUP(A210,CUSTOMERS!$A:$B,2),"")</f>
        <v>PRD</v>
      </c>
      <c r="AS210" s="68" t="str">
        <f>IFERROR(VLOOKUP(A210,CUSTOMERS!$A:$D,3),"")</f>
        <v>BLG</v>
      </c>
      <c r="AT210" s="68" t="str">
        <f>IFERROR(VLOOKUP(A210,CUSTOMERS!$A:$F,6),"")</f>
        <v>N</v>
      </c>
      <c r="AU210" s="69">
        <f>IFERROR(VLOOKUP(A210,CUSTOMERS!$A:$E,4),"")</f>
        <v>-150</v>
      </c>
      <c r="AV210" s="68" t="str">
        <f t="shared" si="69"/>
        <v/>
      </c>
      <c r="AX210" s="71" t="str">
        <f t="shared" si="66"/>
        <v>reason210</v>
      </c>
    </row>
    <row r="211" spans="1:50" ht="50.25" customHeight="1">
      <c r="A211" s="188" t="s">
        <v>27</v>
      </c>
      <c r="B211" s="125" t="str">
        <f t="shared" si="77"/>
        <v>N</v>
      </c>
      <c r="C211" s="125"/>
      <c r="D211" s="126">
        <v>1013</v>
      </c>
      <c r="E211" s="126"/>
      <c r="F211" s="122" t="str">
        <f t="shared" si="76"/>
        <v>PRD-BLG-2022-1013</v>
      </c>
      <c r="G211" s="186" t="s">
        <v>200</v>
      </c>
      <c r="H211" s="124" t="s">
        <v>204</v>
      </c>
      <c r="I211" s="239"/>
      <c r="J211" s="80">
        <f t="shared" ref="J211:J274" si="79">Y211</f>
        <v>0</v>
      </c>
      <c r="K211" s="177">
        <f t="shared" si="74"/>
        <v>0</v>
      </c>
      <c r="L211" s="160" t="s">
        <v>203</v>
      </c>
      <c r="M211" s="161"/>
      <c r="N211" s="162"/>
      <c r="O211" s="162"/>
      <c r="P211" s="163"/>
      <c r="Q211" s="202"/>
      <c r="R211" s="204"/>
      <c r="S211" s="211"/>
      <c r="T211" s="211"/>
      <c r="U211" s="211"/>
      <c r="V211" s="211"/>
      <c r="W211" s="211"/>
      <c r="X211" s="154"/>
      <c r="Y211" s="173">
        <f t="shared" si="72"/>
        <v>0</v>
      </c>
      <c r="Z211" s="83">
        <f t="shared" ref="Z211:Z274" si="80">IFERROR((AK211*AH211)*7.5,"")</f>
        <v>0</v>
      </c>
      <c r="AA211" s="84">
        <f t="shared" si="70"/>
        <v>0</v>
      </c>
      <c r="AB211" s="84">
        <f t="shared" si="71"/>
        <v>0</v>
      </c>
      <c r="AC211" s="84">
        <f t="shared" ref="AC211:AC274" si="81">IFERROR((AN211*AH211)*7.5,"")</f>
        <v>0</v>
      </c>
      <c r="AD211" s="84"/>
      <c r="AE211" s="84">
        <f t="shared" si="67"/>
        <v>0</v>
      </c>
      <c r="AF211" s="84">
        <f t="shared" si="78"/>
        <v>0</v>
      </c>
      <c r="AG211" s="94">
        <f t="shared" si="68"/>
        <v>0</v>
      </c>
      <c r="AH211" s="85">
        <f>IFERROR(VLOOKUP(A211,CUSTOMERS!$A:$E,4),"")</f>
        <v>-150</v>
      </c>
      <c r="AI211" s="86" t="str">
        <f t="shared" si="75"/>
        <v/>
      </c>
      <c r="AJ211" s="87">
        <f>IFERROR(VLOOKUP(A211,CUSTOMERS!$A:$F,5),"")</f>
        <v>0</v>
      </c>
      <c r="AK211" s="96"/>
      <c r="AL211" s="96">
        <v>0</v>
      </c>
      <c r="AM211" s="96">
        <v>0</v>
      </c>
      <c r="AN211" s="96"/>
      <c r="AO211" s="96">
        <v>0</v>
      </c>
      <c r="AP211" s="103">
        <f t="shared" ref="AP211:AP274" si="82">SUM(AK211:AO211)</f>
        <v>0</v>
      </c>
      <c r="AQ211" s="103">
        <f t="shared" si="73"/>
        <v>0</v>
      </c>
      <c r="AR211" s="68" t="str">
        <f>IFERROR(VLOOKUP(A211,CUSTOMERS!$A:$B,2),"")</f>
        <v>PRD</v>
      </c>
      <c r="AS211" s="68" t="str">
        <f>IFERROR(VLOOKUP(A211,CUSTOMERS!$A:$D,3),"")</f>
        <v>BLG</v>
      </c>
      <c r="AT211" s="68" t="str">
        <f>IFERROR(VLOOKUP(A211,CUSTOMERS!$A:$F,6),"")</f>
        <v>N</v>
      </c>
      <c r="AU211" s="69">
        <f>IFERROR(VLOOKUP(A211,CUSTOMERS!$A:$E,4),"")</f>
        <v>-150</v>
      </c>
      <c r="AV211" s="68" t="str">
        <f t="shared" si="69"/>
        <v/>
      </c>
      <c r="AX211" s="71" t="str">
        <f t="shared" si="66"/>
        <v>reason211</v>
      </c>
    </row>
    <row r="212" spans="1:50" ht="50.25" customHeight="1">
      <c r="A212" s="188" t="s">
        <v>162</v>
      </c>
      <c r="B212" s="125" t="str">
        <f t="shared" si="77"/>
        <v>Y</v>
      </c>
      <c r="C212" s="125"/>
      <c r="D212" s="126">
        <v>1010</v>
      </c>
      <c r="E212" s="126">
        <v>3574</v>
      </c>
      <c r="F212" s="122" t="str">
        <f t="shared" si="76"/>
        <v>RMB-RSC-0000-1010</v>
      </c>
      <c r="G212" s="186"/>
      <c r="H212" s="124" t="s">
        <v>199</v>
      </c>
      <c r="I212" s="239"/>
      <c r="J212" s="80">
        <f t="shared" si="79"/>
        <v>0</v>
      </c>
      <c r="K212" s="177">
        <f t="shared" si="74"/>
        <v>0</v>
      </c>
      <c r="L212" s="160"/>
      <c r="M212" s="161"/>
      <c r="N212" s="162"/>
      <c r="O212" s="162"/>
      <c r="P212" s="163"/>
      <c r="Q212" s="202"/>
      <c r="R212" s="204"/>
      <c r="S212" s="211"/>
      <c r="T212" s="211"/>
      <c r="U212" s="211"/>
      <c r="V212" s="211"/>
      <c r="W212" s="211"/>
      <c r="X212" s="154"/>
      <c r="Y212" s="173">
        <f t="shared" si="72"/>
        <v>0</v>
      </c>
      <c r="Z212" s="83">
        <f t="shared" si="80"/>
        <v>0</v>
      </c>
      <c r="AA212" s="84">
        <f t="shared" si="70"/>
        <v>0</v>
      </c>
      <c r="AB212" s="84">
        <f t="shared" si="71"/>
        <v>0</v>
      </c>
      <c r="AC212" s="84">
        <f t="shared" si="81"/>
        <v>0</v>
      </c>
      <c r="AD212" s="84"/>
      <c r="AE212" s="84">
        <f t="shared" si="67"/>
        <v>0</v>
      </c>
      <c r="AF212" s="84">
        <f t="shared" si="78"/>
        <v>0</v>
      </c>
      <c r="AG212" s="94">
        <f t="shared" si="68"/>
        <v>0</v>
      </c>
      <c r="AH212" s="85">
        <f>IFERROR(VLOOKUP(A212,CUSTOMERS!$A:$E,4),"")</f>
        <v>180.81</v>
      </c>
      <c r="AI212" s="86" t="str">
        <f t="shared" si="75"/>
        <v/>
      </c>
      <c r="AJ212" s="87">
        <f>IFERROR(VLOOKUP(A212,CUSTOMERS!$A:$F,5),"")</f>
        <v>0</v>
      </c>
      <c r="AK212" s="96"/>
      <c r="AL212" s="96">
        <v>0</v>
      </c>
      <c r="AM212" s="96">
        <v>0</v>
      </c>
      <c r="AN212" s="96"/>
      <c r="AO212" s="96">
        <v>0</v>
      </c>
      <c r="AP212" s="103">
        <f t="shared" si="82"/>
        <v>0</v>
      </c>
      <c r="AQ212" s="103">
        <f t="shared" si="73"/>
        <v>0</v>
      </c>
      <c r="AR212" s="68" t="str">
        <f>IFERROR(VLOOKUP(A212,CUSTOMERS!$A:$B,2),"")</f>
        <v>RMB</v>
      </c>
      <c r="AS212" s="68" t="str">
        <f>IFERROR(VLOOKUP(A212,CUSTOMERS!$A:$D,3),"")</f>
        <v>RSC</v>
      </c>
      <c r="AT212" s="68" t="str">
        <f>IFERROR(VLOOKUP(A212,CUSTOMERS!$A:$F,6),"")</f>
        <v>Y</v>
      </c>
      <c r="AU212" s="69">
        <f>IFERROR(VLOOKUP(A212,CUSTOMERS!$A:$E,4),"")</f>
        <v>180.81</v>
      </c>
      <c r="AV212" s="68" t="str">
        <f t="shared" si="69"/>
        <v/>
      </c>
      <c r="AX212" s="71" t="str">
        <f t="shared" si="66"/>
        <v>reason212</v>
      </c>
    </row>
    <row r="213" spans="1:50" ht="50.25" customHeight="1">
      <c r="A213" s="188" t="s">
        <v>162</v>
      </c>
      <c r="B213" s="125" t="str">
        <f t="shared" si="77"/>
        <v>Y</v>
      </c>
      <c r="C213" s="126">
        <v>1011</v>
      </c>
      <c r="D213" s="126">
        <v>1011</v>
      </c>
      <c r="E213" s="126">
        <v>3579</v>
      </c>
      <c r="F213" s="122" t="str">
        <f t="shared" si="76"/>
        <v>RMB-RSC-2022-1011</v>
      </c>
      <c r="G213" s="186" t="s">
        <v>180</v>
      </c>
      <c r="H213" s="124" t="s">
        <v>659</v>
      </c>
      <c r="I213" s="239"/>
      <c r="J213" s="80">
        <f t="shared" si="79"/>
        <v>0</v>
      </c>
      <c r="K213" s="177">
        <f t="shared" si="74"/>
        <v>44588</v>
      </c>
      <c r="L213" s="160">
        <v>44588</v>
      </c>
      <c r="M213" s="161"/>
      <c r="N213" s="162"/>
      <c r="O213" s="162"/>
      <c r="P213" s="163"/>
      <c r="Q213" s="202"/>
      <c r="R213" s="204"/>
      <c r="S213" s="211"/>
      <c r="T213" s="211"/>
      <c r="U213" s="211"/>
      <c r="V213" s="211"/>
      <c r="W213" s="211"/>
      <c r="X213" s="154"/>
      <c r="Y213" s="173">
        <f t="shared" si="72"/>
        <v>0</v>
      </c>
      <c r="Z213" s="83">
        <f t="shared" si="80"/>
        <v>0</v>
      </c>
      <c r="AA213" s="84">
        <f t="shared" si="70"/>
        <v>0</v>
      </c>
      <c r="AB213" s="84">
        <f t="shared" si="71"/>
        <v>0</v>
      </c>
      <c r="AC213" s="84">
        <f t="shared" si="81"/>
        <v>0</v>
      </c>
      <c r="AD213" s="84"/>
      <c r="AE213" s="84">
        <f t="shared" si="67"/>
        <v>0</v>
      </c>
      <c r="AF213" s="84">
        <f t="shared" si="78"/>
        <v>0</v>
      </c>
      <c r="AG213" s="94">
        <f t="shared" si="68"/>
        <v>0</v>
      </c>
      <c r="AH213" s="85">
        <f>IFERROR(VLOOKUP(A213,CUSTOMERS!$A:$E,4),"")</f>
        <v>180.81</v>
      </c>
      <c r="AI213" s="86" t="str">
        <f t="shared" si="75"/>
        <v/>
      </c>
      <c r="AJ213" s="87">
        <f>IFERROR(VLOOKUP(A213,CUSTOMERS!$A:$F,5),"")</f>
        <v>0</v>
      </c>
      <c r="AK213" s="96"/>
      <c r="AL213" s="96">
        <v>0</v>
      </c>
      <c r="AM213" s="96">
        <v>0</v>
      </c>
      <c r="AN213" s="96"/>
      <c r="AO213" s="96">
        <v>0</v>
      </c>
      <c r="AP213" s="103">
        <f t="shared" si="82"/>
        <v>0</v>
      </c>
      <c r="AQ213" s="103">
        <f t="shared" si="73"/>
        <v>0</v>
      </c>
      <c r="AR213" s="68" t="str">
        <f>IFERROR(VLOOKUP(A213,CUSTOMERS!$A:$B,2),"")</f>
        <v>RMB</v>
      </c>
      <c r="AS213" s="68" t="str">
        <f>IFERROR(VLOOKUP(A213,CUSTOMERS!$A:$D,3),"")</f>
        <v>RSC</v>
      </c>
      <c r="AT213" s="68" t="str">
        <f>IFERROR(VLOOKUP(A213,CUSTOMERS!$A:$F,6),"")</f>
        <v>Y</v>
      </c>
      <c r="AU213" s="69">
        <f>IFERROR(VLOOKUP(A213,CUSTOMERS!$A:$E,4),"")</f>
        <v>180.81</v>
      </c>
      <c r="AV213" s="68" t="str">
        <f t="shared" si="69"/>
        <v/>
      </c>
      <c r="AX213" s="71" t="str">
        <f t="shared" si="66"/>
        <v>reason213</v>
      </c>
    </row>
    <row r="214" spans="1:50" ht="50.25" customHeight="1">
      <c r="A214" s="188" t="s">
        <v>660</v>
      </c>
      <c r="B214" s="125" t="str">
        <f t="shared" si="77"/>
        <v>Y</v>
      </c>
      <c r="C214" s="125"/>
      <c r="D214" s="126">
        <v>1012</v>
      </c>
      <c r="E214" s="126">
        <v>4112</v>
      </c>
      <c r="F214" s="122" t="str">
        <f t="shared" si="76"/>
        <v>CYG-RSC-0000-1012</v>
      </c>
      <c r="G214" s="186" t="s">
        <v>180</v>
      </c>
      <c r="H214" s="124" t="s">
        <v>202</v>
      </c>
      <c r="I214" s="239"/>
      <c r="J214" s="80">
        <f t="shared" si="79"/>
        <v>0</v>
      </c>
      <c r="K214" s="177">
        <f t="shared" si="74"/>
        <v>0</v>
      </c>
      <c r="L214" s="160"/>
      <c r="M214" s="161"/>
      <c r="N214" s="162"/>
      <c r="O214" s="162"/>
      <c r="P214" s="163"/>
      <c r="Q214" s="202"/>
      <c r="R214" s="204"/>
      <c r="S214" s="211"/>
      <c r="T214" s="211"/>
      <c r="U214" s="211"/>
      <c r="V214" s="211"/>
      <c r="W214" s="211"/>
      <c r="X214" s="154"/>
      <c r="Y214" s="173">
        <f t="shared" si="72"/>
        <v>0</v>
      </c>
      <c r="Z214" s="83">
        <f t="shared" si="80"/>
        <v>0</v>
      </c>
      <c r="AA214" s="84">
        <f t="shared" si="70"/>
        <v>0</v>
      </c>
      <c r="AB214" s="84">
        <f t="shared" si="71"/>
        <v>0</v>
      </c>
      <c r="AC214" s="84">
        <f t="shared" si="81"/>
        <v>0</v>
      </c>
      <c r="AD214" s="84"/>
      <c r="AE214" s="84">
        <f t="shared" si="67"/>
        <v>0</v>
      </c>
      <c r="AF214" s="84">
        <f t="shared" si="78"/>
        <v>0</v>
      </c>
      <c r="AG214" s="94">
        <f t="shared" si="68"/>
        <v>0</v>
      </c>
      <c r="AH214" s="85">
        <f>IFERROR(VLOOKUP(A214,CUSTOMERS!$A:$E,4),"")</f>
        <v>205.2</v>
      </c>
      <c r="AI214" s="86" t="str">
        <f t="shared" si="75"/>
        <v/>
      </c>
      <c r="AJ214" s="87">
        <f>IFERROR(VLOOKUP(A214,CUSTOMERS!$A:$F,5),"")</f>
        <v>0.2</v>
      </c>
      <c r="AK214" s="96"/>
      <c r="AL214" s="96">
        <v>0</v>
      </c>
      <c r="AM214" s="96">
        <v>0</v>
      </c>
      <c r="AN214" s="96"/>
      <c r="AO214" s="96">
        <v>0</v>
      </c>
      <c r="AP214" s="103">
        <f t="shared" si="82"/>
        <v>0</v>
      </c>
      <c r="AQ214" s="103">
        <f t="shared" si="73"/>
        <v>0</v>
      </c>
      <c r="AR214" s="68" t="str">
        <f>IFERROR(VLOOKUP(A214,CUSTOMERS!$A:$B,2),"")</f>
        <v>CYG</v>
      </c>
      <c r="AS214" s="68" t="str">
        <f>IFERROR(VLOOKUP(A214,CUSTOMERS!$A:$D,3),"")</f>
        <v>RSC</v>
      </c>
      <c r="AT214" s="68" t="str">
        <f>IFERROR(VLOOKUP(A214,CUSTOMERS!$A:$F,6),"")</f>
        <v>Y</v>
      </c>
      <c r="AU214" s="69">
        <f>IFERROR(VLOOKUP(A214,CUSTOMERS!$A:$E,4),"")</f>
        <v>205.2</v>
      </c>
      <c r="AV214" s="68" t="str">
        <f t="shared" si="69"/>
        <v/>
      </c>
      <c r="AX214" s="71" t="str">
        <f t="shared" si="66"/>
        <v>reason214</v>
      </c>
    </row>
    <row r="215" spans="1:50" ht="50.25" customHeight="1">
      <c r="A215" s="188" t="s">
        <v>660</v>
      </c>
      <c r="B215" s="125" t="str">
        <f t="shared" si="77"/>
        <v>Y</v>
      </c>
      <c r="C215" s="125"/>
      <c r="D215" s="126">
        <v>1013</v>
      </c>
      <c r="E215" s="126">
        <v>4113</v>
      </c>
      <c r="F215" s="122" t="str">
        <f t="shared" si="76"/>
        <v>CYG-RSC-0000-1013</v>
      </c>
      <c r="G215" s="186" t="s">
        <v>180</v>
      </c>
      <c r="H215" s="124" t="s">
        <v>204</v>
      </c>
      <c r="I215" s="239"/>
      <c r="J215" s="80">
        <f t="shared" si="79"/>
        <v>0</v>
      </c>
      <c r="K215" s="177">
        <f t="shared" si="74"/>
        <v>0</v>
      </c>
      <c r="L215" s="160"/>
      <c r="M215" s="161"/>
      <c r="N215" s="162"/>
      <c r="O215" s="162"/>
      <c r="P215" s="163"/>
      <c r="Q215" s="202"/>
      <c r="R215" s="204"/>
      <c r="S215" s="211"/>
      <c r="T215" s="211"/>
      <c r="U215" s="211"/>
      <c r="V215" s="211"/>
      <c r="W215" s="211"/>
      <c r="X215" s="154"/>
      <c r="Y215" s="173">
        <f t="shared" si="72"/>
        <v>0</v>
      </c>
      <c r="Z215" s="83">
        <f t="shared" si="80"/>
        <v>0</v>
      </c>
      <c r="AA215" s="84">
        <f t="shared" si="70"/>
        <v>0</v>
      </c>
      <c r="AB215" s="84">
        <f t="shared" si="71"/>
        <v>0</v>
      </c>
      <c r="AC215" s="84">
        <f t="shared" si="81"/>
        <v>0</v>
      </c>
      <c r="AD215" s="84"/>
      <c r="AE215" s="84">
        <f t="shared" si="67"/>
        <v>0</v>
      </c>
      <c r="AF215" s="84">
        <f t="shared" si="78"/>
        <v>0</v>
      </c>
      <c r="AG215" s="94">
        <f t="shared" si="68"/>
        <v>0</v>
      </c>
      <c r="AH215" s="85">
        <f>IFERROR(VLOOKUP(A215,CUSTOMERS!$A:$E,4),"")</f>
        <v>205.2</v>
      </c>
      <c r="AI215" s="86" t="str">
        <f t="shared" si="75"/>
        <v/>
      </c>
      <c r="AJ215" s="87">
        <f>IFERROR(VLOOKUP(A215,CUSTOMERS!$A:$F,5),"")</f>
        <v>0.2</v>
      </c>
      <c r="AK215" s="96"/>
      <c r="AL215" s="96">
        <v>0</v>
      </c>
      <c r="AM215" s="96">
        <v>0</v>
      </c>
      <c r="AN215" s="96"/>
      <c r="AO215" s="96">
        <v>0</v>
      </c>
      <c r="AP215" s="103">
        <f t="shared" si="82"/>
        <v>0</v>
      </c>
      <c r="AQ215" s="103">
        <f t="shared" si="73"/>
        <v>0</v>
      </c>
      <c r="AR215" s="68" t="str">
        <f>IFERROR(VLOOKUP(A215,CUSTOMERS!$A:$B,2),"")</f>
        <v>CYG</v>
      </c>
      <c r="AS215" s="68" t="str">
        <f>IFERROR(VLOOKUP(A215,CUSTOMERS!$A:$D,3),"")</f>
        <v>RSC</v>
      </c>
      <c r="AT215" s="68" t="str">
        <f>IFERROR(VLOOKUP(A215,CUSTOMERS!$A:$F,6),"")</f>
        <v>Y</v>
      </c>
      <c r="AU215" s="69">
        <f>IFERROR(VLOOKUP(A215,CUSTOMERS!$A:$E,4),"")</f>
        <v>205.2</v>
      </c>
      <c r="AV215" s="68" t="str">
        <f t="shared" si="69"/>
        <v/>
      </c>
      <c r="AX215" s="71" t="str">
        <f t="shared" si="66"/>
        <v>reason215</v>
      </c>
    </row>
    <row r="216" spans="1:50" ht="50.25" customHeight="1">
      <c r="A216" s="188" t="s">
        <v>140</v>
      </c>
      <c r="B216" s="125" t="str">
        <f t="shared" si="77"/>
        <v>Y</v>
      </c>
      <c r="C216" s="125"/>
      <c r="D216" s="126">
        <v>1014</v>
      </c>
      <c r="E216" s="126">
        <v>4655</v>
      </c>
      <c r="F216" s="122" t="str">
        <f t="shared" si="76"/>
        <v>LMR-RSC-0000-1014</v>
      </c>
      <c r="G216" s="186" t="s">
        <v>205</v>
      </c>
      <c r="H216" s="124" t="s">
        <v>206</v>
      </c>
      <c r="I216" s="239"/>
      <c r="J216" s="80">
        <f t="shared" si="79"/>
        <v>0</v>
      </c>
      <c r="K216" s="177">
        <f t="shared" si="74"/>
        <v>0</v>
      </c>
      <c r="L216" s="160"/>
      <c r="M216" s="161"/>
      <c r="N216" s="162"/>
      <c r="O216" s="162"/>
      <c r="P216" s="163"/>
      <c r="Q216" s="202"/>
      <c r="R216" s="204"/>
      <c r="S216" s="211"/>
      <c r="T216" s="211"/>
      <c r="U216" s="211"/>
      <c r="V216" s="211"/>
      <c r="W216" s="211"/>
      <c r="X216" s="154"/>
      <c r="Y216" s="173">
        <f t="shared" si="72"/>
        <v>0</v>
      </c>
      <c r="Z216" s="83">
        <f t="shared" si="80"/>
        <v>0</v>
      </c>
      <c r="AA216" s="84">
        <f t="shared" si="70"/>
        <v>0</v>
      </c>
      <c r="AB216" s="84">
        <f t="shared" si="71"/>
        <v>0</v>
      </c>
      <c r="AC216" s="84">
        <f t="shared" si="81"/>
        <v>0</v>
      </c>
      <c r="AD216" s="84"/>
      <c r="AE216" s="84">
        <f t="shared" si="67"/>
        <v>0</v>
      </c>
      <c r="AF216" s="84">
        <f t="shared" si="78"/>
        <v>0</v>
      </c>
      <c r="AG216" s="94">
        <f t="shared" si="68"/>
        <v>0</v>
      </c>
      <c r="AH216" s="85">
        <f>IFERROR(VLOOKUP(A216,CUSTOMERS!$A:$E,4),"")</f>
        <v>185.4</v>
      </c>
      <c r="AI216" s="86" t="str">
        <f t="shared" si="75"/>
        <v/>
      </c>
      <c r="AJ216" s="87">
        <f>IFERROR(VLOOKUP(A216,CUSTOMERS!$A:$F,5),"")</f>
        <v>0.2</v>
      </c>
      <c r="AK216" s="96"/>
      <c r="AL216" s="96">
        <v>0</v>
      </c>
      <c r="AM216" s="96">
        <v>0</v>
      </c>
      <c r="AN216" s="96"/>
      <c r="AO216" s="96">
        <v>0</v>
      </c>
      <c r="AP216" s="103">
        <f t="shared" si="82"/>
        <v>0</v>
      </c>
      <c r="AQ216" s="103">
        <f t="shared" si="73"/>
        <v>0</v>
      </c>
      <c r="AR216" s="68" t="str">
        <f>IFERROR(VLOOKUP(A216,CUSTOMERS!$A:$B,2),"")</f>
        <v>LMR</v>
      </c>
      <c r="AS216" s="68" t="str">
        <f>IFERROR(VLOOKUP(A216,CUSTOMERS!$A:$D,3),"")</f>
        <v>RSC</v>
      </c>
      <c r="AT216" s="68" t="str">
        <f>IFERROR(VLOOKUP(A216,CUSTOMERS!$A:$F,6),"")</f>
        <v>Y</v>
      </c>
      <c r="AU216" s="69">
        <f>IFERROR(VLOOKUP(A216,CUSTOMERS!$A:$E,4),"")</f>
        <v>185.4</v>
      </c>
      <c r="AV216" s="68" t="str">
        <f t="shared" si="69"/>
        <v/>
      </c>
      <c r="AX216" s="71" t="str">
        <f t="shared" si="66"/>
        <v>reason216</v>
      </c>
    </row>
    <row r="217" spans="1:50" ht="50.25" customHeight="1">
      <c r="A217" s="188" t="s">
        <v>114</v>
      </c>
      <c r="B217" s="125" t="s">
        <v>283</v>
      </c>
      <c r="C217" s="125"/>
      <c r="D217" s="126">
        <v>1015</v>
      </c>
      <c r="E217" s="126">
        <v>5365</v>
      </c>
      <c r="F217" s="122" t="str">
        <f t="shared" si="76"/>
        <v>BOI-RSC-0000-1015</v>
      </c>
      <c r="G217" s="186" t="s">
        <v>180</v>
      </c>
      <c r="H217" s="124" t="s">
        <v>207</v>
      </c>
      <c r="I217" s="239"/>
      <c r="J217" s="80">
        <f t="shared" si="79"/>
        <v>0</v>
      </c>
      <c r="K217" s="177">
        <f t="shared" si="74"/>
        <v>0</v>
      </c>
      <c r="L217" s="160"/>
      <c r="M217" s="161"/>
      <c r="N217" s="162"/>
      <c r="O217" s="162"/>
      <c r="P217" s="163"/>
      <c r="Q217" s="202"/>
      <c r="R217" s="204"/>
      <c r="S217" s="211"/>
      <c r="T217" s="211"/>
      <c r="U217" s="211"/>
      <c r="V217" s="211"/>
      <c r="W217" s="211"/>
      <c r="X217" s="154"/>
      <c r="Y217" s="173">
        <f t="shared" si="72"/>
        <v>0</v>
      </c>
      <c r="Z217" s="83">
        <f t="shared" si="80"/>
        <v>0</v>
      </c>
      <c r="AA217" s="84">
        <f t="shared" si="70"/>
        <v>0</v>
      </c>
      <c r="AB217" s="84">
        <f t="shared" si="71"/>
        <v>0</v>
      </c>
      <c r="AC217" s="84">
        <f t="shared" si="81"/>
        <v>0</v>
      </c>
      <c r="AD217" s="84"/>
      <c r="AE217" s="84">
        <f t="shared" si="67"/>
        <v>0</v>
      </c>
      <c r="AF217" s="84">
        <f t="shared" si="78"/>
        <v>0</v>
      </c>
      <c r="AG217" s="94">
        <f t="shared" si="68"/>
        <v>0</v>
      </c>
      <c r="AH217" s="85">
        <f>IFERROR(VLOOKUP(A217,CUSTOMERS!$A:$E,4),"")</f>
        <v>197.7</v>
      </c>
      <c r="AI217" s="86" t="str">
        <f t="shared" si="75"/>
        <v/>
      </c>
      <c r="AJ217" s="87">
        <f>IFERROR(VLOOKUP(A217,CUSTOMERS!$A:$F,5),"")</f>
        <v>0.2</v>
      </c>
      <c r="AK217" s="96"/>
      <c r="AL217" s="96">
        <v>0</v>
      </c>
      <c r="AM217" s="96">
        <v>0</v>
      </c>
      <c r="AN217" s="96"/>
      <c r="AO217" s="96">
        <v>0</v>
      </c>
      <c r="AP217" s="103">
        <f t="shared" si="82"/>
        <v>0</v>
      </c>
      <c r="AQ217" s="103">
        <f t="shared" si="73"/>
        <v>0</v>
      </c>
      <c r="AR217" s="68" t="str">
        <f>IFERROR(VLOOKUP(A217,CUSTOMERS!$A:$B,2),"")</f>
        <v>BOI</v>
      </c>
      <c r="AS217" s="68" t="str">
        <f>IFERROR(VLOOKUP(A217,CUSTOMERS!$A:$D,3),"")</f>
        <v>RSC</v>
      </c>
      <c r="AT217" s="68" t="str">
        <f>IFERROR(VLOOKUP(A217,CUSTOMERS!$A:$F,6),"")</f>
        <v>Y</v>
      </c>
      <c r="AU217" s="69">
        <f>IFERROR(VLOOKUP(A217,CUSTOMERS!$A:$E,4),"")</f>
        <v>197.7</v>
      </c>
      <c r="AV217" s="68" t="str">
        <f t="shared" si="69"/>
        <v/>
      </c>
      <c r="AX217" s="71" t="str">
        <f t="shared" ref="AX217:AX280" si="83">"reason"&amp;ROW()</f>
        <v>reason217</v>
      </c>
    </row>
    <row r="218" spans="1:50" ht="50.25" customHeight="1">
      <c r="A218" s="188" t="s">
        <v>162</v>
      </c>
      <c r="B218" s="125" t="str">
        <f t="shared" si="77"/>
        <v>Y</v>
      </c>
      <c r="C218" s="125"/>
      <c r="D218" s="126">
        <v>1016</v>
      </c>
      <c r="E218" s="126">
        <v>3500</v>
      </c>
      <c r="F218" s="122" t="str">
        <f t="shared" si="76"/>
        <v>RMB-RSC-0000-1016</v>
      </c>
      <c r="G218" s="186" t="s">
        <v>180</v>
      </c>
      <c r="H218" s="124" t="s">
        <v>208</v>
      </c>
      <c r="I218" s="239"/>
      <c r="J218" s="80">
        <f t="shared" si="79"/>
        <v>0</v>
      </c>
      <c r="K218" s="177">
        <f t="shared" si="74"/>
        <v>0</v>
      </c>
      <c r="L218" s="160"/>
      <c r="M218" s="161"/>
      <c r="N218" s="162"/>
      <c r="O218" s="162"/>
      <c r="P218" s="163"/>
      <c r="Q218" s="202"/>
      <c r="R218" s="204"/>
      <c r="S218" s="211"/>
      <c r="T218" s="211"/>
      <c r="U218" s="211"/>
      <c r="V218" s="211"/>
      <c r="W218" s="211"/>
      <c r="X218" s="154"/>
      <c r="Y218" s="173">
        <f t="shared" si="72"/>
        <v>0</v>
      </c>
      <c r="Z218" s="83">
        <f t="shared" si="80"/>
        <v>0</v>
      </c>
      <c r="AA218" s="84">
        <f t="shared" si="70"/>
        <v>0</v>
      </c>
      <c r="AB218" s="84">
        <f t="shared" si="71"/>
        <v>0</v>
      </c>
      <c r="AC218" s="84">
        <f t="shared" si="81"/>
        <v>0</v>
      </c>
      <c r="AD218" s="84"/>
      <c r="AE218" s="84">
        <f t="shared" si="67"/>
        <v>0</v>
      </c>
      <c r="AF218" s="84">
        <f t="shared" si="78"/>
        <v>0</v>
      </c>
      <c r="AG218" s="94">
        <f t="shared" si="68"/>
        <v>0</v>
      </c>
      <c r="AH218" s="85">
        <f>IFERROR(VLOOKUP(A218,CUSTOMERS!$A:$E,4),"")</f>
        <v>180.81</v>
      </c>
      <c r="AI218" s="86" t="str">
        <f t="shared" si="75"/>
        <v/>
      </c>
      <c r="AJ218" s="87">
        <f>IFERROR(VLOOKUP(A218,CUSTOMERS!$A:$F,5),"")</f>
        <v>0</v>
      </c>
      <c r="AK218" s="96"/>
      <c r="AL218" s="96">
        <v>0</v>
      </c>
      <c r="AM218" s="96">
        <v>0</v>
      </c>
      <c r="AN218" s="96"/>
      <c r="AO218" s="96">
        <v>0</v>
      </c>
      <c r="AP218" s="103">
        <f t="shared" si="82"/>
        <v>0</v>
      </c>
      <c r="AQ218" s="103">
        <f t="shared" si="73"/>
        <v>0</v>
      </c>
      <c r="AR218" s="68" t="str">
        <f>IFERROR(VLOOKUP(A218,CUSTOMERS!$A:$B,2),"")</f>
        <v>RMB</v>
      </c>
      <c r="AS218" s="68" t="str">
        <f>IFERROR(VLOOKUP(A218,CUSTOMERS!$A:$D,3),"")</f>
        <v>RSC</v>
      </c>
      <c r="AT218" s="68" t="str">
        <f>IFERROR(VLOOKUP(A218,CUSTOMERS!$A:$F,6),"")</f>
        <v>Y</v>
      </c>
      <c r="AU218" s="69">
        <f>IFERROR(VLOOKUP(A218,CUSTOMERS!$A:$E,4),"")</f>
        <v>180.81</v>
      </c>
      <c r="AV218" s="68" t="str">
        <f t="shared" si="69"/>
        <v/>
      </c>
      <c r="AX218" s="71" t="str">
        <f t="shared" si="83"/>
        <v>reason218</v>
      </c>
    </row>
    <row r="219" spans="1:50" ht="50.25" customHeight="1">
      <c r="A219" s="188" t="s">
        <v>158</v>
      </c>
      <c r="B219" s="125" t="str">
        <f t="shared" si="77"/>
        <v>Y</v>
      </c>
      <c r="C219" s="125"/>
      <c r="D219" s="126">
        <v>1017</v>
      </c>
      <c r="E219" s="126">
        <v>6375</v>
      </c>
      <c r="F219" s="122" t="str">
        <f t="shared" si="76"/>
        <v>N26-RSC-0000-1017</v>
      </c>
      <c r="G219" s="186" t="s">
        <v>129</v>
      </c>
      <c r="H219" s="124" t="s">
        <v>209</v>
      </c>
      <c r="I219" s="239"/>
      <c r="J219" s="80">
        <f t="shared" si="79"/>
        <v>0</v>
      </c>
      <c r="K219" s="177">
        <f t="shared" si="74"/>
        <v>0</v>
      </c>
      <c r="L219" s="160"/>
      <c r="M219" s="161"/>
      <c r="N219" s="162"/>
      <c r="O219" s="162"/>
      <c r="P219" s="163"/>
      <c r="Q219" s="202"/>
      <c r="R219" s="204"/>
      <c r="S219" s="211"/>
      <c r="T219" s="211"/>
      <c r="U219" s="211"/>
      <c r="V219" s="211"/>
      <c r="W219" s="211"/>
      <c r="X219" s="154"/>
      <c r="Y219" s="173">
        <f t="shared" si="72"/>
        <v>0</v>
      </c>
      <c r="Z219" s="83">
        <f t="shared" si="80"/>
        <v>0</v>
      </c>
      <c r="AA219" s="84">
        <f t="shared" si="70"/>
        <v>0</v>
      </c>
      <c r="AB219" s="84">
        <f t="shared" si="71"/>
        <v>0</v>
      </c>
      <c r="AC219" s="84">
        <f t="shared" si="81"/>
        <v>0</v>
      </c>
      <c r="AD219" s="84"/>
      <c r="AE219" s="84">
        <f t="shared" si="67"/>
        <v>0</v>
      </c>
      <c r="AF219" s="84">
        <f t="shared" si="78"/>
        <v>0</v>
      </c>
      <c r="AG219" s="94">
        <f t="shared" si="68"/>
        <v>0</v>
      </c>
      <c r="AH219" s="85">
        <f>IFERROR(VLOOKUP(A219,CUSTOMERS!$A:$E,4),"")</f>
        <v>192.11</v>
      </c>
      <c r="AI219" s="86" t="str">
        <f t="shared" si="75"/>
        <v/>
      </c>
      <c r="AJ219" s="87">
        <f>IFERROR(VLOOKUP(A219,CUSTOMERS!$A:$F,5),"")</f>
        <v>0.2</v>
      </c>
      <c r="AK219" s="96"/>
      <c r="AL219" s="96">
        <v>0</v>
      </c>
      <c r="AM219" s="96">
        <v>0</v>
      </c>
      <c r="AN219" s="96"/>
      <c r="AO219" s="96">
        <v>0</v>
      </c>
      <c r="AP219" s="103">
        <f t="shared" si="82"/>
        <v>0</v>
      </c>
      <c r="AQ219" s="103">
        <f t="shared" si="73"/>
        <v>0</v>
      </c>
      <c r="AR219" s="68" t="str">
        <f>IFERROR(VLOOKUP(A219,CUSTOMERS!$A:$B,2),"")</f>
        <v>N26</v>
      </c>
      <c r="AS219" s="68" t="str">
        <f>IFERROR(VLOOKUP(A219,CUSTOMERS!$A:$D,3),"")</f>
        <v>RSC</v>
      </c>
      <c r="AT219" s="68" t="str">
        <f>IFERROR(VLOOKUP(A219,CUSTOMERS!$A:$F,6),"")</f>
        <v>Y</v>
      </c>
      <c r="AU219" s="69">
        <f>IFERROR(VLOOKUP(A219,CUSTOMERS!$A:$E,4),"")</f>
        <v>192.11</v>
      </c>
      <c r="AV219" s="68" t="str">
        <f t="shared" si="69"/>
        <v/>
      </c>
      <c r="AX219" s="71" t="str">
        <f t="shared" si="83"/>
        <v>reason219</v>
      </c>
    </row>
    <row r="220" spans="1:50" ht="50.25" customHeight="1">
      <c r="A220" s="188" t="s">
        <v>140</v>
      </c>
      <c r="B220" s="125" t="str">
        <f t="shared" si="77"/>
        <v>Y</v>
      </c>
      <c r="C220" s="125"/>
      <c r="D220" s="126">
        <v>1018</v>
      </c>
      <c r="E220" s="126">
        <v>6527</v>
      </c>
      <c r="F220" s="122" t="str">
        <f t="shared" si="76"/>
        <v>LMR-RSC-0000-1018</v>
      </c>
      <c r="G220" s="186" t="s">
        <v>180</v>
      </c>
      <c r="H220" s="124" t="s">
        <v>210</v>
      </c>
      <c r="I220" s="239"/>
      <c r="J220" s="80">
        <f t="shared" si="79"/>
        <v>0</v>
      </c>
      <c r="K220" s="177">
        <f t="shared" si="74"/>
        <v>0</v>
      </c>
      <c r="L220" s="160"/>
      <c r="M220" s="161"/>
      <c r="N220" s="162"/>
      <c r="O220" s="162"/>
      <c r="P220" s="163"/>
      <c r="Q220" s="202"/>
      <c r="R220" s="204"/>
      <c r="S220" s="211"/>
      <c r="T220" s="211"/>
      <c r="U220" s="211"/>
      <c r="V220" s="211"/>
      <c r="W220" s="211"/>
      <c r="X220" s="154"/>
      <c r="Y220" s="173">
        <f t="shared" si="72"/>
        <v>0</v>
      </c>
      <c r="Z220" s="83">
        <f t="shared" si="80"/>
        <v>0</v>
      </c>
      <c r="AA220" s="84">
        <f t="shared" si="70"/>
        <v>0</v>
      </c>
      <c r="AB220" s="84">
        <f t="shared" si="71"/>
        <v>0</v>
      </c>
      <c r="AC220" s="84">
        <f t="shared" si="81"/>
        <v>0</v>
      </c>
      <c r="AD220" s="84"/>
      <c r="AE220" s="84">
        <f t="shared" si="67"/>
        <v>0</v>
      </c>
      <c r="AF220" s="84">
        <f t="shared" si="78"/>
        <v>0</v>
      </c>
      <c r="AG220" s="94">
        <f t="shared" si="68"/>
        <v>0</v>
      </c>
      <c r="AH220" s="85">
        <f>IFERROR(VLOOKUP(A220,CUSTOMERS!$A:$E,4),"")</f>
        <v>185.4</v>
      </c>
      <c r="AI220" s="86" t="str">
        <f t="shared" si="75"/>
        <v/>
      </c>
      <c r="AJ220" s="87">
        <f>IFERROR(VLOOKUP(A220,CUSTOMERS!$A:$F,5),"")</f>
        <v>0.2</v>
      </c>
      <c r="AK220" s="96"/>
      <c r="AL220" s="96">
        <v>0</v>
      </c>
      <c r="AM220" s="96">
        <v>0</v>
      </c>
      <c r="AN220" s="96"/>
      <c r="AO220" s="96">
        <v>0</v>
      </c>
      <c r="AP220" s="103">
        <f t="shared" si="82"/>
        <v>0</v>
      </c>
      <c r="AQ220" s="103">
        <f t="shared" si="73"/>
        <v>0</v>
      </c>
      <c r="AR220" s="68" t="str">
        <f>IFERROR(VLOOKUP(A220,CUSTOMERS!$A:$B,2),"")</f>
        <v>LMR</v>
      </c>
      <c r="AS220" s="68" t="str">
        <f>IFERROR(VLOOKUP(A220,CUSTOMERS!$A:$D,3),"")</f>
        <v>RSC</v>
      </c>
      <c r="AT220" s="68" t="str">
        <f>IFERROR(VLOOKUP(A220,CUSTOMERS!$A:$F,6),"")</f>
        <v>Y</v>
      </c>
      <c r="AU220" s="69">
        <f>IFERROR(VLOOKUP(A220,CUSTOMERS!$A:$E,4),"")</f>
        <v>185.4</v>
      </c>
      <c r="AV220" s="68" t="str">
        <f t="shared" si="69"/>
        <v/>
      </c>
      <c r="AX220" s="71" t="str">
        <f t="shared" si="83"/>
        <v>reason220</v>
      </c>
    </row>
    <row r="221" spans="1:50" ht="50.25" customHeight="1">
      <c r="A221" s="188" t="s">
        <v>136</v>
      </c>
      <c r="B221" s="125" t="str">
        <f t="shared" si="77"/>
        <v>Y</v>
      </c>
      <c r="C221" s="125"/>
      <c r="D221" s="126">
        <v>1019</v>
      </c>
      <c r="E221" s="126">
        <v>6445</v>
      </c>
      <c r="F221" s="122" t="str">
        <f t="shared" si="76"/>
        <v>BDB-RSC-2022-1019</v>
      </c>
      <c r="G221" s="186" t="s">
        <v>180</v>
      </c>
      <c r="H221" s="124" t="s">
        <v>211</v>
      </c>
      <c r="I221" s="239"/>
      <c r="J221" s="80">
        <f t="shared" si="79"/>
        <v>0</v>
      </c>
      <c r="K221" s="177">
        <f t="shared" si="74"/>
        <v>44699</v>
      </c>
      <c r="L221" s="160">
        <v>44699</v>
      </c>
      <c r="M221" s="161"/>
      <c r="N221" s="162"/>
      <c r="O221" s="162"/>
      <c r="P221" s="163"/>
      <c r="Q221" s="202"/>
      <c r="R221" s="204"/>
      <c r="S221" s="211"/>
      <c r="T221" s="211"/>
      <c r="U221" s="211"/>
      <c r="V221" s="211"/>
      <c r="W221" s="211"/>
      <c r="X221" s="154"/>
      <c r="Y221" s="173">
        <f t="shared" si="72"/>
        <v>0</v>
      </c>
      <c r="Z221" s="83">
        <f t="shared" si="80"/>
        <v>0</v>
      </c>
      <c r="AA221" s="84">
        <f t="shared" si="70"/>
        <v>0</v>
      </c>
      <c r="AB221" s="84">
        <f t="shared" si="71"/>
        <v>0</v>
      </c>
      <c r="AC221" s="84">
        <f t="shared" si="81"/>
        <v>0</v>
      </c>
      <c r="AD221" s="84"/>
      <c r="AE221" s="84">
        <f t="shared" si="67"/>
        <v>0</v>
      </c>
      <c r="AF221" s="84">
        <f t="shared" si="78"/>
        <v>0</v>
      </c>
      <c r="AG221" s="94">
        <f t="shared" si="68"/>
        <v>0</v>
      </c>
      <c r="AH221" s="85">
        <f>IFERROR(VLOOKUP(A221,CUSTOMERS!$A:$E,4),"")</f>
        <v>215.76</v>
      </c>
      <c r="AI221" s="86" t="str">
        <f t="shared" si="75"/>
        <v/>
      </c>
      <c r="AJ221" s="87">
        <f>IFERROR(VLOOKUP(A221,CUSTOMERS!$A:$F,5),"")</f>
        <v>0.2</v>
      </c>
      <c r="AK221" s="96"/>
      <c r="AL221" s="96">
        <v>0</v>
      </c>
      <c r="AM221" s="96">
        <v>0</v>
      </c>
      <c r="AN221" s="96"/>
      <c r="AO221" s="96">
        <v>0</v>
      </c>
      <c r="AP221" s="103">
        <f t="shared" si="82"/>
        <v>0</v>
      </c>
      <c r="AQ221" s="103">
        <f t="shared" si="73"/>
        <v>0</v>
      </c>
      <c r="AR221" s="68" t="str">
        <f>IFERROR(VLOOKUP(A221,CUSTOMERS!$A:$B,2),"")</f>
        <v>BDB</v>
      </c>
      <c r="AS221" s="68" t="str">
        <f>IFERROR(VLOOKUP(A221,CUSTOMERS!$A:$D,3),"")</f>
        <v>RSC</v>
      </c>
      <c r="AT221" s="68" t="str">
        <f>IFERROR(VLOOKUP(A221,CUSTOMERS!$A:$F,6),"")</f>
        <v>Y</v>
      </c>
      <c r="AU221" s="69">
        <f>IFERROR(VLOOKUP(A221,CUSTOMERS!$A:$E,4),"")</f>
        <v>215.76</v>
      </c>
      <c r="AV221" s="68" t="str">
        <f t="shared" si="69"/>
        <v/>
      </c>
      <c r="AX221" s="71" t="str">
        <f t="shared" si="83"/>
        <v>reason221</v>
      </c>
    </row>
    <row r="222" spans="1:50" ht="50.25" customHeight="1">
      <c r="A222" s="188" t="s">
        <v>158</v>
      </c>
      <c r="B222" s="125" t="str">
        <f t="shared" si="77"/>
        <v>Y</v>
      </c>
      <c r="C222" s="125"/>
      <c r="D222" s="126">
        <v>1020</v>
      </c>
      <c r="E222" s="126">
        <v>7445</v>
      </c>
      <c r="F222" s="122" t="str">
        <f t="shared" si="76"/>
        <v>N26-RSC-0000-1020</v>
      </c>
      <c r="G222" s="186" t="s">
        <v>180</v>
      </c>
      <c r="H222" s="124" t="s">
        <v>212</v>
      </c>
      <c r="I222" s="239"/>
      <c r="J222" s="80">
        <f t="shared" si="79"/>
        <v>0</v>
      </c>
      <c r="K222" s="177">
        <f t="shared" si="74"/>
        <v>0</v>
      </c>
      <c r="L222" s="160"/>
      <c r="M222" s="161"/>
      <c r="N222" s="162"/>
      <c r="O222" s="162"/>
      <c r="P222" s="163"/>
      <c r="Q222" s="202"/>
      <c r="R222" s="204"/>
      <c r="S222" s="211"/>
      <c r="T222" s="211"/>
      <c r="U222" s="211"/>
      <c r="V222" s="211"/>
      <c r="W222" s="211"/>
      <c r="X222" s="154"/>
      <c r="Y222" s="173">
        <f t="shared" si="72"/>
        <v>0</v>
      </c>
      <c r="Z222" s="83">
        <f t="shared" si="80"/>
        <v>0</v>
      </c>
      <c r="AA222" s="84">
        <f t="shared" si="70"/>
        <v>0</v>
      </c>
      <c r="AB222" s="84">
        <f t="shared" si="71"/>
        <v>0</v>
      </c>
      <c r="AC222" s="84">
        <f t="shared" si="81"/>
        <v>0</v>
      </c>
      <c r="AD222" s="84"/>
      <c r="AE222" s="84">
        <f t="shared" si="67"/>
        <v>0</v>
      </c>
      <c r="AF222" s="84">
        <f t="shared" si="78"/>
        <v>0</v>
      </c>
      <c r="AG222" s="94">
        <f t="shared" si="68"/>
        <v>0</v>
      </c>
      <c r="AH222" s="85">
        <f>IFERROR(VLOOKUP(A222,CUSTOMERS!$A:$E,4),"")</f>
        <v>192.11</v>
      </c>
      <c r="AI222" s="86" t="str">
        <f t="shared" si="75"/>
        <v/>
      </c>
      <c r="AJ222" s="87">
        <f>IFERROR(VLOOKUP(A222,CUSTOMERS!$A:$F,5),"")</f>
        <v>0.2</v>
      </c>
      <c r="AK222" s="96"/>
      <c r="AL222" s="96">
        <v>0</v>
      </c>
      <c r="AM222" s="96">
        <v>0</v>
      </c>
      <c r="AN222" s="96"/>
      <c r="AO222" s="96">
        <v>0</v>
      </c>
      <c r="AP222" s="103">
        <f t="shared" si="82"/>
        <v>0</v>
      </c>
      <c r="AQ222" s="103">
        <f t="shared" si="73"/>
        <v>0</v>
      </c>
      <c r="AR222" s="68" t="str">
        <f>IFERROR(VLOOKUP(A222,CUSTOMERS!$A:$B,2),"")</f>
        <v>N26</v>
      </c>
      <c r="AS222" s="68" t="str">
        <f>IFERROR(VLOOKUP(A222,CUSTOMERS!$A:$D,3),"")</f>
        <v>RSC</v>
      </c>
      <c r="AT222" s="68" t="str">
        <f>IFERROR(VLOOKUP(A222,CUSTOMERS!$A:$F,6),"")</f>
        <v>Y</v>
      </c>
      <c r="AU222" s="69">
        <f>IFERROR(VLOOKUP(A222,CUSTOMERS!$A:$E,4),"")</f>
        <v>192.11</v>
      </c>
      <c r="AV222" s="68" t="str">
        <f t="shared" si="69"/>
        <v/>
      </c>
      <c r="AX222" s="71" t="str">
        <f t="shared" si="83"/>
        <v>reason222</v>
      </c>
    </row>
    <row r="223" spans="1:50" ht="50.25" customHeight="1">
      <c r="A223" s="188" t="s">
        <v>114</v>
      </c>
      <c r="B223" s="125" t="str">
        <f t="shared" si="77"/>
        <v>Y</v>
      </c>
      <c r="C223" s="125"/>
      <c r="D223" s="126">
        <v>1021</v>
      </c>
      <c r="E223" s="126">
        <v>7608</v>
      </c>
      <c r="F223" s="122" t="str">
        <f t="shared" si="76"/>
        <v>BOI-RSC-0000-1021</v>
      </c>
      <c r="G223" s="186" t="s">
        <v>106</v>
      </c>
      <c r="H223" s="124" t="s">
        <v>213</v>
      </c>
      <c r="I223" s="239"/>
      <c r="J223" s="80">
        <f t="shared" si="79"/>
        <v>0</v>
      </c>
      <c r="K223" s="177">
        <f t="shared" si="74"/>
        <v>0</v>
      </c>
      <c r="L223" s="160"/>
      <c r="M223" s="161"/>
      <c r="N223" s="162"/>
      <c r="O223" s="162"/>
      <c r="P223" s="163"/>
      <c r="Q223" s="202"/>
      <c r="R223" s="204"/>
      <c r="S223" s="211"/>
      <c r="T223" s="211"/>
      <c r="U223" s="211"/>
      <c r="V223" s="211"/>
      <c r="W223" s="211"/>
      <c r="X223" s="154"/>
      <c r="Y223" s="173">
        <f t="shared" si="72"/>
        <v>0</v>
      </c>
      <c r="Z223" s="83">
        <f t="shared" si="80"/>
        <v>0</v>
      </c>
      <c r="AA223" s="84">
        <f t="shared" si="70"/>
        <v>0</v>
      </c>
      <c r="AB223" s="84">
        <f t="shared" si="71"/>
        <v>0</v>
      </c>
      <c r="AC223" s="84">
        <f t="shared" si="81"/>
        <v>0</v>
      </c>
      <c r="AD223" s="84"/>
      <c r="AE223" s="84">
        <f t="shared" si="67"/>
        <v>0</v>
      </c>
      <c r="AF223" s="84">
        <f t="shared" si="78"/>
        <v>0</v>
      </c>
      <c r="AG223" s="94">
        <f t="shared" si="68"/>
        <v>0</v>
      </c>
      <c r="AH223" s="85">
        <f>IFERROR(VLOOKUP(A223,CUSTOMERS!$A:$E,4),"")</f>
        <v>197.7</v>
      </c>
      <c r="AI223" s="86" t="str">
        <f t="shared" si="75"/>
        <v/>
      </c>
      <c r="AJ223" s="87">
        <f>IFERROR(VLOOKUP(A223,CUSTOMERS!$A:$F,5),"")</f>
        <v>0.2</v>
      </c>
      <c r="AK223" s="96"/>
      <c r="AL223" s="96">
        <v>0</v>
      </c>
      <c r="AM223" s="96">
        <v>0</v>
      </c>
      <c r="AN223" s="96"/>
      <c r="AO223" s="96">
        <v>0</v>
      </c>
      <c r="AP223" s="103">
        <f t="shared" si="82"/>
        <v>0</v>
      </c>
      <c r="AQ223" s="103">
        <f t="shared" si="73"/>
        <v>0</v>
      </c>
      <c r="AR223" s="68" t="str">
        <f>IFERROR(VLOOKUP(A223,CUSTOMERS!$A:$B,2),"")</f>
        <v>BOI</v>
      </c>
      <c r="AS223" s="68" t="str">
        <f>IFERROR(VLOOKUP(A223,CUSTOMERS!$A:$D,3),"")</f>
        <v>RSC</v>
      </c>
      <c r="AT223" s="68" t="str">
        <f>IFERROR(VLOOKUP(A223,CUSTOMERS!$A:$F,6),"")</f>
        <v>Y</v>
      </c>
      <c r="AU223" s="69">
        <f>IFERROR(VLOOKUP(A223,CUSTOMERS!$A:$E,4),"")</f>
        <v>197.7</v>
      </c>
      <c r="AV223" s="68" t="str">
        <f t="shared" si="69"/>
        <v/>
      </c>
      <c r="AX223" s="71" t="str">
        <f t="shared" si="83"/>
        <v>reason223</v>
      </c>
    </row>
    <row r="224" spans="1:50" ht="50.25" customHeight="1">
      <c r="A224" s="188"/>
      <c r="B224" s="125" t="str">
        <f t="shared" si="77"/>
        <v/>
      </c>
      <c r="C224" s="125"/>
      <c r="D224" s="126"/>
      <c r="E224" s="126"/>
      <c r="F224" s="122" t="str">
        <f t="shared" si="76"/>
        <v/>
      </c>
      <c r="G224" s="186"/>
      <c r="H224" s="124"/>
      <c r="I224" s="239"/>
      <c r="J224" s="80" t="str">
        <f t="shared" si="79"/>
        <v/>
      </c>
      <c r="K224" s="177">
        <f t="shared" si="74"/>
        <v>0</v>
      </c>
      <c r="L224" s="160"/>
      <c r="M224" s="161"/>
      <c r="N224" s="162"/>
      <c r="O224" s="162"/>
      <c r="P224" s="163"/>
      <c r="Q224" s="202"/>
      <c r="R224" s="204"/>
      <c r="S224" s="211"/>
      <c r="T224" s="211"/>
      <c r="U224" s="211"/>
      <c r="V224" s="211"/>
      <c r="W224" s="211"/>
      <c r="X224" s="154"/>
      <c r="Y224" s="173" t="str">
        <f t="shared" si="72"/>
        <v/>
      </c>
      <c r="Z224" s="83" t="str">
        <f t="shared" si="80"/>
        <v/>
      </c>
      <c r="AA224" s="84" t="str">
        <f t="shared" si="70"/>
        <v/>
      </c>
      <c r="AB224" s="84" t="str">
        <f t="shared" si="71"/>
        <v/>
      </c>
      <c r="AC224" s="84" t="str">
        <f t="shared" si="81"/>
        <v/>
      </c>
      <c r="AD224" s="84"/>
      <c r="AE224" s="84" t="str">
        <f t="shared" si="67"/>
        <v/>
      </c>
      <c r="AF224" s="84">
        <f t="shared" si="78"/>
        <v>0</v>
      </c>
      <c r="AG224" s="94" t="str">
        <f t="shared" si="68"/>
        <v/>
      </c>
      <c r="AH224" s="85" t="str">
        <f>IFERROR(VLOOKUP(A224,CUSTOMERS!$A:$E,4),"")</f>
        <v/>
      </c>
      <c r="AI224" s="86" t="str">
        <f t="shared" si="75"/>
        <v/>
      </c>
      <c r="AJ224" s="87" t="str">
        <f>IFERROR(VLOOKUP(A224,CUSTOMERS!$A:$F,5),"")</f>
        <v/>
      </c>
      <c r="AK224" s="96"/>
      <c r="AL224" s="96">
        <v>0</v>
      </c>
      <c r="AM224" s="96">
        <v>0</v>
      </c>
      <c r="AN224" s="96"/>
      <c r="AO224" s="96">
        <v>0</v>
      </c>
      <c r="AP224" s="103">
        <f t="shared" si="82"/>
        <v>0</v>
      </c>
      <c r="AQ224" s="103" t="str">
        <f t="shared" si="73"/>
        <v/>
      </c>
      <c r="AR224" s="68" t="str">
        <f>IFERROR(VLOOKUP(A224,CUSTOMERS!$A:$B,2),"")</f>
        <v/>
      </c>
      <c r="AS224" s="68" t="str">
        <f>IFERROR(VLOOKUP(A224,CUSTOMERS!$A:$D,3),"")</f>
        <v/>
      </c>
      <c r="AT224" s="68" t="str">
        <f>IFERROR(VLOOKUP(A224,CUSTOMERS!$A:$F,6),"")</f>
        <v/>
      </c>
      <c r="AU224" s="69" t="str">
        <f>IFERROR(VLOOKUP(A224,CUSTOMERS!$A:$E,4),"")</f>
        <v/>
      </c>
      <c r="AV224" s="68" t="str">
        <f t="shared" si="69"/>
        <v/>
      </c>
      <c r="AX224" s="71" t="str">
        <f t="shared" si="83"/>
        <v>reason224</v>
      </c>
    </row>
    <row r="225" spans="1:50" ht="50.25" customHeight="1">
      <c r="A225" s="188"/>
      <c r="B225" s="125" t="str">
        <f t="shared" si="77"/>
        <v/>
      </c>
      <c r="C225" s="125"/>
      <c r="D225" s="126"/>
      <c r="E225" s="126"/>
      <c r="F225" s="122" t="str">
        <f t="shared" si="76"/>
        <v/>
      </c>
      <c r="G225" s="186"/>
      <c r="H225" s="124"/>
      <c r="I225" s="239"/>
      <c r="J225" s="80" t="str">
        <f t="shared" si="79"/>
        <v/>
      </c>
      <c r="K225" s="177">
        <f t="shared" si="74"/>
        <v>0</v>
      </c>
      <c r="L225" s="160"/>
      <c r="M225" s="161"/>
      <c r="N225" s="162"/>
      <c r="O225" s="162"/>
      <c r="P225" s="163"/>
      <c r="Q225" s="202"/>
      <c r="R225" s="204"/>
      <c r="S225" s="211"/>
      <c r="T225" s="211"/>
      <c r="U225" s="211"/>
      <c r="V225" s="211"/>
      <c r="W225" s="211"/>
      <c r="X225" s="154"/>
      <c r="Y225" s="173" t="str">
        <f t="shared" si="72"/>
        <v/>
      </c>
      <c r="Z225" s="83" t="str">
        <f t="shared" si="80"/>
        <v/>
      </c>
      <c r="AA225" s="84" t="str">
        <f t="shared" si="70"/>
        <v/>
      </c>
      <c r="AB225" s="84" t="str">
        <f t="shared" si="71"/>
        <v/>
      </c>
      <c r="AC225" s="84" t="str">
        <f t="shared" si="81"/>
        <v/>
      </c>
      <c r="AD225" s="84"/>
      <c r="AE225" s="84" t="str">
        <f t="shared" si="67"/>
        <v/>
      </c>
      <c r="AF225" s="84">
        <f t="shared" si="78"/>
        <v>0</v>
      </c>
      <c r="AG225" s="94" t="str">
        <f t="shared" si="68"/>
        <v/>
      </c>
      <c r="AH225" s="85" t="str">
        <f>IFERROR(VLOOKUP(A225,CUSTOMERS!$A:$E,4),"")</f>
        <v/>
      </c>
      <c r="AI225" s="86" t="str">
        <f t="shared" si="75"/>
        <v/>
      </c>
      <c r="AJ225" s="87" t="str">
        <f>IFERROR(VLOOKUP(A225,CUSTOMERS!$A:$F,5),"")</f>
        <v/>
      </c>
      <c r="AK225" s="96"/>
      <c r="AL225" s="96">
        <v>0</v>
      </c>
      <c r="AM225" s="96">
        <v>0</v>
      </c>
      <c r="AN225" s="96"/>
      <c r="AO225" s="96">
        <v>0</v>
      </c>
      <c r="AP225" s="103">
        <f t="shared" si="82"/>
        <v>0</v>
      </c>
      <c r="AQ225" s="103" t="str">
        <f t="shared" si="73"/>
        <v/>
      </c>
      <c r="AR225" s="68" t="str">
        <f>IFERROR(VLOOKUP(A225,CUSTOMERS!$A:$B,2),"")</f>
        <v/>
      </c>
      <c r="AS225" s="68" t="str">
        <f>IFERROR(VLOOKUP(A225,CUSTOMERS!$A:$D,3),"")</f>
        <v/>
      </c>
      <c r="AT225" s="68" t="str">
        <f>IFERROR(VLOOKUP(A225,CUSTOMERS!$A:$F,6),"")</f>
        <v/>
      </c>
      <c r="AU225" s="69" t="str">
        <f>IFERROR(VLOOKUP(A225,CUSTOMERS!$A:$E,4),"")</f>
        <v/>
      </c>
      <c r="AV225" s="68" t="str">
        <f t="shared" si="69"/>
        <v/>
      </c>
      <c r="AX225" s="71" t="str">
        <f t="shared" si="83"/>
        <v>reason225</v>
      </c>
    </row>
    <row r="226" spans="1:50" ht="50.25" customHeight="1">
      <c r="A226" s="188"/>
      <c r="B226" s="125" t="str">
        <f t="shared" si="77"/>
        <v/>
      </c>
      <c r="C226" s="125"/>
      <c r="D226" s="126"/>
      <c r="E226" s="126"/>
      <c r="F226" s="122" t="str">
        <f t="shared" si="76"/>
        <v/>
      </c>
      <c r="G226" s="186"/>
      <c r="H226" s="124"/>
      <c r="I226" s="239"/>
      <c r="J226" s="80" t="str">
        <f t="shared" si="79"/>
        <v/>
      </c>
      <c r="K226" s="177">
        <f t="shared" si="74"/>
        <v>0</v>
      </c>
      <c r="L226" s="160"/>
      <c r="M226" s="161"/>
      <c r="N226" s="162"/>
      <c r="O226" s="162"/>
      <c r="P226" s="163"/>
      <c r="Q226" s="202"/>
      <c r="R226" s="204"/>
      <c r="S226" s="211"/>
      <c r="T226" s="211"/>
      <c r="U226" s="211"/>
      <c r="V226" s="211"/>
      <c r="W226" s="211"/>
      <c r="X226" s="154"/>
      <c r="Y226" s="173" t="str">
        <f t="shared" si="72"/>
        <v/>
      </c>
      <c r="Z226" s="83" t="str">
        <f t="shared" si="80"/>
        <v/>
      </c>
      <c r="AA226" s="84" t="str">
        <f t="shared" si="70"/>
        <v/>
      </c>
      <c r="AB226" s="84" t="str">
        <f t="shared" si="71"/>
        <v/>
      </c>
      <c r="AC226" s="84" t="str">
        <f t="shared" si="81"/>
        <v/>
      </c>
      <c r="AD226" s="84"/>
      <c r="AE226" s="84" t="str">
        <f t="shared" si="67"/>
        <v/>
      </c>
      <c r="AF226" s="84">
        <f t="shared" si="78"/>
        <v>0</v>
      </c>
      <c r="AG226" s="94" t="str">
        <f t="shared" si="68"/>
        <v/>
      </c>
      <c r="AH226" s="85" t="str">
        <f>IFERROR(VLOOKUP(A226,CUSTOMERS!$A:$E,4),"")</f>
        <v/>
      </c>
      <c r="AI226" s="86" t="str">
        <f t="shared" si="75"/>
        <v/>
      </c>
      <c r="AJ226" s="87" t="str">
        <f>IFERROR(VLOOKUP(A226,CUSTOMERS!$A:$F,5),"")</f>
        <v/>
      </c>
      <c r="AK226" s="96"/>
      <c r="AL226" s="96">
        <v>0</v>
      </c>
      <c r="AM226" s="96">
        <v>0</v>
      </c>
      <c r="AN226" s="96"/>
      <c r="AO226" s="96">
        <v>0</v>
      </c>
      <c r="AP226" s="103">
        <f t="shared" si="82"/>
        <v>0</v>
      </c>
      <c r="AQ226" s="103" t="str">
        <f t="shared" si="73"/>
        <v/>
      </c>
      <c r="AR226" s="68" t="str">
        <f>IFERROR(VLOOKUP(A226,CUSTOMERS!$A:$B,2),"")</f>
        <v/>
      </c>
      <c r="AS226" s="68" t="str">
        <f>IFERROR(VLOOKUP(A226,CUSTOMERS!$A:$D,3),"")</f>
        <v/>
      </c>
      <c r="AT226" s="68" t="str">
        <f>IFERROR(VLOOKUP(A226,CUSTOMERS!$A:$F,6),"")</f>
        <v/>
      </c>
      <c r="AU226" s="69" t="str">
        <f>IFERROR(VLOOKUP(A226,CUSTOMERS!$A:$E,4),"")</f>
        <v/>
      </c>
      <c r="AV226" s="68" t="str">
        <f t="shared" si="69"/>
        <v/>
      </c>
      <c r="AX226" s="71" t="str">
        <f t="shared" si="83"/>
        <v>reason226</v>
      </c>
    </row>
    <row r="227" spans="1:50" ht="50.25" customHeight="1">
      <c r="A227" s="188"/>
      <c r="B227" s="125" t="str">
        <f t="shared" si="77"/>
        <v/>
      </c>
      <c r="C227" s="125"/>
      <c r="D227" s="126"/>
      <c r="E227" s="126"/>
      <c r="F227" s="122" t="str">
        <f t="shared" si="76"/>
        <v/>
      </c>
      <c r="G227" s="186"/>
      <c r="H227" s="124"/>
      <c r="I227" s="239"/>
      <c r="J227" s="80" t="str">
        <f t="shared" si="79"/>
        <v/>
      </c>
      <c r="K227" s="177">
        <f t="shared" si="74"/>
        <v>0</v>
      </c>
      <c r="L227" s="160"/>
      <c r="M227" s="161"/>
      <c r="N227" s="162"/>
      <c r="O227" s="162"/>
      <c r="P227" s="163"/>
      <c r="Q227" s="202"/>
      <c r="R227" s="204"/>
      <c r="S227" s="211"/>
      <c r="T227" s="211"/>
      <c r="U227" s="211"/>
      <c r="V227" s="211"/>
      <c r="W227" s="211"/>
      <c r="X227" s="154"/>
      <c r="Y227" s="173" t="str">
        <f t="shared" si="72"/>
        <v/>
      </c>
      <c r="Z227" s="83" t="str">
        <f t="shared" si="80"/>
        <v/>
      </c>
      <c r="AA227" s="84" t="str">
        <f t="shared" si="70"/>
        <v/>
      </c>
      <c r="AB227" s="84" t="str">
        <f t="shared" si="71"/>
        <v/>
      </c>
      <c r="AC227" s="84" t="str">
        <f t="shared" si="81"/>
        <v/>
      </c>
      <c r="AD227" s="84"/>
      <c r="AE227" s="84" t="str">
        <f t="shared" ref="AE227:AE290" si="84">IFERROR((AO227*AH227)*7.5,"")</f>
        <v/>
      </c>
      <c r="AF227" s="84">
        <f t="shared" si="78"/>
        <v>0</v>
      </c>
      <c r="AG227" s="94" t="str">
        <f t="shared" ref="AG227:AG290" si="85">IFERROR((AQ227*AH227)*7.5,"")</f>
        <v/>
      </c>
      <c r="AH227" s="85" t="str">
        <f>IFERROR(VLOOKUP(A227,CUSTOMERS!$A:$E,4),"")</f>
        <v/>
      </c>
      <c r="AI227" s="86" t="str">
        <f t="shared" si="75"/>
        <v/>
      </c>
      <c r="AJ227" s="87" t="str">
        <f>IFERROR(VLOOKUP(A227,CUSTOMERS!$A:$F,5),"")</f>
        <v/>
      </c>
      <c r="AK227" s="96"/>
      <c r="AL227" s="96">
        <v>0</v>
      </c>
      <c r="AM227" s="96">
        <v>0</v>
      </c>
      <c r="AN227" s="96"/>
      <c r="AO227" s="96">
        <v>0</v>
      </c>
      <c r="AP227" s="103">
        <f t="shared" si="82"/>
        <v>0</v>
      </c>
      <c r="AQ227" s="103" t="str">
        <f t="shared" si="73"/>
        <v/>
      </c>
      <c r="AR227" s="68" t="str">
        <f>IFERROR(VLOOKUP(A227,CUSTOMERS!$A:$B,2),"")</f>
        <v/>
      </c>
      <c r="AS227" s="68" t="str">
        <f>IFERROR(VLOOKUP(A227,CUSTOMERS!$A:$D,3),"")</f>
        <v/>
      </c>
      <c r="AT227" s="68" t="str">
        <f>IFERROR(VLOOKUP(A227,CUSTOMERS!$A:$F,6),"")</f>
        <v/>
      </c>
      <c r="AU227" s="69" t="str">
        <f>IFERROR(VLOOKUP(A227,CUSTOMERS!$A:$E,4),"")</f>
        <v/>
      </c>
      <c r="AV227" s="68" t="str">
        <f t="shared" si="69"/>
        <v/>
      </c>
      <c r="AX227" s="71" t="str">
        <f t="shared" si="83"/>
        <v>reason227</v>
      </c>
    </row>
    <row r="228" spans="1:50" ht="50.25" customHeight="1">
      <c r="A228" s="188"/>
      <c r="B228" s="125" t="str">
        <f t="shared" si="77"/>
        <v/>
      </c>
      <c r="C228" s="125"/>
      <c r="D228" s="126"/>
      <c r="E228" s="126"/>
      <c r="F228" s="122" t="str">
        <f t="shared" si="76"/>
        <v/>
      </c>
      <c r="G228" s="186"/>
      <c r="H228" s="124"/>
      <c r="I228" s="239"/>
      <c r="J228" s="80" t="str">
        <f t="shared" si="79"/>
        <v/>
      </c>
      <c r="K228" s="177">
        <f t="shared" si="74"/>
        <v>0</v>
      </c>
      <c r="L228" s="160"/>
      <c r="M228" s="161"/>
      <c r="N228" s="162"/>
      <c r="O228" s="162"/>
      <c r="P228" s="163"/>
      <c r="Q228" s="202"/>
      <c r="R228" s="204"/>
      <c r="S228" s="211"/>
      <c r="T228" s="211"/>
      <c r="U228" s="211"/>
      <c r="V228" s="211"/>
      <c r="W228" s="211"/>
      <c r="X228" s="154"/>
      <c r="Y228" s="173" t="str">
        <f t="shared" si="72"/>
        <v/>
      </c>
      <c r="Z228" s="83" t="str">
        <f t="shared" si="80"/>
        <v/>
      </c>
      <c r="AA228" s="84" t="str">
        <f t="shared" si="70"/>
        <v/>
      </c>
      <c r="AB228" s="84" t="str">
        <f t="shared" si="71"/>
        <v/>
      </c>
      <c r="AC228" s="84" t="str">
        <f t="shared" si="81"/>
        <v/>
      </c>
      <c r="AD228" s="84"/>
      <c r="AE228" s="84" t="str">
        <f t="shared" si="84"/>
        <v/>
      </c>
      <c r="AF228" s="84">
        <f t="shared" si="78"/>
        <v>0</v>
      </c>
      <c r="AG228" s="94" t="str">
        <f t="shared" si="85"/>
        <v/>
      </c>
      <c r="AH228" s="85" t="str">
        <f>IFERROR(VLOOKUP(A228,CUSTOMERS!$A:$E,4),"")</f>
        <v/>
      </c>
      <c r="AI228" s="86" t="str">
        <f t="shared" si="75"/>
        <v/>
      </c>
      <c r="AJ228" s="87" t="str">
        <f>IFERROR(VLOOKUP(A228,CUSTOMERS!$A:$F,5),"")</f>
        <v/>
      </c>
      <c r="AK228" s="96"/>
      <c r="AL228" s="96">
        <v>0</v>
      </c>
      <c r="AM228" s="96">
        <v>0</v>
      </c>
      <c r="AN228" s="96"/>
      <c r="AO228" s="96">
        <v>0</v>
      </c>
      <c r="AP228" s="103">
        <f t="shared" si="82"/>
        <v>0</v>
      </c>
      <c r="AQ228" s="103" t="str">
        <f t="shared" si="73"/>
        <v/>
      </c>
      <c r="AR228" s="68" t="str">
        <f>IFERROR(VLOOKUP(A228,CUSTOMERS!$A:$B,2),"")</f>
        <v/>
      </c>
      <c r="AS228" s="68" t="str">
        <f>IFERROR(VLOOKUP(A228,CUSTOMERS!$A:$D,3),"")</f>
        <v/>
      </c>
      <c r="AT228" s="68" t="str">
        <f>IFERROR(VLOOKUP(A228,CUSTOMERS!$A:$F,6),"")</f>
        <v/>
      </c>
      <c r="AU228" s="69" t="str">
        <f>IFERROR(VLOOKUP(A228,CUSTOMERS!$A:$E,4),"")</f>
        <v/>
      </c>
      <c r="AV228" s="68" t="str">
        <f t="shared" si="69"/>
        <v/>
      </c>
      <c r="AX228" s="71" t="str">
        <f t="shared" si="83"/>
        <v>reason228</v>
      </c>
    </row>
    <row r="229" spans="1:50" ht="50.25" customHeight="1">
      <c r="A229" s="188"/>
      <c r="B229" s="125" t="str">
        <f t="shared" si="77"/>
        <v/>
      </c>
      <c r="C229" s="125"/>
      <c r="D229" s="126"/>
      <c r="E229" s="126"/>
      <c r="F229" s="122" t="str">
        <f t="shared" si="76"/>
        <v/>
      </c>
      <c r="G229" s="186"/>
      <c r="H229" s="124"/>
      <c r="I229" s="239"/>
      <c r="J229" s="80" t="str">
        <f t="shared" si="79"/>
        <v/>
      </c>
      <c r="K229" s="177">
        <f t="shared" si="74"/>
        <v>0</v>
      </c>
      <c r="L229" s="160"/>
      <c r="M229" s="161"/>
      <c r="N229" s="162"/>
      <c r="O229" s="162"/>
      <c r="P229" s="163"/>
      <c r="Q229" s="202"/>
      <c r="R229" s="204"/>
      <c r="S229" s="211"/>
      <c r="T229" s="211"/>
      <c r="U229" s="211"/>
      <c r="V229" s="211"/>
      <c r="W229" s="211"/>
      <c r="X229" s="154"/>
      <c r="Y229" s="173" t="str">
        <f t="shared" si="72"/>
        <v/>
      </c>
      <c r="Z229" s="83" t="str">
        <f t="shared" si="80"/>
        <v/>
      </c>
      <c r="AA229" s="84" t="str">
        <f t="shared" si="70"/>
        <v/>
      </c>
      <c r="AB229" s="84" t="str">
        <f t="shared" si="71"/>
        <v/>
      </c>
      <c r="AC229" s="84" t="str">
        <f t="shared" si="81"/>
        <v/>
      </c>
      <c r="AD229" s="84"/>
      <c r="AE229" s="84" t="str">
        <f t="shared" si="84"/>
        <v/>
      </c>
      <c r="AF229" s="84">
        <f t="shared" si="78"/>
        <v>0</v>
      </c>
      <c r="AG229" s="94" t="str">
        <f t="shared" si="85"/>
        <v/>
      </c>
      <c r="AH229" s="85" t="str">
        <f>IFERROR(VLOOKUP(A229,CUSTOMERS!$A:$E,4),"")</f>
        <v/>
      </c>
      <c r="AI229" s="86" t="str">
        <f t="shared" si="75"/>
        <v/>
      </c>
      <c r="AJ229" s="87" t="str">
        <f>IFERROR(VLOOKUP(A229,CUSTOMERS!$A:$F,5),"")</f>
        <v/>
      </c>
      <c r="AK229" s="96"/>
      <c r="AL229" s="96">
        <v>0</v>
      </c>
      <c r="AM229" s="96">
        <v>0</v>
      </c>
      <c r="AN229" s="96"/>
      <c r="AO229" s="96">
        <v>0</v>
      </c>
      <c r="AP229" s="103">
        <f t="shared" si="82"/>
        <v>0</v>
      </c>
      <c r="AQ229" s="103" t="str">
        <f t="shared" si="73"/>
        <v/>
      </c>
      <c r="AR229" s="68" t="str">
        <f>IFERROR(VLOOKUP(A229,CUSTOMERS!$A:$B,2),"")</f>
        <v/>
      </c>
      <c r="AS229" s="68" t="str">
        <f>IFERROR(VLOOKUP(A229,CUSTOMERS!$A:$D,3),"")</f>
        <v/>
      </c>
      <c r="AT229" s="68" t="str">
        <f>IFERROR(VLOOKUP(A229,CUSTOMERS!$A:$F,6),"")</f>
        <v/>
      </c>
      <c r="AU229" s="69" t="str">
        <f>IFERROR(VLOOKUP(A229,CUSTOMERS!$A:$E,4),"")</f>
        <v/>
      </c>
      <c r="AV229" s="68" t="str">
        <f t="shared" si="69"/>
        <v/>
      </c>
      <c r="AX229" s="71" t="str">
        <f t="shared" si="83"/>
        <v>reason229</v>
      </c>
    </row>
    <row r="230" spans="1:50" ht="50.25" customHeight="1">
      <c r="A230" s="188"/>
      <c r="B230" s="125" t="str">
        <f t="shared" si="77"/>
        <v/>
      </c>
      <c r="C230" s="125"/>
      <c r="D230" s="126"/>
      <c r="E230" s="126"/>
      <c r="F230" s="122" t="str">
        <f t="shared" si="76"/>
        <v/>
      </c>
      <c r="G230" s="186"/>
      <c r="H230" s="124"/>
      <c r="I230" s="239"/>
      <c r="J230" s="80" t="str">
        <f t="shared" si="79"/>
        <v/>
      </c>
      <c r="K230" s="177">
        <f t="shared" si="74"/>
        <v>0</v>
      </c>
      <c r="L230" s="160"/>
      <c r="M230" s="161"/>
      <c r="N230" s="162"/>
      <c r="O230" s="162"/>
      <c r="P230" s="163"/>
      <c r="Q230" s="202"/>
      <c r="R230" s="204"/>
      <c r="S230" s="211"/>
      <c r="T230" s="211"/>
      <c r="U230" s="211"/>
      <c r="V230" s="211"/>
      <c r="W230" s="211"/>
      <c r="X230" s="154"/>
      <c r="Y230" s="173" t="str">
        <f t="shared" si="72"/>
        <v/>
      </c>
      <c r="Z230" s="83" t="str">
        <f t="shared" si="80"/>
        <v/>
      </c>
      <c r="AA230" s="84" t="str">
        <f t="shared" si="70"/>
        <v/>
      </c>
      <c r="AB230" s="84" t="str">
        <f t="shared" si="71"/>
        <v/>
      </c>
      <c r="AC230" s="84" t="str">
        <f t="shared" si="81"/>
        <v/>
      </c>
      <c r="AD230" s="84"/>
      <c r="AE230" s="84" t="str">
        <f t="shared" si="84"/>
        <v/>
      </c>
      <c r="AF230" s="84">
        <f t="shared" si="78"/>
        <v>0</v>
      </c>
      <c r="AG230" s="94" t="str">
        <f t="shared" si="85"/>
        <v/>
      </c>
      <c r="AH230" s="85" t="str">
        <f>IFERROR(VLOOKUP(A230,CUSTOMERS!$A:$E,4),"")</f>
        <v/>
      </c>
      <c r="AI230" s="86" t="str">
        <f t="shared" si="75"/>
        <v/>
      </c>
      <c r="AJ230" s="87" t="str">
        <f>IFERROR(VLOOKUP(A230,CUSTOMERS!$A:$F,5),"")</f>
        <v/>
      </c>
      <c r="AK230" s="96"/>
      <c r="AL230" s="96">
        <v>0</v>
      </c>
      <c r="AM230" s="96">
        <v>0</v>
      </c>
      <c r="AN230" s="96"/>
      <c r="AO230" s="96">
        <v>0</v>
      </c>
      <c r="AP230" s="103">
        <f t="shared" si="82"/>
        <v>0</v>
      </c>
      <c r="AQ230" s="103" t="str">
        <f t="shared" si="73"/>
        <v/>
      </c>
      <c r="AR230" s="68" t="str">
        <f>IFERROR(VLOOKUP(A230,CUSTOMERS!$A:$B,2),"")</f>
        <v/>
      </c>
      <c r="AS230" s="68" t="str">
        <f>IFERROR(VLOOKUP(A230,CUSTOMERS!$A:$D,3),"")</f>
        <v/>
      </c>
      <c r="AT230" s="68" t="str">
        <f>IFERROR(VLOOKUP(A230,CUSTOMERS!$A:$F,6),"")</f>
        <v/>
      </c>
      <c r="AU230" s="69" t="str">
        <f>IFERROR(VLOOKUP(A230,CUSTOMERS!$A:$E,4),"")</f>
        <v/>
      </c>
      <c r="AV230" s="68" t="str">
        <f t="shared" si="69"/>
        <v/>
      </c>
      <c r="AX230" s="71" t="str">
        <f t="shared" si="83"/>
        <v>reason230</v>
      </c>
    </row>
    <row r="231" spans="1:50" ht="50.25" customHeight="1">
      <c r="A231" s="188"/>
      <c r="B231" s="125" t="str">
        <f t="shared" si="77"/>
        <v/>
      </c>
      <c r="C231" s="125"/>
      <c r="D231" s="126"/>
      <c r="E231" s="126"/>
      <c r="F231" s="122" t="str">
        <f t="shared" si="76"/>
        <v/>
      </c>
      <c r="G231" s="186"/>
      <c r="H231" s="124"/>
      <c r="I231" s="239"/>
      <c r="J231" s="80" t="str">
        <f t="shared" si="79"/>
        <v/>
      </c>
      <c r="K231" s="177">
        <f t="shared" si="74"/>
        <v>0</v>
      </c>
      <c r="L231" s="160"/>
      <c r="M231" s="161"/>
      <c r="N231" s="162"/>
      <c r="O231" s="162"/>
      <c r="P231" s="163"/>
      <c r="Q231" s="202"/>
      <c r="R231" s="204"/>
      <c r="S231" s="211"/>
      <c r="T231" s="211"/>
      <c r="U231" s="211"/>
      <c r="V231" s="211"/>
      <c r="W231" s="211"/>
      <c r="X231" s="154"/>
      <c r="Y231" s="173" t="str">
        <f t="shared" si="72"/>
        <v/>
      </c>
      <c r="Z231" s="83" t="str">
        <f t="shared" si="80"/>
        <v/>
      </c>
      <c r="AA231" s="84" t="str">
        <f t="shared" si="70"/>
        <v/>
      </c>
      <c r="AB231" s="84" t="str">
        <f t="shared" si="71"/>
        <v/>
      </c>
      <c r="AC231" s="84" t="str">
        <f t="shared" si="81"/>
        <v/>
      </c>
      <c r="AD231" s="84"/>
      <c r="AE231" s="84" t="str">
        <f t="shared" si="84"/>
        <v/>
      </c>
      <c r="AF231" s="84">
        <f t="shared" si="78"/>
        <v>0</v>
      </c>
      <c r="AG231" s="94" t="str">
        <f t="shared" si="85"/>
        <v/>
      </c>
      <c r="AH231" s="85" t="str">
        <f>IFERROR(VLOOKUP(A231,CUSTOMERS!$A:$E,4),"")</f>
        <v/>
      </c>
      <c r="AI231" s="86" t="str">
        <f t="shared" si="75"/>
        <v/>
      </c>
      <c r="AJ231" s="87" t="str">
        <f>IFERROR(VLOOKUP(A231,CUSTOMERS!$A:$F,5),"")</f>
        <v/>
      </c>
      <c r="AK231" s="98"/>
      <c r="AL231" s="98">
        <v>0</v>
      </c>
      <c r="AM231" s="99">
        <v>0</v>
      </c>
      <c r="AN231" s="99"/>
      <c r="AO231" s="99">
        <v>0</v>
      </c>
      <c r="AP231" s="103">
        <f t="shared" si="82"/>
        <v>0</v>
      </c>
      <c r="AQ231" s="103" t="str">
        <f t="shared" si="73"/>
        <v/>
      </c>
      <c r="AR231" s="68" t="str">
        <f>IFERROR(VLOOKUP(A231,CUSTOMERS!$A:$B,2),"")</f>
        <v/>
      </c>
      <c r="AS231" s="68" t="str">
        <f>IFERROR(VLOOKUP(A231,CUSTOMERS!$A:$D,3),"")</f>
        <v/>
      </c>
      <c r="AT231" s="68" t="str">
        <f>IFERROR(VLOOKUP(A231,CUSTOMERS!$A:$F,6),"")</f>
        <v/>
      </c>
      <c r="AU231" s="69" t="str">
        <f>IFERROR(VLOOKUP(A231,CUSTOMERS!$A:$E,4),"")</f>
        <v/>
      </c>
      <c r="AV231" s="68" t="str">
        <f t="shared" si="69"/>
        <v/>
      </c>
      <c r="AX231" s="71" t="str">
        <f t="shared" si="83"/>
        <v>reason231</v>
      </c>
    </row>
    <row r="232" spans="1:50" ht="50.25" customHeight="1">
      <c r="A232" s="188"/>
      <c r="B232" s="125" t="str">
        <f t="shared" si="77"/>
        <v/>
      </c>
      <c r="C232" s="125"/>
      <c r="D232" s="126"/>
      <c r="E232" s="126"/>
      <c r="F232" s="122" t="str">
        <f t="shared" si="76"/>
        <v/>
      </c>
      <c r="G232" s="186"/>
      <c r="H232" s="124"/>
      <c r="I232" s="239"/>
      <c r="J232" s="80" t="str">
        <f t="shared" si="79"/>
        <v/>
      </c>
      <c r="K232" s="177">
        <f t="shared" si="74"/>
        <v>0</v>
      </c>
      <c r="L232" s="160"/>
      <c r="M232" s="161"/>
      <c r="N232" s="162"/>
      <c r="O232" s="162"/>
      <c r="P232" s="163"/>
      <c r="Q232" s="202"/>
      <c r="R232" s="204"/>
      <c r="S232" s="211"/>
      <c r="T232" s="211"/>
      <c r="U232" s="211"/>
      <c r="V232" s="211"/>
      <c r="W232" s="211"/>
      <c r="X232" s="154"/>
      <c r="Y232" s="173" t="str">
        <f t="shared" si="72"/>
        <v/>
      </c>
      <c r="Z232" s="83" t="str">
        <f t="shared" si="80"/>
        <v/>
      </c>
      <c r="AA232" s="84" t="str">
        <f t="shared" si="70"/>
        <v/>
      </c>
      <c r="AB232" s="84" t="str">
        <f t="shared" si="71"/>
        <v/>
      </c>
      <c r="AC232" s="84" t="str">
        <f t="shared" si="81"/>
        <v/>
      </c>
      <c r="AD232" s="84"/>
      <c r="AE232" s="84" t="str">
        <f t="shared" si="84"/>
        <v/>
      </c>
      <c r="AF232" s="84">
        <f t="shared" si="78"/>
        <v>0</v>
      </c>
      <c r="AG232" s="94" t="str">
        <f t="shared" si="85"/>
        <v/>
      </c>
      <c r="AH232" s="85" t="str">
        <f>IFERROR(VLOOKUP(A232,CUSTOMERS!$A:$E,4),"")</f>
        <v/>
      </c>
      <c r="AI232" s="86" t="str">
        <f t="shared" si="75"/>
        <v/>
      </c>
      <c r="AJ232" s="87" t="str">
        <f>IFERROR(VLOOKUP(A232,CUSTOMERS!$A:$F,5),"")</f>
        <v/>
      </c>
      <c r="AK232" s="98"/>
      <c r="AL232" s="98">
        <v>0</v>
      </c>
      <c r="AM232" s="99">
        <v>0</v>
      </c>
      <c r="AN232" s="99"/>
      <c r="AO232" s="99">
        <v>0</v>
      </c>
      <c r="AP232" s="103">
        <f t="shared" si="82"/>
        <v>0</v>
      </c>
      <c r="AQ232" s="103" t="str">
        <f t="shared" si="73"/>
        <v/>
      </c>
      <c r="AR232" s="68" t="str">
        <f>IFERROR(VLOOKUP(A232,CUSTOMERS!$A:$B,2),"")</f>
        <v/>
      </c>
      <c r="AS232" s="68" t="str">
        <f>IFERROR(VLOOKUP(A232,CUSTOMERS!$A:$D,3),"")</f>
        <v/>
      </c>
      <c r="AT232" s="68" t="str">
        <f>IFERROR(VLOOKUP(A232,CUSTOMERS!$A:$F,6),"")</f>
        <v/>
      </c>
      <c r="AU232" s="69" t="str">
        <f>IFERROR(VLOOKUP(A232,CUSTOMERS!$A:$E,4),"")</f>
        <v/>
      </c>
      <c r="AV232" s="68" t="str">
        <f t="shared" si="69"/>
        <v/>
      </c>
      <c r="AX232" s="71" t="str">
        <f t="shared" si="83"/>
        <v>reason232</v>
      </c>
    </row>
    <row r="233" spans="1:50" ht="50.25" customHeight="1">
      <c r="A233" s="188"/>
      <c r="B233" s="125" t="str">
        <f t="shared" si="77"/>
        <v/>
      </c>
      <c r="C233" s="125"/>
      <c r="D233" s="126"/>
      <c r="E233" s="126"/>
      <c r="F233" s="122" t="str">
        <f t="shared" si="76"/>
        <v/>
      </c>
      <c r="G233" s="186"/>
      <c r="H233" s="124"/>
      <c r="I233" s="239"/>
      <c r="J233" s="80" t="str">
        <f t="shared" si="79"/>
        <v/>
      </c>
      <c r="K233" s="177">
        <f t="shared" si="74"/>
        <v>0</v>
      </c>
      <c r="L233" s="160"/>
      <c r="M233" s="161"/>
      <c r="N233" s="162"/>
      <c r="O233" s="162"/>
      <c r="P233" s="163"/>
      <c r="Q233" s="202"/>
      <c r="R233" s="204"/>
      <c r="S233" s="211"/>
      <c r="T233" s="211"/>
      <c r="U233" s="211"/>
      <c r="V233" s="211"/>
      <c r="W233" s="211"/>
      <c r="X233" s="154"/>
      <c r="Y233" s="173" t="str">
        <f t="shared" si="72"/>
        <v/>
      </c>
      <c r="Z233" s="83" t="str">
        <f t="shared" si="80"/>
        <v/>
      </c>
      <c r="AA233" s="84" t="str">
        <f t="shared" si="70"/>
        <v/>
      </c>
      <c r="AB233" s="84" t="str">
        <f t="shared" si="71"/>
        <v/>
      </c>
      <c r="AC233" s="84" t="str">
        <f t="shared" si="81"/>
        <v/>
      </c>
      <c r="AD233" s="84"/>
      <c r="AE233" s="84" t="str">
        <f t="shared" si="84"/>
        <v/>
      </c>
      <c r="AF233" s="84">
        <f t="shared" si="78"/>
        <v>0</v>
      </c>
      <c r="AG233" s="94" t="str">
        <f t="shared" si="85"/>
        <v/>
      </c>
      <c r="AH233" s="85" t="str">
        <f>IFERROR(VLOOKUP(A233,CUSTOMERS!$A:$E,4),"")</f>
        <v/>
      </c>
      <c r="AI233" s="86" t="str">
        <f t="shared" si="75"/>
        <v/>
      </c>
      <c r="AJ233" s="87" t="str">
        <f>IFERROR(VLOOKUP(A233,CUSTOMERS!$A:$F,5),"")</f>
        <v/>
      </c>
      <c r="AK233" s="98"/>
      <c r="AL233" s="98">
        <v>0</v>
      </c>
      <c r="AM233" s="99">
        <v>0</v>
      </c>
      <c r="AN233" s="99"/>
      <c r="AO233" s="99">
        <v>0</v>
      </c>
      <c r="AP233" s="103">
        <f t="shared" si="82"/>
        <v>0</v>
      </c>
      <c r="AQ233" s="103" t="str">
        <f t="shared" si="73"/>
        <v/>
      </c>
      <c r="AR233" s="68" t="str">
        <f>IFERROR(VLOOKUP(A233,CUSTOMERS!$A:$B,2),"")</f>
        <v/>
      </c>
      <c r="AS233" s="68" t="str">
        <f>IFERROR(VLOOKUP(A233,CUSTOMERS!$A:$D,3),"")</f>
        <v/>
      </c>
      <c r="AT233" s="68" t="str">
        <f>IFERROR(VLOOKUP(A233,CUSTOMERS!$A:$F,6),"")</f>
        <v/>
      </c>
      <c r="AU233" s="69" t="str">
        <f>IFERROR(VLOOKUP(A233,CUSTOMERS!$A:$E,4),"")</f>
        <v/>
      </c>
      <c r="AV233" s="68" t="str">
        <f t="shared" si="69"/>
        <v/>
      </c>
      <c r="AX233" s="71" t="str">
        <f t="shared" si="83"/>
        <v>reason233</v>
      </c>
    </row>
    <row r="234" spans="1:50" ht="50.25" customHeight="1">
      <c r="A234" s="188"/>
      <c r="B234" s="125" t="str">
        <f t="shared" si="77"/>
        <v/>
      </c>
      <c r="C234" s="125"/>
      <c r="D234" s="126"/>
      <c r="E234" s="126"/>
      <c r="F234" s="122" t="str">
        <f t="shared" si="76"/>
        <v/>
      </c>
      <c r="G234" s="186"/>
      <c r="H234" s="124"/>
      <c r="I234" s="239"/>
      <c r="J234" s="80" t="str">
        <f t="shared" si="79"/>
        <v/>
      </c>
      <c r="K234" s="177">
        <f t="shared" si="74"/>
        <v>0</v>
      </c>
      <c r="L234" s="160"/>
      <c r="M234" s="161"/>
      <c r="N234" s="162"/>
      <c r="O234" s="162"/>
      <c r="P234" s="163"/>
      <c r="Q234" s="202"/>
      <c r="R234" s="204"/>
      <c r="S234" s="211"/>
      <c r="T234" s="211"/>
      <c r="U234" s="211"/>
      <c r="V234" s="211"/>
      <c r="W234" s="211"/>
      <c r="X234" s="154"/>
      <c r="Y234" s="173" t="str">
        <f t="shared" si="72"/>
        <v/>
      </c>
      <c r="Z234" s="83" t="str">
        <f t="shared" si="80"/>
        <v/>
      </c>
      <c r="AA234" s="84" t="str">
        <f t="shared" si="70"/>
        <v/>
      </c>
      <c r="AB234" s="84" t="str">
        <f t="shared" si="71"/>
        <v/>
      </c>
      <c r="AC234" s="84" t="str">
        <f t="shared" si="81"/>
        <v/>
      </c>
      <c r="AD234" s="84"/>
      <c r="AE234" s="84" t="str">
        <f t="shared" si="84"/>
        <v/>
      </c>
      <c r="AF234" s="84">
        <f t="shared" si="78"/>
        <v>0</v>
      </c>
      <c r="AG234" s="94" t="str">
        <f t="shared" si="85"/>
        <v/>
      </c>
      <c r="AH234" s="85" t="str">
        <f>IFERROR(VLOOKUP(A234,CUSTOMERS!$A:$E,4),"")</f>
        <v/>
      </c>
      <c r="AI234" s="86" t="str">
        <f t="shared" si="75"/>
        <v/>
      </c>
      <c r="AJ234" s="87" t="str">
        <f>IFERROR(VLOOKUP(A234,CUSTOMERS!$A:$F,5),"")</f>
        <v/>
      </c>
      <c r="AK234" s="98"/>
      <c r="AL234" s="98">
        <v>0</v>
      </c>
      <c r="AM234" s="99">
        <v>0</v>
      </c>
      <c r="AN234" s="99"/>
      <c r="AO234" s="99">
        <v>0</v>
      </c>
      <c r="AP234" s="103">
        <f t="shared" si="82"/>
        <v>0</v>
      </c>
      <c r="AQ234" s="103" t="str">
        <f t="shared" si="73"/>
        <v/>
      </c>
      <c r="AR234" s="68" t="str">
        <f>IFERROR(VLOOKUP(A234,CUSTOMERS!$A:$B,2),"")</f>
        <v/>
      </c>
      <c r="AS234" s="68" t="str">
        <f>IFERROR(VLOOKUP(A234,CUSTOMERS!$A:$D,3),"")</f>
        <v/>
      </c>
      <c r="AT234" s="68" t="str">
        <f>IFERROR(VLOOKUP(A234,CUSTOMERS!$A:$F,6),"")</f>
        <v/>
      </c>
      <c r="AU234" s="69" t="str">
        <f>IFERROR(VLOOKUP(A234,CUSTOMERS!$A:$E,4),"")</f>
        <v/>
      </c>
      <c r="AV234" s="68" t="str">
        <f t="shared" ref="AV234:AV297" si="86">IF(AH234&lt;&gt;AU234,"Y","")</f>
        <v/>
      </c>
      <c r="AX234" s="71" t="str">
        <f t="shared" si="83"/>
        <v>reason234</v>
      </c>
    </row>
    <row r="235" spans="1:50" ht="50.25" customHeight="1">
      <c r="A235" s="188"/>
      <c r="B235" s="125" t="str">
        <f t="shared" si="77"/>
        <v/>
      </c>
      <c r="C235" s="125"/>
      <c r="D235" s="126"/>
      <c r="E235" s="126"/>
      <c r="F235" s="122" t="str">
        <f t="shared" si="76"/>
        <v/>
      </c>
      <c r="G235" s="186"/>
      <c r="H235" s="124"/>
      <c r="I235" s="239"/>
      <c r="J235" s="80" t="str">
        <f t="shared" si="79"/>
        <v/>
      </c>
      <c r="K235" s="177">
        <f t="shared" si="74"/>
        <v>0</v>
      </c>
      <c r="L235" s="160"/>
      <c r="M235" s="161"/>
      <c r="N235" s="162"/>
      <c r="O235" s="162"/>
      <c r="P235" s="163"/>
      <c r="Q235" s="202"/>
      <c r="R235" s="204"/>
      <c r="S235" s="211"/>
      <c r="T235" s="211"/>
      <c r="U235" s="211"/>
      <c r="V235" s="211"/>
      <c r="W235" s="211"/>
      <c r="X235" s="154"/>
      <c r="Y235" s="173" t="str">
        <f t="shared" si="72"/>
        <v/>
      </c>
      <c r="Z235" s="83" t="str">
        <f t="shared" si="80"/>
        <v/>
      </c>
      <c r="AA235" s="84" t="str">
        <f t="shared" si="70"/>
        <v/>
      </c>
      <c r="AB235" s="84" t="str">
        <f t="shared" si="71"/>
        <v/>
      </c>
      <c r="AC235" s="84" t="str">
        <f t="shared" si="81"/>
        <v/>
      </c>
      <c r="AD235" s="84"/>
      <c r="AE235" s="84" t="str">
        <f t="shared" si="84"/>
        <v/>
      </c>
      <c r="AF235" s="84">
        <f t="shared" si="78"/>
        <v>0</v>
      </c>
      <c r="AG235" s="94" t="str">
        <f t="shared" si="85"/>
        <v/>
      </c>
      <c r="AH235" s="85" t="str">
        <f>IFERROR(VLOOKUP(A235,CUSTOMERS!$A:$E,4),"")</f>
        <v/>
      </c>
      <c r="AI235" s="86" t="str">
        <f t="shared" si="75"/>
        <v/>
      </c>
      <c r="AJ235" s="87" t="str">
        <f>IFERROR(VLOOKUP(A235,CUSTOMERS!$A:$F,5),"")</f>
        <v/>
      </c>
      <c r="AK235" s="98"/>
      <c r="AL235" s="98">
        <v>0</v>
      </c>
      <c r="AM235" s="99">
        <v>0</v>
      </c>
      <c r="AN235" s="99"/>
      <c r="AO235" s="99">
        <v>0</v>
      </c>
      <c r="AP235" s="103">
        <f t="shared" si="82"/>
        <v>0</v>
      </c>
      <c r="AQ235" s="103" t="str">
        <f t="shared" si="73"/>
        <v/>
      </c>
      <c r="AR235" s="68" t="str">
        <f>IFERROR(VLOOKUP(A235,CUSTOMERS!$A:$B,2),"")</f>
        <v/>
      </c>
      <c r="AS235" s="68" t="str">
        <f>IFERROR(VLOOKUP(A235,CUSTOMERS!$A:$D,3),"")</f>
        <v/>
      </c>
      <c r="AT235" s="68" t="str">
        <f>IFERROR(VLOOKUP(A235,CUSTOMERS!$A:$F,6),"")</f>
        <v/>
      </c>
      <c r="AU235" s="69" t="str">
        <f>IFERROR(VLOOKUP(A235,CUSTOMERS!$A:$E,4),"")</f>
        <v/>
      </c>
      <c r="AV235" s="68" t="str">
        <f t="shared" si="86"/>
        <v/>
      </c>
      <c r="AX235" s="71" t="str">
        <f t="shared" si="83"/>
        <v>reason235</v>
      </c>
    </row>
    <row r="236" spans="1:50" ht="50.25" customHeight="1">
      <c r="A236" s="188"/>
      <c r="B236" s="125" t="str">
        <f t="shared" si="77"/>
        <v/>
      </c>
      <c r="C236" s="125"/>
      <c r="D236" s="126"/>
      <c r="E236" s="126"/>
      <c r="F236" s="122" t="str">
        <f t="shared" si="76"/>
        <v/>
      </c>
      <c r="G236" s="186"/>
      <c r="H236" s="124"/>
      <c r="I236" s="239"/>
      <c r="J236" s="80" t="str">
        <f t="shared" si="79"/>
        <v/>
      </c>
      <c r="K236" s="177">
        <f t="shared" si="74"/>
        <v>0</v>
      </c>
      <c r="L236" s="160"/>
      <c r="M236" s="161"/>
      <c r="N236" s="162"/>
      <c r="O236" s="162"/>
      <c r="P236" s="163"/>
      <c r="Q236" s="202"/>
      <c r="R236" s="204"/>
      <c r="S236" s="211"/>
      <c r="T236" s="211"/>
      <c r="U236" s="211"/>
      <c r="V236" s="211"/>
      <c r="W236" s="211"/>
      <c r="X236" s="154"/>
      <c r="Y236" s="173" t="str">
        <f t="shared" si="72"/>
        <v/>
      </c>
      <c r="Z236" s="83" t="str">
        <f t="shared" si="80"/>
        <v/>
      </c>
      <c r="AA236" s="84" t="str">
        <f t="shared" si="70"/>
        <v/>
      </c>
      <c r="AB236" s="84" t="str">
        <f t="shared" si="71"/>
        <v/>
      </c>
      <c r="AC236" s="84" t="str">
        <f t="shared" si="81"/>
        <v/>
      </c>
      <c r="AD236" s="84"/>
      <c r="AE236" s="84" t="str">
        <f t="shared" si="84"/>
        <v/>
      </c>
      <c r="AF236" s="84">
        <f t="shared" si="78"/>
        <v>0</v>
      </c>
      <c r="AG236" s="94" t="str">
        <f t="shared" si="85"/>
        <v/>
      </c>
      <c r="AH236" s="85" t="str">
        <f>IFERROR(VLOOKUP(A236,CUSTOMERS!$A:$E,4),"")</f>
        <v/>
      </c>
      <c r="AI236" s="86" t="str">
        <f t="shared" si="75"/>
        <v/>
      </c>
      <c r="AJ236" s="87" t="str">
        <f>IFERROR(VLOOKUP(A236,CUSTOMERS!$A:$F,5),"")</f>
        <v/>
      </c>
      <c r="AK236" s="98"/>
      <c r="AL236" s="98">
        <v>0</v>
      </c>
      <c r="AM236" s="99">
        <v>0</v>
      </c>
      <c r="AN236" s="99"/>
      <c r="AO236" s="99">
        <v>0</v>
      </c>
      <c r="AP236" s="103">
        <f t="shared" si="82"/>
        <v>0</v>
      </c>
      <c r="AQ236" s="103" t="str">
        <f t="shared" si="73"/>
        <v/>
      </c>
      <c r="AR236" s="68" t="str">
        <f>IFERROR(VLOOKUP(A236,CUSTOMERS!$A:$B,2),"")</f>
        <v/>
      </c>
      <c r="AS236" s="68" t="str">
        <f>IFERROR(VLOOKUP(A236,CUSTOMERS!$A:$D,3),"")</f>
        <v/>
      </c>
      <c r="AT236" s="68" t="str">
        <f>IFERROR(VLOOKUP(A236,CUSTOMERS!$A:$F,6),"")</f>
        <v/>
      </c>
      <c r="AU236" s="69" t="str">
        <f>IFERROR(VLOOKUP(A236,CUSTOMERS!$A:$E,4),"")</f>
        <v/>
      </c>
      <c r="AV236" s="68" t="str">
        <f t="shared" si="86"/>
        <v/>
      </c>
      <c r="AX236" s="71" t="str">
        <f t="shared" si="83"/>
        <v>reason236</v>
      </c>
    </row>
    <row r="237" spans="1:50" ht="50.25" customHeight="1">
      <c r="A237" s="188"/>
      <c r="B237" s="125" t="str">
        <f t="shared" si="77"/>
        <v/>
      </c>
      <c r="C237" s="125"/>
      <c r="D237" s="126"/>
      <c r="E237" s="126"/>
      <c r="F237" s="122" t="str">
        <f t="shared" si="76"/>
        <v/>
      </c>
      <c r="G237" s="186"/>
      <c r="H237" s="124"/>
      <c r="I237" s="239"/>
      <c r="J237" s="80" t="str">
        <f t="shared" si="79"/>
        <v/>
      </c>
      <c r="K237" s="177">
        <f t="shared" si="74"/>
        <v>0</v>
      </c>
      <c r="L237" s="160"/>
      <c r="M237" s="161"/>
      <c r="N237" s="162"/>
      <c r="O237" s="162"/>
      <c r="P237" s="163"/>
      <c r="Q237" s="202"/>
      <c r="R237" s="204"/>
      <c r="S237" s="211"/>
      <c r="T237" s="211"/>
      <c r="U237" s="211"/>
      <c r="V237" s="211"/>
      <c r="W237" s="211"/>
      <c r="X237" s="154"/>
      <c r="Y237" s="173" t="str">
        <f t="shared" si="72"/>
        <v/>
      </c>
      <c r="Z237" s="83" t="str">
        <f t="shared" si="80"/>
        <v/>
      </c>
      <c r="AA237" s="84" t="str">
        <f t="shared" si="70"/>
        <v/>
      </c>
      <c r="AB237" s="84" t="str">
        <f t="shared" si="71"/>
        <v/>
      </c>
      <c r="AC237" s="84" t="str">
        <f t="shared" si="81"/>
        <v/>
      </c>
      <c r="AD237" s="84"/>
      <c r="AE237" s="84" t="str">
        <f t="shared" si="84"/>
        <v/>
      </c>
      <c r="AF237" s="84">
        <f t="shared" si="78"/>
        <v>0</v>
      </c>
      <c r="AG237" s="94" t="str">
        <f t="shared" si="85"/>
        <v/>
      </c>
      <c r="AH237" s="85" t="str">
        <f>IFERROR(VLOOKUP(A237,CUSTOMERS!$A:$E,4),"")</f>
        <v/>
      </c>
      <c r="AI237" s="86" t="str">
        <f t="shared" si="75"/>
        <v/>
      </c>
      <c r="AJ237" s="87" t="str">
        <f>IFERROR(VLOOKUP(A237,CUSTOMERS!$A:$F,5),"")</f>
        <v/>
      </c>
      <c r="AK237" s="98"/>
      <c r="AL237" s="98">
        <v>0</v>
      </c>
      <c r="AM237" s="99">
        <v>0</v>
      </c>
      <c r="AN237" s="99"/>
      <c r="AO237" s="99">
        <v>0</v>
      </c>
      <c r="AP237" s="103">
        <f t="shared" si="82"/>
        <v>0</v>
      </c>
      <c r="AQ237" s="103" t="str">
        <f t="shared" si="73"/>
        <v/>
      </c>
      <c r="AR237" s="68" t="str">
        <f>IFERROR(VLOOKUP(A237,CUSTOMERS!$A:$B,2),"")</f>
        <v/>
      </c>
      <c r="AS237" s="68" t="str">
        <f>IFERROR(VLOOKUP(A237,CUSTOMERS!$A:$D,3),"")</f>
        <v/>
      </c>
      <c r="AT237" s="68" t="str">
        <f>IFERROR(VLOOKUP(A237,CUSTOMERS!$A:$F,6),"")</f>
        <v/>
      </c>
      <c r="AU237" s="69" t="str">
        <f>IFERROR(VLOOKUP(A237,CUSTOMERS!$A:$E,4),"")</f>
        <v/>
      </c>
      <c r="AV237" s="68" t="str">
        <f t="shared" si="86"/>
        <v/>
      </c>
      <c r="AX237" s="71" t="str">
        <f t="shared" si="83"/>
        <v>reason237</v>
      </c>
    </row>
    <row r="238" spans="1:50" ht="50.25" customHeight="1">
      <c r="A238" s="188"/>
      <c r="B238" s="125" t="str">
        <f t="shared" si="77"/>
        <v/>
      </c>
      <c r="C238" s="125"/>
      <c r="D238" s="126"/>
      <c r="E238" s="126"/>
      <c r="F238" s="122" t="str">
        <f t="shared" si="76"/>
        <v/>
      </c>
      <c r="G238" s="186"/>
      <c r="H238" s="124"/>
      <c r="I238" s="239"/>
      <c r="J238" s="80" t="str">
        <f t="shared" si="79"/>
        <v/>
      </c>
      <c r="K238" s="177">
        <f t="shared" si="74"/>
        <v>0</v>
      </c>
      <c r="L238" s="160"/>
      <c r="M238" s="161"/>
      <c r="N238" s="162"/>
      <c r="O238" s="162"/>
      <c r="P238" s="163"/>
      <c r="Q238" s="202"/>
      <c r="R238" s="204"/>
      <c r="S238" s="211"/>
      <c r="T238" s="211"/>
      <c r="U238" s="211"/>
      <c r="V238" s="211"/>
      <c r="W238" s="211"/>
      <c r="X238" s="154"/>
      <c r="Y238" s="173" t="str">
        <f t="shared" si="72"/>
        <v/>
      </c>
      <c r="Z238" s="83" t="str">
        <f t="shared" si="80"/>
        <v/>
      </c>
      <c r="AA238" s="84" t="str">
        <f t="shared" si="70"/>
        <v/>
      </c>
      <c r="AB238" s="84" t="str">
        <f t="shared" si="71"/>
        <v/>
      </c>
      <c r="AC238" s="84" t="str">
        <f t="shared" si="81"/>
        <v/>
      </c>
      <c r="AD238" s="84"/>
      <c r="AE238" s="84" t="str">
        <f t="shared" si="84"/>
        <v/>
      </c>
      <c r="AF238" s="84">
        <f t="shared" si="78"/>
        <v>0</v>
      </c>
      <c r="AG238" s="94" t="str">
        <f t="shared" si="85"/>
        <v/>
      </c>
      <c r="AH238" s="85" t="str">
        <f>IFERROR(VLOOKUP(A238,CUSTOMERS!$A:$E,4),"")</f>
        <v/>
      </c>
      <c r="AI238" s="86" t="str">
        <f t="shared" si="75"/>
        <v/>
      </c>
      <c r="AJ238" s="87" t="str">
        <f>IFERROR(VLOOKUP(A238,CUSTOMERS!$A:$F,5),"")</f>
        <v/>
      </c>
      <c r="AK238" s="98"/>
      <c r="AL238" s="98">
        <v>0</v>
      </c>
      <c r="AM238" s="99">
        <v>0</v>
      </c>
      <c r="AN238" s="99"/>
      <c r="AO238" s="99">
        <v>0</v>
      </c>
      <c r="AP238" s="103">
        <f t="shared" si="82"/>
        <v>0</v>
      </c>
      <c r="AQ238" s="103" t="str">
        <f t="shared" si="73"/>
        <v/>
      </c>
      <c r="AR238" s="68" t="str">
        <f>IFERROR(VLOOKUP(A238,CUSTOMERS!$A:$B,2),"")</f>
        <v/>
      </c>
      <c r="AS238" s="68" t="str">
        <f>IFERROR(VLOOKUP(A238,CUSTOMERS!$A:$D,3),"")</f>
        <v/>
      </c>
      <c r="AT238" s="68" t="str">
        <f>IFERROR(VLOOKUP(A238,CUSTOMERS!$A:$F,6),"")</f>
        <v/>
      </c>
      <c r="AU238" s="69" t="str">
        <f>IFERROR(VLOOKUP(A238,CUSTOMERS!$A:$E,4),"")</f>
        <v/>
      </c>
      <c r="AV238" s="68" t="str">
        <f t="shared" si="86"/>
        <v/>
      </c>
      <c r="AX238" s="71" t="str">
        <f t="shared" si="83"/>
        <v>reason238</v>
      </c>
    </row>
    <row r="239" spans="1:50" ht="50.25" customHeight="1">
      <c r="A239" s="188"/>
      <c r="B239" s="125" t="str">
        <f t="shared" si="77"/>
        <v/>
      </c>
      <c r="C239" s="125"/>
      <c r="D239" s="126"/>
      <c r="E239" s="126"/>
      <c r="F239" s="122" t="str">
        <f t="shared" si="76"/>
        <v/>
      </c>
      <c r="G239" s="186"/>
      <c r="H239" s="124"/>
      <c r="I239" s="239"/>
      <c r="J239" s="80" t="str">
        <f t="shared" si="79"/>
        <v/>
      </c>
      <c r="K239" s="177">
        <f t="shared" si="74"/>
        <v>0</v>
      </c>
      <c r="L239" s="160"/>
      <c r="M239" s="161"/>
      <c r="N239" s="162"/>
      <c r="O239" s="162"/>
      <c r="P239" s="163"/>
      <c r="Q239" s="202"/>
      <c r="R239" s="204"/>
      <c r="S239" s="211"/>
      <c r="T239" s="211"/>
      <c r="U239" s="211"/>
      <c r="V239" s="211"/>
      <c r="W239" s="211"/>
      <c r="X239" s="154"/>
      <c r="Y239" s="173" t="str">
        <f t="shared" si="72"/>
        <v/>
      </c>
      <c r="Z239" s="83" t="str">
        <f t="shared" si="80"/>
        <v/>
      </c>
      <c r="AA239" s="84" t="str">
        <f t="shared" ref="AA239:AA302" si="87">IFERROR((AL239*AH239)*7.5,"")</f>
        <v/>
      </c>
      <c r="AB239" s="84" t="str">
        <f t="shared" ref="AB239:AB302" si="88">IFERROR((AM239*AH239)*7.5,"")</f>
        <v/>
      </c>
      <c r="AC239" s="84" t="str">
        <f t="shared" si="81"/>
        <v/>
      </c>
      <c r="AD239" s="84"/>
      <c r="AE239" s="84" t="str">
        <f t="shared" si="84"/>
        <v/>
      </c>
      <c r="AF239" s="84">
        <f t="shared" si="78"/>
        <v>0</v>
      </c>
      <c r="AG239" s="94" t="str">
        <f t="shared" si="85"/>
        <v/>
      </c>
      <c r="AH239" s="85" t="str">
        <f>IFERROR(VLOOKUP(A239,CUSTOMERS!$A:$E,4),"")</f>
        <v/>
      </c>
      <c r="AI239" s="86" t="str">
        <f t="shared" si="75"/>
        <v/>
      </c>
      <c r="AJ239" s="87" t="str">
        <f>IFERROR(VLOOKUP(A239,CUSTOMERS!$A:$F,5),"")</f>
        <v/>
      </c>
      <c r="AK239" s="98"/>
      <c r="AL239" s="98">
        <v>0</v>
      </c>
      <c r="AM239" s="99">
        <v>0</v>
      </c>
      <c r="AN239" s="99"/>
      <c r="AO239" s="99">
        <v>0</v>
      </c>
      <c r="AP239" s="103">
        <f t="shared" si="82"/>
        <v>0</v>
      </c>
      <c r="AQ239" s="103" t="str">
        <f t="shared" si="73"/>
        <v/>
      </c>
      <c r="AR239" s="68" t="str">
        <f>IFERROR(VLOOKUP(A239,CUSTOMERS!$A:$B,2),"")</f>
        <v/>
      </c>
      <c r="AS239" s="68" t="str">
        <f>IFERROR(VLOOKUP(A239,CUSTOMERS!$A:$D,3),"")</f>
        <v/>
      </c>
      <c r="AT239" s="68" t="str">
        <f>IFERROR(VLOOKUP(A239,CUSTOMERS!$A:$F,6),"")</f>
        <v/>
      </c>
      <c r="AU239" s="69" t="str">
        <f>IFERROR(VLOOKUP(A239,CUSTOMERS!$A:$E,4),"")</f>
        <v/>
      </c>
      <c r="AV239" s="68" t="str">
        <f t="shared" si="86"/>
        <v/>
      </c>
      <c r="AX239" s="71" t="str">
        <f t="shared" si="83"/>
        <v>reason239</v>
      </c>
    </row>
    <row r="240" spans="1:50" ht="50.25" customHeight="1">
      <c r="A240" s="188"/>
      <c r="B240" s="125" t="str">
        <f t="shared" si="77"/>
        <v/>
      </c>
      <c r="C240" s="125"/>
      <c r="D240" s="126"/>
      <c r="E240" s="126"/>
      <c r="F240" s="122" t="str">
        <f t="shared" si="76"/>
        <v/>
      </c>
      <c r="G240" s="186"/>
      <c r="H240" s="124"/>
      <c r="I240" s="239"/>
      <c r="J240" s="80" t="str">
        <f t="shared" si="79"/>
        <v/>
      </c>
      <c r="K240" s="177">
        <f t="shared" si="74"/>
        <v>0</v>
      </c>
      <c r="L240" s="160"/>
      <c r="M240" s="161"/>
      <c r="N240" s="162"/>
      <c r="O240" s="162"/>
      <c r="P240" s="163"/>
      <c r="Q240" s="202"/>
      <c r="R240" s="204"/>
      <c r="S240" s="211"/>
      <c r="T240" s="211"/>
      <c r="U240" s="211"/>
      <c r="V240" s="211"/>
      <c r="W240" s="211"/>
      <c r="X240" s="154"/>
      <c r="Y240" s="173" t="str">
        <f t="shared" ref="Y240:Y303" si="89">IFERROR(AF240+AG240,"")</f>
        <v/>
      </c>
      <c r="Z240" s="83" t="str">
        <f t="shared" si="80"/>
        <v/>
      </c>
      <c r="AA240" s="84" t="str">
        <f t="shared" si="87"/>
        <v/>
      </c>
      <c r="AB240" s="84" t="str">
        <f t="shared" si="88"/>
        <v/>
      </c>
      <c r="AC240" s="84" t="str">
        <f t="shared" si="81"/>
        <v/>
      </c>
      <c r="AD240" s="84"/>
      <c r="AE240" s="84" t="str">
        <f t="shared" si="84"/>
        <v/>
      </c>
      <c r="AF240" s="84">
        <f t="shared" si="78"/>
        <v>0</v>
      </c>
      <c r="AG240" s="94" t="str">
        <f t="shared" si="85"/>
        <v/>
      </c>
      <c r="AH240" s="85" t="str">
        <f>IFERROR(VLOOKUP(A240,CUSTOMERS!$A:$E,4),"")</f>
        <v/>
      </c>
      <c r="AI240" s="86" t="str">
        <f t="shared" si="75"/>
        <v/>
      </c>
      <c r="AJ240" s="87" t="str">
        <f>IFERROR(VLOOKUP(A240,CUSTOMERS!$A:$F,5),"")</f>
        <v/>
      </c>
      <c r="AK240" s="98"/>
      <c r="AL240" s="98">
        <v>0</v>
      </c>
      <c r="AM240" s="99">
        <v>0</v>
      </c>
      <c r="AN240" s="99"/>
      <c r="AO240" s="99">
        <v>0</v>
      </c>
      <c r="AP240" s="103">
        <f t="shared" si="82"/>
        <v>0</v>
      </c>
      <c r="AQ240" s="103" t="str">
        <f t="shared" si="73"/>
        <v/>
      </c>
      <c r="AR240" s="68" t="str">
        <f>IFERROR(VLOOKUP(A240,CUSTOMERS!$A:$B,2),"")</f>
        <v/>
      </c>
      <c r="AS240" s="68" t="str">
        <f>IFERROR(VLOOKUP(A240,CUSTOMERS!$A:$D,3),"")</f>
        <v/>
      </c>
      <c r="AT240" s="68" t="str">
        <f>IFERROR(VLOOKUP(A240,CUSTOMERS!$A:$F,6),"")</f>
        <v/>
      </c>
      <c r="AU240" s="69" t="str">
        <f>IFERROR(VLOOKUP(A240,CUSTOMERS!$A:$E,4),"")</f>
        <v/>
      </c>
      <c r="AV240" s="68" t="str">
        <f t="shared" si="86"/>
        <v/>
      </c>
      <c r="AX240" s="71" t="str">
        <f t="shared" si="83"/>
        <v>reason240</v>
      </c>
    </row>
    <row r="241" spans="1:50" ht="50.25" customHeight="1">
      <c r="A241" s="188"/>
      <c r="B241" s="125" t="str">
        <f t="shared" si="77"/>
        <v/>
      </c>
      <c r="C241" s="125"/>
      <c r="D241" s="126"/>
      <c r="E241" s="126"/>
      <c r="F241" s="122" t="str">
        <f t="shared" si="76"/>
        <v/>
      </c>
      <c r="G241" s="186"/>
      <c r="H241" s="124"/>
      <c r="I241" s="239"/>
      <c r="J241" s="80" t="str">
        <f t="shared" si="79"/>
        <v/>
      </c>
      <c r="K241" s="177">
        <f t="shared" si="74"/>
        <v>0</v>
      </c>
      <c r="L241" s="160"/>
      <c r="M241" s="161"/>
      <c r="N241" s="162"/>
      <c r="O241" s="162"/>
      <c r="P241" s="163"/>
      <c r="Q241" s="202"/>
      <c r="R241" s="204"/>
      <c r="S241" s="211"/>
      <c r="T241" s="211"/>
      <c r="U241" s="211"/>
      <c r="V241" s="211"/>
      <c r="W241" s="211"/>
      <c r="X241" s="154"/>
      <c r="Y241" s="173" t="str">
        <f t="shared" si="89"/>
        <v/>
      </c>
      <c r="Z241" s="83" t="str">
        <f t="shared" si="80"/>
        <v/>
      </c>
      <c r="AA241" s="84" t="str">
        <f t="shared" si="87"/>
        <v/>
      </c>
      <c r="AB241" s="84" t="str">
        <f t="shared" si="88"/>
        <v/>
      </c>
      <c r="AC241" s="84" t="str">
        <f t="shared" si="81"/>
        <v/>
      </c>
      <c r="AD241" s="84"/>
      <c r="AE241" s="84" t="str">
        <f t="shared" si="84"/>
        <v/>
      </c>
      <c r="AF241" s="84">
        <f t="shared" si="78"/>
        <v>0</v>
      </c>
      <c r="AG241" s="94" t="str">
        <f t="shared" si="85"/>
        <v/>
      </c>
      <c r="AH241" s="85" t="str">
        <f>IFERROR(VLOOKUP(A241,CUSTOMERS!$A:$E,4),"")</f>
        <v/>
      </c>
      <c r="AI241" s="86" t="str">
        <f t="shared" si="75"/>
        <v/>
      </c>
      <c r="AJ241" s="87" t="str">
        <f>IFERROR(VLOOKUP(A241,CUSTOMERS!$A:$F,5),"")</f>
        <v/>
      </c>
      <c r="AK241" s="98"/>
      <c r="AL241" s="98">
        <v>0</v>
      </c>
      <c r="AM241" s="99">
        <v>0</v>
      </c>
      <c r="AN241" s="99"/>
      <c r="AO241" s="99">
        <v>0</v>
      </c>
      <c r="AP241" s="103">
        <f t="shared" si="82"/>
        <v>0</v>
      </c>
      <c r="AQ241" s="103" t="str">
        <f t="shared" si="73"/>
        <v/>
      </c>
      <c r="AR241" s="68" t="str">
        <f>IFERROR(VLOOKUP(A241,CUSTOMERS!$A:$B,2),"")</f>
        <v/>
      </c>
      <c r="AS241" s="68" t="str">
        <f>IFERROR(VLOOKUP(A241,CUSTOMERS!$A:$D,3),"")</f>
        <v/>
      </c>
      <c r="AT241" s="68" t="str">
        <f>IFERROR(VLOOKUP(A241,CUSTOMERS!$A:$F,6),"")</f>
        <v/>
      </c>
      <c r="AU241" s="69" t="str">
        <f>IFERROR(VLOOKUP(A241,CUSTOMERS!$A:$E,4),"")</f>
        <v/>
      </c>
      <c r="AV241" s="68" t="str">
        <f t="shared" si="86"/>
        <v/>
      </c>
      <c r="AX241" s="71" t="str">
        <f t="shared" si="83"/>
        <v>reason241</v>
      </c>
    </row>
    <row r="242" spans="1:50" ht="50.25" customHeight="1">
      <c r="A242" s="188"/>
      <c r="B242" s="125" t="str">
        <f t="shared" si="77"/>
        <v/>
      </c>
      <c r="C242" s="125"/>
      <c r="D242" s="126"/>
      <c r="E242" s="126"/>
      <c r="F242" s="122" t="str">
        <f t="shared" si="76"/>
        <v/>
      </c>
      <c r="G242" s="186"/>
      <c r="H242" s="124"/>
      <c r="I242" s="239"/>
      <c r="J242" s="80" t="str">
        <f t="shared" si="79"/>
        <v/>
      </c>
      <c r="K242" s="177">
        <f t="shared" si="74"/>
        <v>0</v>
      </c>
      <c r="L242" s="160"/>
      <c r="M242" s="161"/>
      <c r="N242" s="162"/>
      <c r="O242" s="162"/>
      <c r="P242" s="163"/>
      <c r="Q242" s="202"/>
      <c r="R242" s="204"/>
      <c r="S242" s="211"/>
      <c r="T242" s="211"/>
      <c r="U242" s="211"/>
      <c r="V242" s="211"/>
      <c r="W242" s="211"/>
      <c r="X242" s="154"/>
      <c r="Y242" s="173" t="str">
        <f t="shared" si="89"/>
        <v/>
      </c>
      <c r="Z242" s="83" t="str">
        <f t="shared" si="80"/>
        <v/>
      </c>
      <c r="AA242" s="84" t="str">
        <f t="shared" si="87"/>
        <v/>
      </c>
      <c r="AB242" s="84" t="str">
        <f t="shared" si="88"/>
        <v/>
      </c>
      <c r="AC242" s="84" t="str">
        <f t="shared" si="81"/>
        <v/>
      </c>
      <c r="AD242" s="84"/>
      <c r="AE242" s="84" t="str">
        <f t="shared" si="84"/>
        <v/>
      </c>
      <c r="AF242" s="84">
        <f t="shared" si="78"/>
        <v>0</v>
      </c>
      <c r="AG242" s="94" t="str">
        <f t="shared" si="85"/>
        <v/>
      </c>
      <c r="AH242" s="85" t="str">
        <f>IFERROR(VLOOKUP(A242,CUSTOMERS!$A:$E,4),"")</f>
        <v/>
      </c>
      <c r="AI242" s="86" t="str">
        <f t="shared" si="75"/>
        <v/>
      </c>
      <c r="AJ242" s="87" t="str">
        <f>IFERROR(VLOOKUP(A242,CUSTOMERS!$A:$F,5),"")</f>
        <v/>
      </c>
      <c r="AK242" s="98"/>
      <c r="AL242" s="98">
        <v>0</v>
      </c>
      <c r="AM242" s="99">
        <v>0</v>
      </c>
      <c r="AN242" s="99"/>
      <c r="AO242" s="99">
        <v>0</v>
      </c>
      <c r="AP242" s="103">
        <f t="shared" si="82"/>
        <v>0</v>
      </c>
      <c r="AQ242" s="103" t="str">
        <f t="shared" si="73"/>
        <v/>
      </c>
      <c r="AR242" s="68" t="str">
        <f>IFERROR(VLOOKUP(A242,CUSTOMERS!$A:$B,2),"")</f>
        <v/>
      </c>
      <c r="AS242" s="68" t="str">
        <f>IFERROR(VLOOKUP(A242,CUSTOMERS!$A:$D,3),"")</f>
        <v/>
      </c>
      <c r="AT242" s="68" t="str">
        <f>IFERROR(VLOOKUP(A242,CUSTOMERS!$A:$F,6),"")</f>
        <v/>
      </c>
      <c r="AU242" s="69" t="str">
        <f>IFERROR(VLOOKUP(A242,CUSTOMERS!$A:$E,4),"")</f>
        <v/>
      </c>
      <c r="AV242" s="68" t="str">
        <f t="shared" si="86"/>
        <v/>
      </c>
      <c r="AX242" s="71" t="str">
        <f t="shared" si="83"/>
        <v>reason242</v>
      </c>
    </row>
    <row r="243" spans="1:50" ht="50.25" customHeight="1">
      <c r="A243" s="188"/>
      <c r="B243" s="125" t="str">
        <f t="shared" si="77"/>
        <v/>
      </c>
      <c r="C243" s="125"/>
      <c r="D243" s="126"/>
      <c r="E243" s="126"/>
      <c r="F243" s="122" t="str">
        <f t="shared" si="76"/>
        <v/>
      </c>
      <c r="G243" s="186"/>
      <c r="H243" s="124"/>
      <c r="I243" s="239"/>
      <c r="J243" s="80" t="str">
        <f t="shared" si="79"/>
        <v/>
      </c>
      <c r="K243" s="177">
        <f t="shared" si="74"/>
        <v>0</v>
      </c>
      <c r="L243" s="160"/>
      <c r="M243" s="161"/>
      <c r="N243" s="162"/>
      <c r="O243" s="162"/>
      <c r="P243" s="163"/>
      <c r="Q243" s="202"/>
      <c r="R243" s="204"/>
      <c r="S243" s="211"/>
      <c r="T243" s="211"/>
      <c r="U243" s="211"/>
      <c r="V243" s="211"/>
      <c r="W243" s="211"/>
      <c r="X243" s="154"/>
      <c r="Y243" s="173" t="str">
        <f t="shared" si="89"/>
        <v/>
      </c>
      <c r="Z243" s="83" t="str">
        <f t="shared" si="80"/>
        <v/>
      </c>
      <c r="AA243" s="84" t="str">
        <f t="shared" si="87"/>
        <v/>
      </c>
      <c r="AB243" s="84" t="str">
        <f t="shared" si="88"/>
        <v/>
      </c>
      <c r="AC243" s="84" t="str">
        <f t="shared" si="81"/>
        <v/>
      </c>
      <c r="AD243" s="84"/>
      <c r="AE243" s="84" t="str">
        <f t="shared" si="84"/>
        <v/>
      </c>
      <c r="AF243" s="84">
        <f t="shared" si="78"/>
        <v>0</v>
      </c>
      <c r="AG243" s="94" t="str">
        <f t="shared" si="85"/>
        <v/>
      </c>
      <c r="AH243" s="85" t="str">
        <f>IFERROR(VLOOKUP(A243,CUSTOMERS!$A:$E,4),"")</f>
        <v/>
      </c>
      <c r="AI243" s="86" t="str">
        <f t="shared" si="75"/>
        <v/>
      </c>
      <c r="AJ243" s="87" t="str">
        <f>IFERROR(VLOOKUP(A243,CUSTOMERS!$A:$F,5),"")</f>
        <v/>
      </c>
      <c r="AK243" s="98"/>
      <c r="AL243" s="98">
        <v>0</v>
      </c>
      <c r="AM243" s="99">
        <v>0</v>
      </c>
      <c r="AN243" s="99"/>
      <c r="AO243" s="99">
        <v>0</v>
      </c>
      <c r="AP243" s="103">
        <f t="shared" si="82"/>
        <v>0</v>
      </c>
      <c r="AQ243" s="103" t="str">
        <f t="shared" si="73"/>
        <v/>
      </c>
      <c r="AR243" s="68" t="str">
        <f>IFERROR(VLOOKUP(A243,CUSTOMERS!$A:$B,2),"")</f>
        <v/>
      </c>
      <c r="AS243" s="68" t="str">
        <f>IFERROR(VLOOKUP(A243,CUSTOMERS!$A:$D,3),"")</f>
        <v/>
      </c>
      <c r="AT243" s="68" t="str">
        <f>IFERROR(VLOOKUP(A243,CUSTOMERS!$A:$F,6),"")</f>
        <v/>
      </c>
      <c r="AU243" s="69" t="str">
        <f>IFERROR(VLOOKUP(A243,CUSTOMERS!$A:$E,4),"")</f>
        <v/>
      </c>
      <c r="AV243" s="68" t="str">
        <f t="shared" si="86"/>
        <v/>
      </c>
      <c r="AX243" s="71" t="str">
        <f t="shared" si="83"/>
        <v>reason243</v>
      </c>
    </row>
    <row r="244" spans="1:50" ht="50.25" customHeight="1">
      <c r="A244" s="188"/>
      <c r="B244" s="125" t="str">
        <f t="shared" si="77"/>
        <v/>
      </c>
      <c r="C244" s="125"/>
      <c r="D244" s="126"/>
      <c r="E244" s="126"/>
      <c r="F244" s="122" t="str">
        <f t="shared" si="76"/>
        <v/>
      </c>
      <c r="G244" s="186"/>
      <c r="H244" s="124"/>
      <c r="I244" s="239"/>
      <c r="J244" s="80" t="str">
        <f t="shared" si="79"/>
        <v/>
      </c>
      <c r="K244" s="177">
        <f t="shared" si="74"/>
        <v>0</v>
      </c>
      <c r="L244" s="160"/>
      <c r="M244" s="161"/>
      <c r="N244" s="162"/>
      <c r="O244" s="162"/>
      <c r="P244" s="163"/>
      <c r="Q244" s="202"/>
      <c r="R244" s="204"/>
      <c r="S244" s="211"/>
      <c r="T244" s="211"/>
      <c r="U244" s="211"/>
      <c r="V244" s="211"/>
      <c r="W244" s="211"/>
      <c r="X244" s="154"/>
      <c r="Y244" s="173" t="str">
        <f t="shared" si="89"/>
        <v/>
      </c>
      <c r="Z244" s="83" t="str">
        <f t="shared" si="80"/>
        <v/>
      </c>
      <c r="AA244" s="84" t="str">
        <f t="shared" si="87"/>
        <v/>
      </c>
      <c r="AB244" s="84" t="str">
        <f t="shared" si="88"/>
        <v/>
      </c>
      <c r="AC244" s="84" t="str">
        <f t="shared" si="81"/>
        <v/>
      </c>
      <c r="AD244" s="84"/>
      <c r="AE244" s="84" t="str">
        <f t="shared" si="84"/>
        <v/>
      </c>
      <c r="AF244" s="84">
        <f t="shared" si="78"/>
        <v>0</v>
      </c>
      <c r="AG244" s="94" t="str">
        <f t="shared" si="85"/>
        <v/>
      </c>
      <c r="AH244" s="85" t="str">
        <f>IFERROR(VLOOKUP(A244,CUSTOMERS!$A:$E,4),"")</f>
        <v/>
      </c>
      <c r="AI244" s="86" t="str">
        <f t="shared" si="75"/>
        <v/>
      </c>
      <c r="AJ244" s="87" t="str">
        <f>IFERROR(VLOOKUP(A244,CUSTOMERS!$A:$F,5),"")</f>
        <v/>
      </c>
      <c r="AK244" s="98"/>
      <c r="AL244" s="98">
        <v>0</v>
      </c>
      <c r="AM244" s="99">
        <v>0</v>
      </c>
      <c r="AN244" s="99"/>
      <c r="AO244" s="99">
        <v>0</v>
      </c>
      <c r="AP244" s="103">
        <f t="shared" si="82"/>
        <v>0</v>
      </c>
      <c r="AQ244" s="103" t="str">
        <f t="shared" si="73"/>
        <v/>
      </c>
      <c r="AR244" s="68" t="str">
        <f>IFERROR(VLOOKUP(A244,CUSTOMERS!$A:$B,2),"")</f>
        <v/>
      </c>
      <c r="AS244" s="68" t="str">
        <f>IFERROR(VLOOKUP(A244,CUSTOMERS!$A:$D,3),"")</f>
        <v/>
      </c>
      <c r="AT244" s="68" t="str">
        <f>IFERROR(VLOOKUP(A244,CUSTOMERS!$A:$F,6),"")</f>
        <v/>
      </c>
      <c r="AU244" s="69" t="str">
        <f>IFERROR(VLOOKUP(A244,CUSTOMERS!$A:$E,4),"")</f>
        <v/>
      </c>
      <c r="AV244" s="68" t="str">
        <f t="shared" si="86"/>
        <v/>
      </c>
      <c r="AX244" s="71" t="str">
        <f t="shared" si="83"/>
        <v>reason244</v>
      </c>
    </row>
    <row r="245" spans="1:50" ht="50.25" customHeight="1">
      <c r="A245" s="188"/>
      <c r="B245" s="125" t="str">
        <f t="shared" si="77"/>
        <v/>
      </c>
      <c r="C245" s="125"/>
      <c r="D245" s="126"/>
      <c r="E245" s="126"/>
      <c r="F245" s="122" t="str">
        <f t="shared" si="76"/>
        <v/>
      </c>
      <c r="G245" s="186"/>
      <c r="H245" s="124"/>
      <c r="I245" s="239"/>
      <c r="J245" s="80" t="str">
        <f t="shared" si="79"/>
        <v/>
      </c>
      <c r="K245" s="177">
        <f t="shared" si="74"/>
        <v>0</v>
      </c>
      <c r="L245" s="160"/>
      <c r="M245" s="161"/>
      <c r="N245" s="162"/>
      <c r="O245" s="162"/>
      <c r="P245" s="163"/>
      <c r="Q245" s="202"/>
      <c r="R245" s="204"/>
      <c r="S245" s="211"/>
      <c r="T245" s="211"/>
      <c r="U245" s="211"/>
      <c r="V245" s="211"/>
      <c r="W245" s="211"/>
      <c r="X245" s="154"/>
      <c r="Y245" s="173" t="str">
        <f t="shared" si="89"/>
        <v/>
      </c>
      <c r="Z245" s="83" t="str">
        <f t="shared" si="80"/>
        <v/>
      </c>
      <c r="AA245" s="84" t="str">
        <f t="shared" si="87"/>
        <v/>
      </c>
      <c r="AB245" s="84" t="str">
        <f t="shared" si="88"/>
        <v/>
      </c>
      <c r="AC245" s="84" t="str">
        <f t="shared" si="81"/>
        <v/>
      </c>
      <c r="AD245" s="84"/>
      <c r="AE245" s="84" t="str">
        <f t="shared" si="84"/>
        <v/>
      </c>
      <c r="AF245" s="84">
        <f t="shared" si="78"/>
        <v>0</v>
      </c>
      <c r="AG245" s="94" t="str">
        <f t="shared" si="85"/>
        <v/>
      </c>
      <c r="AH245" s="85" t="str">
        <f>IFERROR(VLOOKUP(A245,CUSTOMERS!$A:$E,4),"")</f>
        <v/>
      </c>
      <c r="AI245" s="86" t="str">
        <f t="shared" si="75"/>
        <v/>
      </c>
      <c r="AJ245" s="87" t="str">
        <f>IFERROR(VLOOKUP(A245,CUSTOMERS!$A:$F,5),"")</f>
        <v/>
      </c>
      <c r="AK245" s="98"/>
      <c r="AL245" s="98">
        <v>0</v>
      </c>
      <c r="AM245" s="99">
        <v>0</v>
      </c>
      <c r="AN245" s="99"/>
      <c r="AO245" s="99">
        <v>0</v>
      </c>
      <c r="AP245" s="103">
        <f t="shared" si="82"/>
        <v>0</v>
      </c>
      <c r="AQ245" s="103" t="str">
        <f t="shared" ref="AQ245:AQ308" si="90">IFERROR(AP245*AJ245,"")</f>
        <v/>
      </c>
      <c r="AR245" s="68" t="str">
        <f>IFERROR(VLOOKUP(A245,CUSTOMERS!$A:$B,2),"")</f>
        <v/>
      </c>
      <c r="AS245" s="68" t="str">
        <f>IFERROR(VLOOKUP(A245,CUSTOMERS!$A:$D,3),"")</f>
        <v/>
      </c>
      <c r="AT245" s="68" t="str">
        <f>IFERROR(VLOOKUP(A245,CUSTOMERS!$A:$F,6),"")</f>
        <v/>
      </c>
      <c r="AU245" s="69" t="str">
        <f>IFERROR(VLOOKUP(A245,CUSTOMERS!$A:$E,4),"")</f>
        <v/>
      </c>
      <c r="AV245" s="68" t="str">
        <f t="shared" si="86"/>
        <v/>
      </c>
      <c r="AX245" s="71" t="str">
        <f t="shared" si="83"/>
        <v>reason245</v>
      </c>
    </row>
    <row r="246" spans="1:50" ht="50.25" customHeight="1">
      <c r="A246" s="188"/>
      <c r="B246" s="125" t="str">
        <f t="shared" si="77"/>
        <v/>
      </c>
      <c r="C246" s="125"/>
      <c r="D246" s="126"/>
      <c r="E246" s="126"/>
      <c r="F246" s="122" t="str">
        <f t="shared" si="76"/>
        <v/>
      </c>
      <c r="G246" s="186"/>
      <c r="H246" s="124"/>
      <c r="I246" s="239"/>
      <c r="J246" s="80" t="str">
        <f t="shared" si="79"/>
        <v/>
      </c>
      <c r="K246" s="177">
        <f t="shared" si="74"/>
        <v>0</v>
      </c>
      <c r="L246" s="160"/>
      <c r="M246" s="161"/>
      <c r="N246" s="162"/>
      <c r="O246" s="162"/>
      <c r="P246" s="163"/>
      <c r="Q246" s="202"/>
      <c r="R246" s="204"/>
      <c r="S246" s="211"/>
      <c r="T246" s="211"/>
      <c r="U246" s="211"/>
      <c r="V246" s="211"/>
      <c r="W246" s="211"/>
      <c r="X246" s="154"/>
      <c r="Y246" s="173" t="str">
        <f t="shared" si="89"/>
        <v/>
      </c>
      <c r="Z246" s="83" t="str">
        <f t="shared" si="80"/>
        <v/>
      </c>
      <c r="AA246" s="84" t="str">
        <f t="shared" si="87"/>
        <v/>
      </c>
      <c r="AB246" s="84" t="str">
        <f t="shared" si="88"/>
        <v/>
      </c>
      <c r="AC246" s="84" t="str">
        <f t="shared" si="81"/>
        <v/>
      </c>
      <c r="AD246" s="84"/>
      <c r="AE246" s="84" t="str">
        <f t="shared" si="84"/>
        <v/>
      </c>
      <c r="AF246" s="84">
        <f t="shared" si="78"/>
        <v>0</v>
      </c>
      <c r="AG246" s="94" t="str">
        <f t="shared" si="85"/>
        <v/>
      </c>
      <c r="AH246" s="85" t="str">
        <f>IFERROR(VLOOKUP(A246,CUSTOMERS!$A:$E,4),"")</f>
        <v/>
      </c>
      <c r="AI246" s="86" t="str">
        <f t="shared" si="75"/>
        <v/>
      </c>
      <c r="AJ246" s="87" t="str">
        <f>IFERROR(VLOOKUP(A246,CUSTOMERS!$A:$F,5),"")</f>
        <v/>
      </c>
      <c r="AK246" s="98"/>
      <c r="AL246" s="98">
        <v>0</v>
      </c>
      <c r="AM246" s="99">
        <v>0</v>
      </c>
      <c r="AN246" s="99"/>
      <c r="AO246" s="99">
        <v>0</v>
      </c>
      <c r="AP246" s="103">
        <f t="shared" si="82"/>
        <v>0</v>
      </c>
      <c r="AQ246" s="103" t="str">
        <f t="shared" si="90"/>
        <v/>
      </c>
      <c r="AR246" s="68" t="str">
        <f>IFERROR(VLOOKUP(A246,CUSTOMERS!$A:$B,2),"")</f>
        <v/>
      </c>
      <c r="AS246" s="68" t="str">
        <f>IFERROR(VLOOKUP(A246,CUSTOMERS!$A:$D,3),"")</f>
        <v/>
      </c>
      <c r="AT246" s="68" t="str">
        <f>IFERROR(VLOOKUP(A246,CUSTOMERS!$A:$F,6),"")</f>
        <v/>
      </c>
      <c r="AU246" s="69" t="str">
        <f>IFERROR(VLOOKUP(A246,CUSTOMERS!$A:$E,4),"")</f>
        <v/>
      </c>
      <c r="AV246" s="68" t="str">
        <f t="shared" si="86"/>
        <v/>
      </c>
      <c r="AX246" s="71" t="str">
        <f t="shared" si="83"/>
        <v>reason246</v>
      </c>
    </row>
    <row r="247" spans="1:50" ht="50.25" customHeight="1">
      <c r="A247" s="188"/>
      <c r="B247" s="125" t="str">
        <f t="shared" si="77"/>
        <v/>
      </c>
      <c r="C247" s="125"/>
      <c r="D247" s="126"/>
      <c r="E247" s="126"/>
      <c r="F247" s="122" t="str">
        <f t="shared" si="76"/>
        <v/>
      </c>
      <c r="G247" s="186"/>
      <c r="H247" s="124"/>
      <c r="I247" s="239"/>
      <c r="J247" s="80" t="str">
        <f t="shared" si="79"/>
        <v/>
      </c>
      <c r="K247" s="177">
        <f t="shared" ref="K247:K310" si="91">MAX(L247:R247)</f>
        <v>0</v>
      </c>
      <c r="L247" s="160"/>
      <c r="M247" s="161"/>
      <c r="N247" s="162"/>
      <c r="O247" s="162"/>
      <c r="P247" s="163"/>
      <c r="Q247" s="202"/>
      <c r="R247" s="204"/>
      <c r="S247" s="211"/>
      <c r="T247" s="211"/>
      <c r="U247" s="211"/>
      <c r="V247" s="211"/>
      <c r="W247" s="211"/>
      <c r="X247" s="154"/>
      <c r="Y247" s="173" t="str">
        <f t="shared" si="89"/>
        <v/>
      </c>
      <c r="Z247" s="83" t="str">
        <f t="shared" si="80"/>
        <v/>
      </c>
      <c r="AA247" s="84" t="str">
        <f t="shared" si="87"/>
        <v/>
      </c>
      <c r="AB247" s="84" t="str">
        <f t="shared" si="88"/>
        <v/>
      </c>
      <c r="AC247" s="84" t="str">
        <f t="shared" si="81"/>
        <v/>
      </c>
      <c r="AD247" s="84"/>
      <c r="AE247" s="84" t="str">
        <f t="shared" si="84"/>
        <v/>
      </c>
      <c r="AF247" s="84">
        <f t="shared" si="78"/>
        <v>0</v>
      </c>
      <c r="AG247" s="94" t="str">
        <f t="shared" si="85"/>
        <v/>
      </c>
      <c r="AH247" s="85" t="str">
        <f>IFERROR(VLOOKUP(A247,CUSTOMERS!$A:$E,4),"")</f>
        <v/>
      </c>
      <c r="AI247" s="86" t="str">
        <f t="shared" si="75"/>
        <v/>
      </c>
      <c r="AJ247" s="87" t="str">
        <f>IFERROR(VLOOKUP(A247,CUSTOMERS!$A:$F,5),"")</f>
        <v/>
      </c>
      <c r="AK247" s="98"/>
      <c r="AL247" s="98">
        <v>0</v>
      </c>
      <c r="AM247" s="99">
        <v>0</v>
      </c>
      <c r="AN247" s="99"/>
      <c r="AO247" s="99">
        <v>0</v>
      </c>
      <c r="AP247" s="103">
        <f t="shared" si="82"/>
        <v>0</v>
      </c>
      <c r="AQ247" s="103" t="str">
        <f t="shared" si="90"/>
        <v/>
      </c>
      <c r="AR247" s="68" t="str">
        <f>IFERROR(VLOOKUP(A247,CUSTOMERS!$A:$B,2),"")</f>
        <v/>
      </c>
      <c r="AS247" s="68" t="str">
        <f>IFERROR(VLOOKUP(A247,CUSTOMERS!$A:$D,3),"")</f>
        <v/>
      </c>
      <c r="AT247" s="68" t="str">
        <f>IFERROR(VLOOKUP(A247,CUSTOMERS!$A:$F,6),"")</f>
        <v/>
      </c>
      <c r="AU247" s="69" t="str">
        <f>IFERROR(VLOOKUP(A247,CUSTOMERS!$A:$E,4),"")</f>
        <v/>
      </c>
      <c r="AV247" s="68" t="str">
        <f t="shared" si="86"/>
        <v/>
      </c>
      <c r="AX247" s="71" t="str">
        <f t="shared" si="83"/>
        <v>reason247</v>
      </c>
    </row>
    <row r="248" spans="1:50" ht="50.25" customHeight="1">
      <c r="A248" s="188"/>
      <c r="B248" s="125" t="str">
        <f t="shared" si="77"/>
        <v/>
      </c>
      <c r="C248" s="125"/>
      <c r="D248" s="126"/>
      <c r="E248" s="126"/>
      <c r="F248" s="122" t="str">
        <f t="shared" si="76"/>
        <v/>
      </c>
      <c r="G248" s="186"/>
      <c r="H248" s="124"/>
      <c r="I248" s="239"/>
      <c r="J248" s="80" t="str">
        <f t="shared" si="79"/>
        <v/>
      </c>
      <c r="K248" s="177">
        <f t="shared" si="91"/>
        <v>0</v>
      </c>
      <c r="L248" s="160"/>
      <c r="M248" s="161"/>
      <c r="N248" s="162"/>
      <c r="O248" s="162"/>
      <c r="P248" s="163"/>
      <c r="Q248" s="202"/>
      <c r="R248" s="204"/>
      <c r="S248" s="211"/>
      <c r="T248" s="211"/>
      <c r="U248" s="211"/>
      <c r="V248" s="211"/>
      <c r="W248" s="211"/>
      <c r="X248" s="154"/>
      <c r="Y248" s="173" t="str">
        <f t="shared" si="89"/>
        <v/>
      </c>
      <c r="Z248" s="83" t="str">
        <f t="shared" si="80"/>
        <v/>
      </c>
      <c r="AA248" s="84" t="str">
        <f t="shared" si="87"/>
        <v/>
      </c>
      <c r="AB248" s="84" t="str">
        <f t="shared" si="88"/>
        <v/>
      </c>
      <c r="AC248" s="84" t="str">
        <f t="shared" si="81"/>
        <v/>
      </c>
      <c r="AD248" s="84"/>
      <c r="AE248" s="84" t="str">
        <f t="shared" si="84"/>
        <v/>
      </c>
      <c r="AF248" s="84">
        <f t="shared" si="78"/>
        <v>0</v>
      </c>
      <c r="AG248" s="94" t="str">
        <f t="shared" si="85"/>
        <v/>
      </c>
      <c r="AH248" s="85" t="str">
        <f>IFERROR(VLOOKUP(A248,CUSTOMERS!$A:$E,4),"")</f>
        <v/>
      </c>
      <c r="AI248" s="86" t="str">
        <f t="shared" ref="AI248:AI311" si="92">AV248</f>
        <v/>
      </c>
      <c r="AJ248" s="87" t="str">
        <f>IFERROR(VLOOKUP(A248,CUSTOMERS!$A:$F,5),"")</f>
        <v/>
      </c>
      <c r="AK248" s="98"/>
      <c r="AL248" s="98">
        <v>0</v>
      </c>
      <c r="AM248" s="99">
        <v>0</v>
      </c>
      <c r="AN248" s="99"/>
      <c r="AO248" s="99">
        <v>0</v>
      </c>
      <c r="AP248" s="103">
        <f t="shared" si="82"/>
        <v>0</v>
      </c>
      <c r="AQ248" s="103" t="str">
        <f t="shared" si="90"/>
        <v/>
      </c>
      <c r="AR248" s="68" t="str">
        <f>IFERROR(VLOOKUP(A248,CUSTOMERS!$A:$B,2),"")</f>
        <v/>
      </c>
      <c r="AS248" s="68" t="str">
        <f>IFERROR(VLOOKUP(A248,CUSTOMERS!$A:$D,3),"")</f>
        <v/>
      </c>
      <c r="AT248" s="68" t="str">
        <f>IFERROR(VLOOKUP(A248,CUSTOMERS!$A:$F,6),"")</f>
        <v/>
      </c>
      <c r="AU248" s="69" t="str">
        <f>IFERROR(VLOOKUP(A248,CUSTOMERS!$A:$E,4),"")</f>
        <v/>
      </c>
      <c r="AV248" s="68" t="str">
        <f t="shared" si="86"/>
        <v/>
      </c>
      <c r="AX248" s="71" t="str">
        <f t="shared" si="83"/>
        <v>reason248</v>
      </c>
    </row>
    <row r="249" spans="1:50" ht="50.25" customHeight="1">
      <c r="A249" s="188"/>
      <c r="B249" s="125" t="str">
        <f t="shared" si="77"/>
        <v/>
      </c>
      <c r="C249" s="125"/>
      <c r="D249" s="126"/>
      <c r="E249" s="126"/>
      <c r="F249" s="122" t="str">
        <f t="shared" si="76"/>
        <v/>
      </c>
      <c r="G249" s="186"/>
      <c r="H249" s="124"/>
      <c r="I249" s="239"/>
      <c r="J249" s="80" t="str">
        <f t="shared" si="79"/>
        <v/>
      </c>
      <c r="K249" s="177">
        <f t="shared" si="91"/>
        <v>0</v>
      </c>
      <c r="L249" s="160"/>
      <c r="M249" s="161"/>
      <c r="N249" s="162"/>
      <c r="O249" s="162"/>
      <c r="P249" s="163"/>
      <c r="Q249" s="202"/>
      <c r="R249" s="204"/>
      <c r="S249" s="211"/>
      <c r="T249" s="211"/>
      <c r="U249" s="211"/>
      <c r="V249" s="211"/>
      <c r="W249" s="211"/>
      <c r="X249" s="154"/>
      <c r="Y249" s="173" t="str">
        <f t="shared" si="89"/>
        <v/>
      </c>
      <c r="Z249" s="83" t="str">
        <f t="shared" si="80"/>
        <v/>
      </c>
      <c r="AA249" s="84" t="str">
        <f t="shared" si="87"/>
        <v/>
      </c>
      <c r="AB249" s="84" t="str">
        <f t="shared" si="88"/>
        <v/>
      </c>
      <c r="AC249" s="84" t="str">
        <f t="shared" si="81"/>
        <v/>
      </c>
      <c r="AD249" s="84"/>
      <c r="AE249" s="84" t="str">
        <f t="shared" si="84"/>
        <v/>
      </c>
      <c r="AF249" s="84">
        <f t="shared" si="78"/>
        <v>0</v>
      </c>
      <c r="AG249" s="94" t="str">
        <f t="shared" si="85"/>
        <v/>
      </c>
      <c r="AH249" s="85" t="str">
        <f>IFERROR(VLOOKUP(A249,CUSTOMERS!$A:$E,4),"")</f>
        <v/>
      </c>
      <c r="AI249" s="86" t="str">
        <f t="shared" si="92"/>
        <v/>
      </c>
      <c r="AJ249" s="87" t="str">
        <f>IFERROR(VLOOKUP(A249,CUSTOMERS!$A:$F,5),"")</f>
        <v/>
      </c>
      <c r="AK249" s="98"/>
      <c r="AL249" s="98">
        <v>0</v>
      </c>
      <c r="AM249" s="99">
        <v>0</v>
      </c>
      <c r="AN249" s="99"/>
      <c r="AO249" s="99">
        <v>0</v>
      </c>
      <c r="AP249" s="103">
        <f t="shared" si="82"/>
        <v>0</v>
      </c>
      <c r="AQ249" s="103" t="str">
        <f t="shared" si="90"/>
        <v/>
      </c>
      <c r="AR249" s="68" t="str">
        <f>IFERROR(VLOOKUP(A249,CUSTOMERS!$A:$B,2),"")</f>
        <v/>
      </c>
      <c r="AS249" s="68" t="str">
        <f>IFERROR(VLOOKUP(A249,CUSTOMERS!$A:$D,3),"")</f>
        <v/>
      </c>
      <c r="AT249" s="68" t="str">
        <f>IFERROR(VLOOKUP(A249,CUSTOMERS!$A:$F,6),"")</f>
        <v/>
      </c>
      <c r="AU249" s="69" t="str">
        <f>IFERROR(VLOOKUP(A249,CUSTOMERS!$A:$E,4),"")</f>
        <v/>
      </c>
      <c r="AV249" s="68" t="str">
        <f t="shared" si="86"/>
        <v/>
      </c>
      <c r="AX249" s="71" t="str">
        <f t="shared" si="83"/>
        <v>reason249</v>
      </c>
    </row>
    <row r="250" spans="1:50" ht="50.25" customHeight="1">
      <c r="A250" s="188"/>
      <c r="B250" s="125" t="str">
        <f t="shared" si="77"/>
        <v/>
      </c>
      <c r="C250" s="125"/>
      <c r="D250" s="126"/>
      <c r="E250" s="126"/>
      <c r="F250" s="122" t="str">
        <f t="shared" si="76"/>
        <v/>
      </c>
      <c r="G250" s="186"/>
      <c r="H250" s="124"/>
      <c r="I250" s="239"/>
      <c r="J250" s="80" t="str">
        <f t="shared" si="79"/>
        <v/>
      </c>
      <c r="K250" s="177">
        <f t="shared" si="91"/>
        <v>0</v>
      </c>
      <c r="L250" s="160"/>
      <c r="M250" s="161"/>
      <c r="N250" s="162"/>
      <c r="O250" s="162"/>
      <c r="P250" s="163"/>
      <c r="Q250" s="202"/>
      <c r="R250" s="204"/>
      <c r="S250" s="211"/>
      <c r="T250" s="211"/>
      <c r="U250" s="211"/>
      <c r="V250" s="211"/>
      <c r="W250" s="211"/>
      <c r="X250" s="154"/>
      <c r="Y250" s="173" t="str">
        <f t="shared" si="89"/>
        <v/>
      </c>
      <c r="Z250" s="83" t="str">
        <f t="shared" si="80"/>
        <v/>
      </c>
      <c r="AA250" s="84" t="str">
        <f t="shared" si="87"/>
        <v/>
      </c>
      <c r="AB250" s="84" t="str">
        <f t="shared" si="88"/>
        <v/>
      </c>
      <c r="AC250" s="84" t="str">
        <f t="shared" si="81"/>
        <v/>
      </c>
      <c r="AD250" s="84"/>
      <c r="AE250" s="84" t="str">
        <f t="shared" si="84"/>
        <v/>
      </c>
      <c r="AF250" s="84">
        <f t="shared" si="78"/>
        <v>0</v>
      </c>
      <c r="AG250" s="94" t="str">
        <f t="shared" si="85"/>
        <v/>
      </c>
      <c r="AH250" s="85" t="str">
        <f>IFERROR(VLOOKUP(A250,CUSTOMERS!$A:$E,4),"")</f>
        <v/>
      </c>
      <c r="AI250" s="86" t="str">
        <f t="shared" si="92"/>
        <v/>
      </c>
      <c r="AJ250" s="87" t="str">
        <f>IFERROR(VLOOKUP(A250,CUSTOMERS!$A:$F,5),"")</f>
        <v/>
      </c>
      <c r="AK250" s="98"/>
      <c r="AL250" s="98">
        <v>0</v>
      </c>
      <c r="AM250" s="99">
        <v>0</v>
      </c>
      <c r="AN250" s="99"/>
      <c r="AO250" s="99">
        <v>0</v>
      </c>
      <c r="AP250" s="103">
        <f t="shared" si="82"/>
        <v>0</v>
      </c>
      <c r="AQ250" s="103" t="str">
        <f t="shared" si="90"/>
        <v/>
      </c>
      <c r="AR250" s="68" t="str">
        <f>IFERROR(VLOOKUP(A250,CUSTOMERS!$A:$B,2),"")</f>
        <v/>
      </c>
      <c r="AS250" s="68" t="str">
        <f>IFERROR(VLOOKUP(A250,CUSTOMERS!$A:$D,3),"")</f>
        <v/>
      </c>
      <c r="AT250" s="68" t="str">
        <f>IFERROR(VLOOKUP(A250,CUSTOMERS!$A:$F,6),"")</f>
        <v/>
      </c>
      <c r="AU250" s="69" t="str">
        <f>IFERROR(VLOOKUP(A250,CUSTOMERS!$A:$E,4),"")</f>
        <v/>
      </c>
      <c r="AV250" s="68" t="str">
        <f t="shared" si="86"/>
        <v/>
      </c>
      <c r="AX250" s="71" t="str">
        <f t="shared" si="83"/>
        <v>reason250</v>
      </c>
    </row>
    <row r="251" spans="1:50" ht="50.25" customHeight="1">
      <c r="A251" s="188"/>
      <c r="B251" s="125" t="str">
        <f t="shared" si="77"/>
        <v/>
      </c>
      <c r="C251" s="125"/>
      <c r="D251" s="126"/>
      <c r="E251" s="126"/>
      <c r="F251" s="122" t="str">
        <f t="shared" si="76"/>
        <v/>
      </c>
      <c r="G251" s="186"/>
      <c r="H251" s="124"/>
      <c r="I251" s="239"/>
      <c r="J251" s="80" t="str">
        <f t="shared" si="79"/>
        <v/>
      </c>
      <c r="K251" s="177">
        <f t="shared" si="91"/>
        <v>0</v>
      </c>
      <c r="L251" s="160"/>
      <c r="M251" s="161"/>
      <c r="N251" s="162"/>
      <c r="O251" s="162"/>
      <c r="P251" s="163"/>
      <c r="Q251" s="202"/>
      <c r="R251" s="204"/>
      <c r="S251" s="211"/>
      <c r="T251" s="211"/>
      <c r="U251" s="211"/>
      <c r="V251" s="211"/>
      <c r="W251" s="211"/>
      <c r="X251" s="154"/>
      <c r="Y251" s="173" t="str">
        <f t="shared" si="89"/>
        <v/>
      </c>
      <c r="Z251" s="83" t="str">
        <f t="shared" si="80"/>
        <v/>
      </c>
      <c r="AA251" s="84" t="str">
        <f t="shared" si="87"/>
        <v/>
      </c>
      <c r="AB251" s="84" t="str">
        <f t="shared" si="88"/>
        <v/>
      </c>
      <c r="AC251" s="84" t="str">
        <f t="shared" si="81"/>
        <v/>
      </c>
      <c r="AD251" s="84"/>
      <c r="AE251" s="84" t="str">
        <f t="shared" si="84"/>
        <v/>
      </c>
      <c r="AF251" s="84">
        <f t="shared" si="78"/>
        <v>0</v>
      </c>
      <c r="AG251" s="94" t="str">
        <f t="shared" si="85"/>
        <v/>
      </c>
      <c r="AH251" s="85" t="str">
        <f>IFERROR(VLOOKUP(A251,CUSTOMERS!$A:$E,4),"")</f>
        <v/>
      </c>
      <c r="AI251" s="86" t="str">
        <f t="shared" si="92"/>
        <v/>
      </c>
      <c r="AJ251" s="87" t="str">
        <f>IFERROR(VLOOKUP(A251,CUSTOMERS!$A:$F,5),"")</f>
        <v/>
      </c>
      <c r="AK251" s="98"/>
      <c r="AL251" s="98">
        <v>0</v>
      </c>
      <c r="AM251" s="99">
        <v>0</v>
      </c>
      <c r="AN251" s="99"/>
      <c r="AO251" s="99">
        <v>0</v>
      </c>
      <c r="AP251" s="103">
        <f t="shared" si="82"/>
        <v>0</v>
      </c>
      <c r="AQ251" s="103" t="str">
        <f t="shared" si="90"/>
        <v/>
      </c>
      <c r="AR251" s="68" t="str">
        <f>IFERROR(VLOOKUP(A251,CUSTOMERS!$A:$B,2),"")</f>
        <v/>
      </c>
      <c r="AS251" s="68" t="str">
        <f>IFERROR(VLOOKUP(A251,CUSTOMERS!$A:$D,3),"")</f>
        <v/>
      </c>
      <c r="AT251" s="68" t="str">
        <f>IFERROR(VLOOKUP(A251,CUSTOMERS!$A:$F,6),"")</f>
        <v/>
      </c>
      <c r="AU251" s="69" t="str">
        <f>IFERROR(VLOOKUP(A251,CUSTOMERS!$A:$E,4),"")</f>
        <v/>
      </c>
      <c r="AV251" s="68" t="str">
        <f t="shared" si="86"/>
        <v/>
      </c>
      <c r="AX251" s="71" t="str">
        <f t="shared" si="83"/>
        <v>reason251</v>
      </c>
    </row>
    <row r="252" spans="1:50" ht="50.25" customHeight="1">
      <c r="A252" s="188"/>
      <c r="B252" s="125" t="str">
        <f t="shared" si="77"/>
        <v/>
      </c>
      <c r="C252" s="125"/>
      <c r="D252" s="126"/>
      <c r="E252" s="126"/>
      <c r="F252" s="122" t="str">
        <f t="shared" si="76"/>
        <v/>
      </c>
      <c r="G252" s="186"/>
      <c r="H252" s="124"/>
      <c r="I252" s="239"/>
      <c r="J252" s="80" t="str">
        <f t="shared" si="79"/>
        <v/>
      </c>
      <c r="K252" s="177">
        <f t="shared" si="91"/>
        <v>0</v>
      </c>
      <c r="L252" s="160"/>
      <c r="M252" s="161"/>
      <c r="N252" s="162"/>
      <c r="O252" s="162"/>
      <c r="P252" s="163"/>
      <c r="Q252" s="202"/>
      <c r="R252" s="204"/>
      <c r="S252" s="211"/>
      <c r="T252" s="211"/>
      <c r="U252" s="211"/>
      <c r="V252" s="211"/>
      <c r="W252" s="211"/>
      <c r="X252" s="154"/>
      <c r="Y252" s="173" t="str">
        <f t="shared" si="89"/>
        <v/>
      </c>
      <c r="Z252" s="83" t="str">
        <f t="shared" si="80"/>
        <v/>
      </c>
      <c r="AA252" s="84" t="str">
        <f t="shared" si="87"/>
        <v/>
      </c>
      <c r="AB252" s="84" t="str">
        <f t="shared" si="88"/>
        <v/>
      </c>
      <c r="AC252" s="84" t="str">
        <f t="shared" si="81"/>
        <v/>
      </c>
      <c r="AD252" s="84"/>
      <c r="AE252" s="84" t="str">
        <f t="shared" si="84"/>
        <v/>
      </c>
      <c r="AF252" s="84">
        <f t="shared" si="78"/>
        <v>0</v>
      </c>
      <c r="AG252" s="94" t="str">
        <f t="shared" si="85"/>
        <v/>
      </c>
      <c r="AH252" s="85" t="str">
        <f>IFERROR(VLOOKUP(A252,CUSTOMERS!$A:$E,4),"")</f>
        <v/>
      </c>
      <c r="AI252" s="86" t="str">
        <f t="shared" si="92"/>
        <v/>
      </c>
      <c r="AJ252" s="87" t="str">
        <f>IFERROR(VLOOKUP(A252,CUSTOMERS!$A:$F,5),"")</f>
        <v/>
      </c>
      <c r="AK252" s="98"/>
      <c r="AL252" s="98">
        <v>0</v>
      </c>
      <c r="AM252" s="99">
        <v>0</v>
      </c>
      <c r="AN252" s="99"/>
      <c r="AO252" s="99">
        <v>0</v>
      </c>
      <c r="AP252" s="103">
        <f t="shared" si="82"/>
        <v>0</v>
      </c>
      <c r="AQ252" s="103" t="str">
        <f t="shared" si="90"/>
        <v/>
      </c>
      <c r="AR252" s="68" t="str">
        <f>IFERROR(VLOOKUP(A252,CUSTOMERS!$A:$B,2),"")</f>
        <v/>
      </c>
      <c r="AS252" s="68" t="str">
        <f>IFERROR(VLOOKUP(A252,CUSTOMERS!$A:$D,3),"")</f>
        <v/>
      </c>
      <c r="AT252" s="68" t="str">
        <f>IFERROR(VLOOKUP(A252,CUSTOMERS!$A:$F,6),"")</f>
        <v/>
      </c>
      <c r="AU252" s="69" t="str">
        <f>IFERROR(VLOOKUP(A252,CUSTOMERS!$A:$E,4),"")</f>
        <v/>
      </c>
      <c r="AV252" s="68" t="str">
        <f t="shared" si="86"/>
        <v/>
      </c>
      <c r="AX252" s="71" t="str">
        <f t="shared" si="83"/>
        <v>reason252</v>
      </c>
    </row>
    <row r="253" spans="1:50" ht="50.25" customHeight="1">
      <c r="A253" s="188"/>
      <c r="B253" s="125" t="str">
        <f t="shared" si="77"/>
        <v/>
      </c>
      <c r="C253" s="125"/>
      <c r="D253" s="126"/>
      <c r="E253" s="126"/>
      <c r="F253" s="122" t="str">
        <f t="shared" si="76"/>
        <v/>
      </c>
      <c r="G253" s="186"/>
      <c r="H253" s="124"/>
      <c r="I253" s="239"/>
      <c r="J253" s="80" t="str">
        <f t="shared" si="79"/>
        <v/>
      </c>
      <c r="K253" s="177">
        <f t="shared" si="91"/>
        <v>0</v>
      </c>
      <c r="L253" s="160"/>
      <c r="M253" s="161"/>
      <c r="N253" s="162"/>
      <c r="O253" s="162"/>
      <c r="P253" s="163"/>
      <c r="Q253" s="202"/>
      <c r="R253" s="204"/>
      <c r="S253" s="211"/>
      <c r="T253" s="211"/>
      <c r="U253" s="211"/>
      <c r="V253" s="211"/>
      <c r="W253" s="211"/>
      <c r="X253" s="154"/>
      <c r="Y253" s="173" t="str">
        <f t="shared" si="89"/>
        <v/>
      </c>
      <c r="Z253" s="83" t="str">
        <f t="shared" si="80"/>
        <v/>
      </c>
      <c r="AA253" s="84" t="str">
        <f t="shared" si="87"/>
        <v/>
      </c>
      <c r="AB253" s="84" t="str">
        <f t="shared" si="88"/>
        <v/>
      </c>
      <c r="AC253" s="84" t="str">
        <f t="shared" si="81"/>
        <v/>
      </c>
      <c r="AD253" s="84"/>
      <c r="AE253" s="84" t="str">
        <f t="shared" si="84"/>
        <v/>
      </c>
      <c r="AF253" s="84">
        <f t="shared" si="78"/>
        <v>0</v>
      </c>
      <c r="AG253" s="94" t="str">
        <f t="shared" si="85"/>
        <v/>
      </c>
      <c r="AH253" s="85" t="str">
        <f>IFERROR(VLOOKUP(A253,CUSTOMERS!$A:$E,4),"")</f>
        <v/>
      </c>
      <c r="AI253" s="86" t="str">
        <f t="shared" si="92"/>
        <v/>
      </c>
      <c r="AJ253" s="87" t="str">
        <f>IFERROR(VLOOKUP(A253,CUSTOMERS!$A:$F,5),"")</f>
        <v/>
      </c>
      <c r="AK253" s="98"/>
      <c r="AL253" s="98">
        <v>0</v>
      </c>
      <c r="AM253" s="99">
        <v>0</v>
      </c>
      <c r="AN253" s="99"/>
      <c r="AO253" s="99">
        <v>0</v>
      </c>
      <c r="AP253" s="103">
        <f t="shared" si="82"/>
        <v>0</v>
      </c>
      <c r="AQ253" s="103" t="str">
        <f t="shared" si="90"/>
        <v/>
      </c>
      <c r="AR253" s="68" t="str">
        <f>IFERROR(VLOOKUP(A253,CUSTOMERS!$A:$B,2),"")</f>
        <v/>
      </c>
      <c r="AS253" s="68" t="str">
        <f>IFERROR(VLOOKUP(A253,CUSTOMERS!$A:$D,3),"")</f>
        <v/>
      </c>
      <c r="AT253" s="68" t="str">
        <f>IFERROR(VLOOKUP(A253,CUSTOMERS!$A:$F,6),"")</f>
        <v/>
      </c>
      <c r="AU253" s="69" t="str">
        <f>IFERROR(VLOOKUP(A253,CUSTOMERS!$A:$E,4),"")</f>
        <v/>
      </c>
      <c r="AV253" s="68" t="str">
        <f t="shared" si="86"/>
        <v/>
      </c>
      <c r="AX253" s="71" t="str">
        <f t="shared" si="83"/>
        <v>reason253</v>
      </c>
    </row>
    <row r="254" spans="1:50" ht="50.25" customHeight="1">
      <c r="A254" s="188"/>
      <c r="B254" s="125" t="str">
        <f t="shared" si="77"/>
        <v/>
      </c>
      <c r="C254" s="125"/>
      <c r="D254" s="126"/>
      <c r="E254" s="126"/>
      <c r="F254" s="122" t="str">
        <f t="shared" si="76"/>
        <v/>
      </c>
      <c r="G254" s="186"/>
      <c r="H254" s="124"/>
      <c r="I254" s="239"/>
      <c r="J254" s="80" t="str">
        <f t="shared" si="79"/>
        <v/>
      </c>
      <c r="K254" s="177">
        <f t="shared" si="91"/>
        <v>0</v>
      </c>
      <c r="L254" s="160"/>
      <c r="M254" s="161"/>
      <c r="N254" s="162"/>
      <c r="O254" s="162"/>
      <c r="P254" s="163"/>
      <c r="Q254" s="202"/>
      <c r="R254" s="204"/>
      <c r="S254" s="211"/>
      <c r="T254" s="211"/>
      <c r="U254" s="211"/>
      <c r="V254" s="211"/>
      <c r="W254" s="211"/>
      <c r="X254" s="154"/>
      <c r="Y254" s="173" t="str">
        <f t="shared" si="89"/>
        <v/>
      </c>
      <c r="Z254" s="83" t="str">
        <f t="shared" si="80"/>
        <v/>
      </c>
      <c r="AA254" s="84" t="str">
        <f t="shared" si="87"/>
        <v/>
      </c>
      <c r="AB254" s="84" t="str">
        <f t="shared" si="88"/>
        <v/>
      </c>
      <c r="AC254" s="84" t="str">
        <f t="shared" si="81"/>
        <v/>
      </c>
      <c r="AD254" s="84"/>
      <c r="AE254" s="84" t="str">
        <f t="shared" si="84"/>
        <v/>
      </c>
      <c r="AF254" s="84">
        <f t="shared" si="78"/>
        <v>0</v>
      </c>
      <c r="AG254" s="94" t="str">
        <f t="shared" si="85"/>
        <v/>
      </c>
      <c r="AH254" s="85" t="str">
        <f>IFERROR(VLOOKUP(A254,CUSTOMERS!$A:$E,4),"")</f>
        <v/>
      </c>
      <c r="AI254" s="86" t="str">
        <f t="shared" si="92"/>
        <v/>
      </c>
      <c r="AJ254" s="87" t="str">
        <f>IFERROR(VLOOKUP(A254,CUSTOMERS!$A:$F,5),"")</f>
        <v/>
      </c>
      <c r="AK254" s="98"/>
      <c r="AL254" s="98">
        <v>0</v>
      </c>
      <c r="AM254" s="99">
        <v>0</v>
      </c>
      <c r="AN254" s="99"/>
      <c r="AO254" s="99">
        <v>0</v>
      </c>
      <c r="AP254" s="103">
        <f t="shared" si="82"/>
        <v>0</v>
      </c>
      <c r="AQ254" s="103" t="str">
        <f t="shared" si="90"/>
        <v/>
      </c>
      <c r="AR254" s="68" t="str">
        <f>IFERROR(VLOOKUP(A254,CUSTOMERS!$A:$B,2),"")</f>
        <v/>
      </c>
      <c r="AS254" s="68" t="str">
        <f>IFERROR(VLOOKUP(A254,CUSTOMERS!$A:$D,3),"")</f>
        <v/>
      </c>
      <c r="AT254" s="68" t="str">
        <f>IFERROR(VLOOKUP(A254,CUSTOMERS!$A:$F,6),"")</f>
        <v/>
      </c>
      <c r="AU254" s="69" t="str">
        <f>IFERROR(VLOOKUP(A254,CUSTOMERS!$A:$E,4),"")</f>
        <v/>
      </c>
      <c r="AV254" s="68" t="str">
        <f t="shared" si="86"/>
        <v/>
      </c>
      <c r="AX254" s="71" t="str">
        <f t="shared" si="83"/>
        <v>reason254</v>
      </c>
    </row>
    <row r="255" spans="1:50" ht="50.25" customHeight="1">
      <c r="A255" s="188"/>
      <c r="B255" s="125" t="str">
        <f t="shared" si="77"/>
        <v/>
      </c>
      <c r="C255" s="125"/>
      <c r="D255" s="126"/>
      <c r="E255" s="126"/>
      <c r="F255" s="122" t="str">
        <f t="shared" si="76"/>
        <v/>
      </c>
      <c r="G255" s="186"/>
      <c r="H255" s="124"/>
      <c r="I255" s="239"/>
      <c r="J255" s="80" t="str">
        <f t="shared" si="79"/>
        <v/>
      </c>
      <c r="K255" s="177">
        <f t="shared" si="91"/>
        <v>0</v>
      </c>
      <c r="L255" s="160"/>
      <c r="M255" s="161"/>
      <c r="N255" s="162"/>
      <c r="O255" s="162"/>
      <c r="P255" s="163"/>
      <c r="Q255" s="202"/>
      <c r="R255" s="204"/>
      <c r="S255" s="211"/>
      <c r="T255" s="211"/>
      <c r="U255" s="211"/>
      <c r="V255" s="211"/>
      <c r="W255" s="211"/>
      <c r="X255" s="154"/>
      <c r="Y255" s="173" t="str">
        <f t="shared" si="89"/>
        <v/>
      </c>
      <c r="Z255" s="83" t="str">
        <f t="shared" si="80"/>
        <v/>
      </c>
      <c r="AA255" s="84" t="str">
        <f t="shared" si="87"/>
        <v/>
      </c>
      <c r="AB255" s="84" t="str">
        <f t="shared" si="88"/>
        <v/>
      </c>
      <c r="AC255" s="84" t="str">
        <f t="shared" si="81"/>
        <v/>
      </c>
      <c r="AD255" s="84"/>
      <c r="AE255" s="84" t="str">
        <f t="shared" si="84"/>
        <v/>
      </c>
      <c r="AF255" s="84">
        <f t="shared" si="78"/>
        <v>0</v>
      </c>
      <c r="AG255" s="94" t="str">
        <f t="shared" si="85"/>
        <v/>
      </c>
      <c r="AH255" s="85" t="str">
        <f>IFERROR(VLOOKUP(A255,CUSTOMERS!$A:$E,4),"")</f>
        <v/>
      </c>
      <c r="AI255" s="86" t="str">
        <f t="shared" si="92"/>
        <v/>
      </c>
      <c r="AJ255" s="87" t="str">
        <f>IFERROR(VLOOKUP(A255,CUSTOMERS!$A:$F,5),"")</f>
        <v/>
      </c>
      <c r="AK255" s="98"/>
      <c r="AL255" s="98">
        <v>0</v>
      </c>
      <c r="AM255" s="99">
        <v>0</v>
      </c>
      <c r="AN255" s="99"/>
      <c r="AO255" s="99">
        <v>0</v>
      </c>
      <c r="AP255" s="103">
        <f t="shared" si="82"/>
        <v>0</v>
      </c>
      <c r="AQ255" s="103" t="str">
        <f t="shared" si="90"/>
        <v/>
      </c>
      <c r="AR255" s="68" t="str">
        <f>IFERROR(VLOOKUP(A255,CUSTOMERS!$A:$B,2),"")</f>
        <v/>
      </c>
      <c r="AS255" s="68" t="str">
        <f>IFERROR(VLOOKUP(A255,CUSTOMERS!$A:$D,3),"")</f>
        <v/>
      </c>
      <c r="AT255" s="68" t="str">
        <f>IFERROR(VLOOKUP(A255,CUSTOMERS!$A:$F,6),"")</f>
        <v/>
      </c>
      <c r="AU255" s="69" t="str">
        <f>IFERROR(VLOOKUP(A255,CUSTOMERS!$A:$E,4),"")</f>
        <v/>
      </c>
      <c r="AV255" s="68" t="str">
        <f t="shared" si="86"/>
        <v/>
      </c>
      <c r="AX255" s="71" t="str">
        <f t="shared" si="83"/>
        <v>reason255</v>
      </c>
    </row>
    <row r="256" spans="1:50" ht="50.25" customHeight="1">
      <c r="A256" s="188"/>
      <c r="B256" s="125" t="str">
        <f t="shared" si="77"/>
        <v/>
      </c>
      <c r="C256" s="125"/>
      <c r="D256" s="126"/>
      <c r="E256" s="126"/>
      <c r="F256" s="122" t="str">
        <f t="shared" si="76"/>
        <v/>
      </c>
      <c r="G256" s="186"/>
      <c r="H256" s="124"/>
      <c r="I256" s="239"/>
      <c r="J256" s="80" t="str">
        <f t="shared" si="79"/>
        <v/>
      </c>
      <c r="K256" s="177">
        <f t="shared" si="91"/>
        <v>0</v>
      </c>
      <c r="L256" s="160"/>
      <c r="M256" s="161"/>
      <c r="N256" s="162"/>
      <c r="O256" s="162"/>
      <c r="P256" s="163"/>
      <c r="Q256" s="202"/>
      <c r="R256" s="204"/>
      <c r="S256" s="211"/>
      <c r="T256" s="211"/>
      <c r="U256" s="211"/>
      <c r="V256" s="211"/>
      <c r="W256" s="211"/>
      <c r="X256" s="154"/>
      <c r="Y256" s="173" t="str">
        <f t="shared" si="89"/>
        <v/>
      </c>
      <c r="Z256" s="83" t="str">
        <f t="shared" si="80"/>
        <v/>
      </c>
      <c r="AA256" s="84" t="str">
        <f t="shared" si="87"/>
        <v/>
      </c>
      <c r="AB256" s="84" t="str">
        <f t="shared" si="88"/>
        <v/>
      </c>
      <c r="AC256" s="84" t="str">
        <f t="shared" si="81"/>
        <v/>
      </c>
      <c r="AD256" s="84"/>
      <c r="AE256" s="84" t="str">
        <f t="shared" si="84"/>
        <v/>
      </c>
      <c r="AF256" s="84">
        <f t="shared" si="78"/>
        <v>0</v>
      </c>
      <c r="AG256" s="94" t="str">
        <f t="shared" si="85"/>
        <v/>
      </c>
      <c r="AH256" s="85" t="str">
        <f>IFERROR(VLOOKUP(A256,CUSTOMERS!$A:$E,4),"")</f>
        <v/>
      </c>
      <c r="AI256" s="86" t="str">
        <f t="shared" si="92"/>
        <v/>
      </c>
      <c r="AJ256" s="87" t="str">
        <f>IFERROR(VLOOKUP(A256,CUSTOMERS!$A:$F,5),"")</f>
        <v/>
      </c>
      <c r="AK256" s="98"/>
      <c r="AL256" s="98">
        <v>0</v>
      </c>
      <c r="AM256" s="99">
        <v>0</v>
      </c>
      <c r="AN256" s="99"/>
      <c r="AO256" s="99">
        <v>0</v>
      </c>
      <c r="AP256" s="103">
        <f t="shared" si="82"/>
        <v>0</v>
      </c>
      <c r="AQ256" s="103" t="str">
        <f t="shared" si="90"/>
        <v/>
      </c>
      <c r="AR256" s="68" t="str">
        <f>IFERROR(VLOOKUP(A256,CUSTOMERS!$A:$B,2),"")</f>
        <v/>
      </c>
      <c r="AS256" s="68" t="str">
        <f>IFERROR(VLOOKUP(A256,CUSTOMERS!$A:$D,3),"")</f>
        <v/>
      </c>
      <c r="AT256" s="68" t="str">
        <f>IFERROR(VLOOKUP(A256,CUSTOMERS!$A:$F,6),"")</f>
        <v/>
      </c>
      <c r="AU256" s="69" t="str">
        <f>IFERROR(VLOOKUP(A256,CUSTOMERS!$A:$E,4),"")</f>
        <v/>
      </c>
      <c r="AV256" s="68" t="str">
        <f t="shared" si="86"/>
        <v/>
      </c>
      <c r="AX256" s="71" t="str">
        <f t="shared" si="83"/>
        <v>reason256</v>
      </c>
    </row>
    <row r="257" spans="1:50" ht="50.25" customHeight="1">
      <c r="A257" s="188"/>
      <c r="B257" s="125" t="str">
        <f t="shared" si="77"/>
        <v/>
      </c>
      <c r="C257" s="125"/>
      <c r="D257" s="126"/>
      <c r="E257" s="126"/>
      <c r="F257" s="122" t="str">
        <f t="shared" si="76"/>
        <v/>
      </c>
      <c r="G257" s="186"/>
      <c r="H257" s="124"/>
      <c r="I257" s="239"/>
      <c r="J257" s="80" t="str">
        <f t="shared" si="79"/>
        <v/>
      </c>
      <c r="K257" s="177">
        <f t="shared" si="91"/>
        <v>0</v>
      </c>
      <c r="L257" s="160"/>
      <c r="M257" s="161"/>
      <c r="N257" s="162"/>
      <c r="O257" s="162"/>
      <c r="P257" s="163"/>
      <c r="Q257" s="202"/>
      <c r="R257" s="204"/>
      <c r="S257" s="211"/>
      <c r="T257" s="211"/>
      <c r="U257" s="211"/>
      <c r="V257" s="211"/>
      <c r="W257" s="211"/>
      <c r="X257" s="154"/>
      <c r="Y257" s="173" t="str">
        <f t="shared" si="89"/>
        <v/>
      </c>
      <c r="Z257" s="83" t="str">
        <f t="shared" si="80"/>
        <v/>
      </c>
      <c r="AA257" s="84" t="str">
        <f t="shared" si="87"/>
        <v/>
      </c>
      <c r="AB257" s="84" t="str">
        <f t="shared" si="88"/>
        <v/>
      </c>
      <c r="AC257" s="84" t="str">
        <f t="shared" si="81"/>
        <v/>
      </c>
      <c r="AD257" s="84"/>
      <c r="AE257" s="84" t="str">
        <f t="shared" si="84"/>
        <v/>
      </c>
      <c r="AF257" s="84">
        <f t="shared" si="78"/>
        <v>0</v>
      </c>
      <c r="AG257" s="94" t="str">
        <f t="shared" si="85"/>
        <v/>
      </c>
      <c r="AH257" s="85" t="str">
        <f>IFERROR(VLOOKUP(A257,CUSTOMERS!$A:$E,4),"")</f>
        <v/>
      </c>
      <c r="AI257" s="86" t="str">
        <f t="shared" si="92"/>
        <v/>
      </c>
      <c r="AJ257" s="87" t="str">
        <f>IFERROR(VLOOKUP(A257,CUSTOMERS!$A:$F,5),"")</f>
        <v/>
      </c>
      <c r="AK257" s="98"/>
      <c r="AL257" s="98">
        <v>0</v>
      </c>
      <c r="AM257" s="99">
        <v>0</v>
      </c>
      <c r="AN257" s="99"/>
      <c r="AO257" s="99">
        <v>0</v>
      </c>
      <c r="AP257" s="103">
        <f t="shared" si="82"/>
        <v>0</v>
      </c>
      <c r="AQ257" s="103" t="str">
        <f t="shared" si="90"/>
        <v/>
      </c>
      <c r="AR257" s="68" t="str">
        <f>IFERROR(VLOOKUP(A257,CUSTOMERS!$A:$B,2),"")</f>
        <v/>
      </c>
      <c r="AS257" s="68" t="str">
        <f>IFERROR(VLOOKUP(A257,CUSTOMERS!$A:$D,3),"")</f>
        <v/>
      </c>
      <c r="AT257" s="68" t="str">
        <f>IFERROR(VLOOKUP(A257,CUSTOMERS!$A:$F,6),"")</f>
        <v/>
      </c>
      <c r="AU257" s="69" t="str">
        <f>IFERROR(VLOOKUP(A257,CUSTOMERS!$A:$E,4),"")</f>
        <v/>
      </c>
      <c r="AV257" s="68" t="str">
        <f t="shared" si="86"/>
        <v/>
      </c>
      <c r="AX257" s="71" t="str">
        <f t="shared" si="83"/>
        <v>reason257</v>
      </c>
    </row>
    <row r="258" spans="1:50" ht="50.25" customHeight="1">
      <c r="A258" s="188"/>
      <c r="B258" s="125" t="str">
        <f t="shared" si="77"/>
        <v/>
      </c>
      <c r="C258" s="125"/>
      <c r="D258" s="126"/>
      <c r="E258" s="126"/>
      <c r="F258" s="122" t="str">
        <f t="shared" si="76"/>
        <v/>
      </c>
      <c r="G258" s="186"/>
      <c r="H258" s="124"/>
      <c r="I258" s="239"/>
      <c r="J258" s="80" t="str">
        <f t="shared" si="79"/>
        <v/>
      </c>
      <c r="K258" s="177">
        <f t="shared" si="91"/>
        <v>0</v>
      </c>
      <c r="L258" s="160"/>
      <c r="M258" s="161"/>
      <c r="N258" s="162"/>
      <c r="O258" s="162"/>
      <c r="P258" s="163"/>
      <c r="Q258" s="202"/>
      <c r="R258" s="204"/>
      <c r="S258" s="211"/>
      <c r="T258" s="211"/>
      <c r="U258" s="211"/>
      <c r="V258" s="211"/>
      <c r="W258" s="211"/>
      <c r="X258" s="154"/>
      <c r="Y258" s="173" t="str">
        <f t="shared" si="89"/>
        <v/>
      </c>
      <c r="Z258" s="83" t="str">
        <f t="shared" si="80"/>
        <v/>
      </c>
      <c r="AA258" s="84" t="str">
        <f t="shared" si="87"/>
        <v/>
      </c>
      <c r="AB258" s="84" t="str">
        <f t="shared" si="88"/>
        <v/>
      </c>
      <c r="AC258" s="84" t="str">
        <f t="shared" si="81"/>
        <v/>
      </c>
      <c r="AD258" s="84"/>
      <c r="AE258" s="84" t="str">
        <f t="shared" si="84"/>
        <v/>
      </c>
      <c r="AF258" s="84">
        <f t="shared" si="78"/>
        <v>0</v>
      </c>
      <c r="AG258" s="94" t="str">
        <f t="shared" si="85"/>
        <v/>
      </c>
      <c r="AH258" s="85" t="str">
        <f>IFERROR(VLOOKUP(A258,CUSTOMERS!$A:$E,4),"")</f>
        <v/>
      </c>
      <c r="AI258" s="86" t="str">
        <f t="shared" si="92"/>
        <v/>
      </c>
      <c r="AJ258" s="87" t="str">
        <f>IFERROR(VLOOKUP(A258,CUSTOMERS!$A:$F,5),"")</f>
        <v/>
      </c>
      <c r="AK258" s="98"/>
      <c r="AL258" s="98">
        <v>0</v>
      </c>
      <c r="AM258" s="99">
        <v>0</v>
      </c>
      <c r="AN258" s="99"/>
      <c r="AO258" s="99">
        <v>0</v>
      </c>
      <c r="AP258" s="103">
        <f t="shared" si="82"/>
        <v>0</v>
      </c>
      <c r="AQ258" s="103" t="str">
        <f t="shared" si="90"/>
        <v/>
      </c>
      <c r="AR258" s="68" t="str">
        <f>IFERROR(VLOOKUP(A258,CUSTOMERS!$A:$B,2),"")</f>
        <v/>
      </c>
      <c r="AS258" s="68" t="str">
        <f>IFERROR(VLOOKUP(A258,CUSTOMERS!$A:$D,3),"")</f>
        <v/>
      </c>
      <c r="AT258" s="68" t="str">
        <f>IFERROR(VLOOKUP(A258,CUSTOMERS!$A:$F,6),"")</f>
        <v/>
      </c>
      <c r="AU258" s="69" t="str">
        <f>IFERROR(VLOOKUP(A258,CUSTOMERS!$A:$E,4),"")</f>
        <v/>
      </c>
      <c r="AV258" s="68" t="str">
        <f t="shared" si="86"/>
        <v/>
      </c>
      <c r="AX258" s="71" t="str">
        <f t="shared" si="83"/>
        <v>reason258</v>
      </c>
    </row>
    <row r="259" spans="1:50" ht="50.25" customHeight="1">
      <c r="A259" s="188"/>
      <c r="B259" s="125" t="str">
        <f t="shared" si="77"/>
        <v/>
      </c>
      <c r="C259" s="125"/>
      <c r="D259" s="126"/>
      <c r="E259" s="126"/>
      <c r="F259" s="122" t="str">
        <f t="shared" si="76"/>
        <v/>
      </c>
      <c r="G259" s="186"/>
      <c r="H259" s="124"/>
      <c r="I259" s="239"/>
      <c r="J259" s="80" t="str">
        <f t="shared" si="79"/>
        <v/>
      </c>
      <c r="K259" s="177">
        <f t="shared" si="91"/>
        <v>0</v>
      </c>
      <c r="L259" s="160"/>
      <c r="M259" s="161"/>
      <c r="N259" s="162"/>
      <c r="O259" s="162"/>
      <c r="P259" s="163"/>
      <c r="Q259" s="202"/>
      <c r="R259" s="204"/>
      <c r="S259" s="211"/>
      <c r="T259" s="211"/>
      <c r="U259" s="211"/>
      <c r="V259" s="211"/>
      <c r="W259" s="211"/>
      <c r="X259" s="154"/>
      <c r="Y259" s="173" t="str">
        <f t="shared" si="89"/>
        <v/>
      </c>
      <c r="Z259" s="83" t="str">
        <f t="shared" si="80"/>
        <v/>
      </c>
      <c r="AA259" s="84" t="str">
        <f t="shared" si="87"/>
        <v/>
      </c>
      <c r="AB259" s="84" t="str">
        <f t="shared" si="88"/>
        <v/>
      </c>
      <c r="AC259" s="84" t="str">
        <f t="shared" si="81"/>
        <v/>
      </c>
      <c r="AD259" s="84"/>
      <c r="AE259" s="84" t="str">
        <f t="shared" si="84"/>
        <v/>
      </c>
      <c r="AF259" s="84">
        <f t="shared" si="78"/>
        <v>0</v>
      </c>
      <c r="AG259" s="94" t="str">
        <f t="shared" si="85"/>
        <v/>
      </c>
      <c r="AH259" s="85" t="str">
        <f>IFERROR(VLOOKUP(A259,CUSTOMERS!$A:$E,4),"")</f>
        <v/>
      </c>
      <c r="AI259" s="86" t="str">
        <f t="shared" si="92"/>
        <v/>
      </c>
      <c r="AJ259" s="87" t="str">
        <f>IFERROR(VLOOKUP(A259,CUSTOMERS!$A:$F,5),"")</f>
        <v/>
      </c>
      <c r="AK259" s="98"/>
      <c r="AL259" s="98">
        <v>0</v>
      </c>
      <c r="AM259" s="99">
        <v>0</v>
      </c>
      <c r="AN259" s="99"/>
      <c r="AO259" s="99">
        <v>0</v>
      </c>
      <c r="AP259" s="103">
        <f t="shared" si="82"/>
        <v>0</v>
      </c>
      <c r="AQ259" s="103" t="str">
        <f t="shared" si="90"/>
        <v/>
      </c>
      <c r="AR259" s="68" t="str">
        <f>IFERROR(VLOOKUP(A259,CUSTOMERS!$A:$B,2),"")</f>
        <v/>
      </c>
      <c r="AS259" s="68" t="str">
        <f>IFERROR(VLOOKUP(A259,CUSTOMERS!$A:$D,3),"")</f>
        <v/>
      </c>
      <c r="AT259" s="68" t="str">
        <f>IFERROR(VLOOKUP(A259,CUSTOMERS!$A:$F,6),"")</f>
        <v/>
      </c>
      <c r="AU259" s="69" t="str">
        <f>IFERROR(VLOOKUP(A259,CUSTOMERS!$A:$E,4),"")</f>
        <v/>
      </c>
      <c r="AV259" s="68" t="str">
        <f t="shared" si="86"/>
        <v/>
      </c>
      <c r="AX259" s="71" t="str">
        <f t="shared" si="83"/>
        <v>reason259</v>
      </c>
    </row>
    <row r="260" spans="1:50" ht="50.25" customHeight="1">
      <c r="A260" s="188"/>
      <c r="B260" s="125" t="str">
        <f t="shared" si="77"/>
        <v/>
      </c>
      <c r="C260" s="125"/>
      <c r="D260" s="126"/>
      <c r="E260" s="126"/>
      <c r="F260" s="122" t="str">
        <f t="shared" si="76"/>
        <v/>
      </c>
      <c r="G260" s="186"/>
      <c r="H260" s="124"/>
      <c r="I260" s="239"/>
      <c r="J260" s="80" t="str">
        <f t="shared" si="79"/>
        <v/>
      </c>
      <c r="K260" s="177">
        <f t="shared" si="91"/>
        <v>0</v>
      </c>
      <c r="L260" s="160"/>
      <c r="M260" s="161"/>
      <c r="N260" s="162"/>
      <c r="O260" s="162"/>
      <c r="P260" s="163"/>
      <c r="Q260" s="202"/>
      <c r="R260" s="204"/>
      <c r="S260" s="211"/>
      <c r="T260" s="211"/>
      <c r="U260" s="211"/>
      <c r="V260" s="211"/>
      <c r="W260" s="211"/>
      <c r="X260" s="154"/>
      <c r="Y260" s="173" t="str">
        <f t="shared" si="89"/>
        <v/>
      </c>
      <c r="Z260" s="83" t="str">
        <f t="shared" si="80"/>
        <v/>
      </c>
      <c r="AA260" s="84" t="str">
        <f t="shared" si="87"/>
        <v/>
      </c>
      <c r="AB260" s="84" t="str">
        <f t="shared" si="88"/>
        <v/>
      </c>
      <c r="AC260" s="84" t="str">
        <f t="shared" si="81"/>
        <v/>
      </c>
      <c r="AD260" s="84"/>
      <c r="AE260" s="84" t="str">
        <f t="shared" si="84"/>
        <v/>
      </c>
      <c r="AF260" s="84">
        <f t="shared" si="78"/>
        <v>0</v>
      </c>
      <c r="AG260" s="94" t="str">
        <f t="shared" si="85"/>
        <v/>
      </c>
      <c r="AH260" s="85" t="str">
        <f>IFERROR(VLOOKUP(A260,CUSTOMERS!$A:$E,4),"")</f>
        <v/>
      </c>
      <c r="AI260" s="86" t="str">
        <f t="shared" si="92"/>
        <v/>
      </c>
      <c r="AJ260" s="87" t="str">
        <f>IFERROR(VLOOKUP(A260,CUSTOMERS!$A:$F,5),"")</f>
        <v/>
      </c>
      <c r="AK260" s="98"/>
      <c r="AL260" s="98">
        <v>0</v>
      </c>
      <c r="AM260" s="99">
        <v>0</v>
      </c>
      <c r="AN260" s="99"/>
      <c r="AO260" s="99">
        <v>0</v>
      </c>
      <c r="AP260" s="103">
        <f t="shared" si="82"/>
        <v>0</v>
      </c>
      <c r="AQ260" s="103" t="str">
        <f t="shared" si="90"/>
        <v/>
      </c>
      <c r="AR260" s="68" t="str">
        <f>IFERROR(VLOOKUP(A260,CUSTOMERS!$A:$B,2),"")</f>
        <v/>
      </c>
      <c r="AS260" s="68" t="str">
        <f>IFERROR(VLOOKUP(A260,CUSTOMERS!$A:$D,3),"")</f>
        <v/>
      </c>
      <c r="AT260" s="68" t="str">
        <f>IFERROR(VLOOKUP(A260,CUSTOMERS!$A:$F,6),"")</f>
        <v/>
      </c>
      <c r="AU260" s="69" t="str">
        <f>IFERROR(VLOOKUP(A260,CUSTOMERS!$A:$E,4),"")</f>
        <v/>
      </c>
      <c r="AV260" s="68" t="str">
        <f t="shared" si="86"/>
        <v/>
      </c>
      <c r="AX260" s="71" t="str">
        <f t="shared" si="83"/>
        <v>reason260</v>
      </c>
    </row>
    <row r="261" spans="1:50" ht="50.25" customHeight="1">
      <c r="A261" s="188"/>
      <c r="B261" s="125" t="str">
        <f t="shared" si="77"/>
        <v/>
      </c>
      <c r="C261" s="125"/>
      <c r="D261" s="126"/>
      <c r="E261" s="126"/>
      <c r="F261" s="122" t="str">
        <f t="shared" si="76"/>
        <v/>
      </c>
      <c r="G261" s="186"/>
      <c r="H261" s="124"/>
      <c r="I261" s="239"/>
      <c r="J261" s="80" t="str">
        <f t="shared" si="79"/>
        <v/>
      </c>
      <c r="K261" s="177">
        <f t="shared" si="91"/>
        <v>0</v>
      </c>
      <c r="L261" s="160"/>
      <c r="M261" s="161"/>
      <c r="N261" s="162"/>
      <c r="O261" s="162"/>
      <c r="P261" s="163"/>
      <c r="Q261" s="202"/>
      <c r="R261" s="204"/>
      <c r="S261" s="211"/>
      <c r="T261" s="211"/>
      <c r="U261" s="211"/>
      <c r="V261" s="211"/>
      <c r="W261" s="211"/>
      <c r="X261" s="154"/>
      <c r="Y261" s="173" t="str">
        <f t="shared" si="89"/>
        <v/>
      </c>
      <c r="Z261" s="83" t="str">
        <f t="shared" si="80"/>
        <v/>
      </c>
      <c r="AA261" s="84" t="str">
        <f t="shared" si="87"/>
        <v/>
      </c>
      <c r="AB261" s="84" t="str">
        <f t="shared" si="88"/>
        <v/>
      </c>
      <c r="AC261" s="84" t="str">
        <f t="shared" si="81"/>
        <v/>
      </c>
      <c r="AD261" s="84"/>
      <c r="AE261" s="84" t="str">
        <f t="shared" si="84"/>
        <v/>
      </c>
      <c r="AF261" s="84">
        <f t="shared" si="78"/>
        <v>0</v>
      </c>
      <c r="AG261" s="94" t="str">
        <f t="shared" si="85"/>
        <v/>
      </c>
      <c r="AH261" s="85" t="str">
        <f>IFERROR(VLOOKUP(A261,CUSTOMERS!$A:$E,4),"")</f>
        <v/>
      </c>
      <c r="AI261" s="86" t="str">
        <f t="shared" si="92"/>
        <v/>
      </c>
      <c r="AJ261" s="87" t="str">
        <f>IFERROR(VLOOKUP(A261,CUSTOMERS!$A:$F,5),"")</f>
        <v/>
      </c>
      <c r="AK261" s="98"/>
      <c r="AL261" s="98">
        <v>0</v>
      </c>
      <c r="AM261" s="99">
        <v>0</v>
      </c>
      <c r="AN261" s="99"/>
      <c r="AO261" s="99">
        <v>0</v>
      </c>
      <c r="AP261" s="103">
        <f t="shared" si="82"/>
        <v>0</v>
      </c>
      <c r="AQ261" s="103" t="str">
        <f t="shared" si="90"/>
        <v/>
      </c>
      <c r="AR261" s="68" t="str">
        <f>IFERROR(VLOOKUP(A261,CUSTOMERS!$A:$B,2),"")</f>
        <v/>
      </c>
      <c r="AS261" s="68" t="str">
        <f>IFERROR(VLOOKUP(A261,CUSTOMERS!$A:$D,3),"")</f>
        <v/>
      </c>
      <c r="AT261" s="68" t="str">
        <f>IFERROR(VLOOKUP(A261,CUSTOMERS!$A:$F,6),"")</f>
        <v/>
      </c>
      <c r="AU261" s="69" t="str">
        <f>IFERROR(VLOOKUP(A261,CUSTOMERS!$A:$E,4),"")</f>
        <v/>
      </c>
      <c r="AV261" s="68" t="str">
        <f t="shared" si="86"/>
        <v/>
      </c>
      <c r="AX261" s="71" t="str">
        <f t="shared" si="83"/>
        <v>reason261</v>
      </c>
    </row>
    <row r="262" spans="1:50" ht="50.25" customHeight="1">
      <c r="A262" s="188"/>
      <c r="B262" s="125" t="str">
        <f t="shared" si="77"/>
        <v/>
      </c>
      <c r="C262" s="125"/>
      <c r="D262" s="126"/>
      <c r="E262" s="126"/>
      <c r="F262" s="122" t="str">
        <f t="shared" si="76"/>
        <v/>
      </c>
      <c r="G262" s="186"/>
      <c r="H262" s="124"/>
      <c r="I262" s="239"/>
      <c r="J262" s="80" t="str">
        <f t="shared" si="79"/>
        <v/>
      </c>
      <c r="K262" s="177">
        <f t="shared" si="91"/>
        <v>0</v>
      </c>
      <c r="L262" s="160"/>
      <c r="M262" s="161"/>
      <c r="N262" s="162"/>
      <c r="O262" s="162"/>
      <c r="P262" s="163"/>
      <c r="Q262" s="202"/>
      <c r="R262" s="204"/>
      <c r="S262" s="211"/>
      <c r="T262" s="211"/>
      <c r="U262" s="211"/>
      <c r="V262" s="211"/>
      <c r="W262" s="211"/>
      <c r="X262" s="154"/>
      <c r="Y262" s="173" t="str">
        <f t="shared" si="89"/>
        <v/>
      </c>
      <c r="Z262" s="83" t="str">
        <f t="shared" si="80"/>
        <v/>
      </c>
      <c r="AA262" s="84" t="str">
        <f t="shared" si="87"/>
        <v/>
      </c>
      <c r="AB262" s="84" t="str">
        <f t="shared" si="88"/>
        <v/>
      </c>
      <c r="AC262" s="84" t="str">
        <f t="shared" si="81"/>
        <v/>
      </c>
      <c r="AD262" s="84"/>
      <c r="AE262" s="84" t="str">
        <f t="shared" si="84"/>
        <v/>
      </c>
      <c r="AF262" s="84">
        <f t="shared" si="78"/>
        <v>0</v>
      </c>
      <c r="AG262" s="94" t="str">
        <f t="shared" si="85"/>
        <v/>
      </c>
      <c r="AH262" s="85" t="str">
        <f>IFERROR(VLOOKUP(A262,CUSTOMERS!$A:$E,4),"")</f>
        <v/>
      </c>
      <c r="AI262" s="86" t="str">
        <f t="shared" si="92"/>
        <v/>
      </c>
      <c r="AJ262" s="87" t="str">
        <f>IFERROR(VLOOKUP(A262,CUSTOMERS!$A:$F,5),"")</f>
        <v/>
      </c>
      <c r="AK262" s="98"/>
      <c r="AL262" s="98">
        <v>0</v>
      </c>
      <c r="AM262" s="99">
        <v>0</v>
      </c>
      <c r="AN262" s="99"/>
      <c r="AO262" s="99">
        <v>0</v>
      </c>
      <c r="AP262" s="103">
        <f t="shared" si="82"/>
        <v>0</v>
      </c>
      <c r="AQ262" s="103" t="str">
        <f t="shared" si="90"/>
        <v/>
      </c>
      <c r="AR262" s="68" t="str">
        <f>IFERROR(VLOOKUP(A262,CUSTOMERS!$A:$B,2),"")</f>
        <v/>
      </c>
      <c r="AS262" s="68" t="str">
        <f>IFERROR(VLOOKUP(A262,CUSTOMERS!$A:$D,3),"")</f>
        <v/>
      </c>
      <c r="AT262" s="68" t="str">
        <f>IFERROR(VLOOKUP(A262,CUSTOMERS!$A:$F,6),"")</f>
        <v/>
      </c>
      <c r="AU262" s="69" t="str">
        <f>IFERROR(VLOOKUP(A262,CUSTOMERS!$A:$E,4),"")</f>
        <v/>
      </c>
      <c r="AV262" s="68" t="str">
        <f t="shared" si="86"/>
        <v/>
      </c>
      <c r="AX262" s="71" t="str">
        <f t="shared" si="83"/>
        <v>reason262</v>
      </c>
    </row>
    <row r="263" spans="1:50" ht="50.25" customHeight="1">
      <c r="A263" s="188"/>
      <c r="B263" s="125" t="str">
        <f t="shared" si="77"/>
        <v/>
      </c>
      <c r="C263" s="125"/>
      <c r="D263" s="126"/>
      <c r="E263" s="126"/>
      <c r="F263" s="122" t="str">
        <f t="shared" ref="F263:F318" si="93">IF(AS263&lt;&gt;"",_xlfn.CONCAT(AR263,"-",AS263,"-",IF(L263&lt;&gt;"",TEXT(L263,"yyyy"),"0000"),"-",REPT(0,4-LEN(D263))&amp;D263),"")</f>
        <v/>
      </c>
      <c r="G263" s="186"/>
      <c r="H263" s="124"/>
      <c r="I263" s="239"/>
      <c r="J263" s="80" t="str">
        <f t="shared" si="79"/>
        <v/>
      </c>
      <c r="K263" s="177">
        <f t="shared" si="91"/>
        <v>0</v>
      </c>
      <c r="L263" s="160"/>
      <c r="M263" s="161"/>
      <c r="N263" s="162"/>
      <c r="O263" s="162"/>
      <c r="P263" s="163"/>
      <c r="Q263" s="202"/>
      <c r="R263" s="204"/>
      <c r="S263" s="211"/>
      <c r="T263" s="211"/>
      <c r="U263" s="211"/>
      <c r="V263" s="211"/>
      <c r="W263" s="211"/>
      <c r="X263" s="154"/>
      <c r="Y263" s="173" t="str">
        <f t="shared" si="89"/>
        <v/>
      </c>
      <c r="Z263" s="83" t="str">
        <f t="shared" si="80"/>
        <v/>
      </c>
      <c r="AA263" s="84" t="str">
        <f t="shared" si="87"/>
        <v/>
      </c>
      <c r="AB263" s="84" t="str">
        <f t="shared" si="88"/>
        <v/>
      </c>
      <c r="AC263" s="84" t="str">
        <f t="shared" si="81"/>
        <v/>
      </c>
      <c r="AD263" s="84"/>
      <c r="AE263" s="84" t="str">
        <f t="shared" si="84"/>
        <v/>
      </c>
      <c r="AF263" s="84">
        <f t="shared" si="78"/>
        <v>0</v>
      </c>
      <c r="AG263" s="94" t="str">
        <f t="shared" si="85"/>
        <v/>
      </c>
      <c r="AH263" s="85" t="str">
        <f>IFERROR(VLOOKUP(A263,CUSTOMERS!$A:$E,4),"")</f>
        <v/>
      </c>
      <c r="AI263" s="86" t="str">
        <f t="shared" si="92"/>
        <v/>
      </c>
      <c r="AJ263" s="87" t="str">
        <f>IFERROR(VLOOKUP(A263,CUSTOMERS!$A:$F,5),"")</f>
        <v/>
      </c>
      <c r="AK263" s="98"/>
      <c r="AL263" s="98">
        <v>0</v>
      </c>
      <c r="AM263" s="99">
        <v>0</v>
      </c>
      <c r="AN263" s="99"/>
      <c r="AO263" s="99">
        <v>0</v>
      </c>
      <c r="AP263" s="103">
        <f t="shared" si="82"/>
        <v>0</v>
      </c>
      <c r="AQ263" s="103" t="str">
        <f t="shared" si="90"/>
        <v/>
      </c>
      <c r="AR263" s="68" t="str">
        <f>IFERROR(VLOOKUP(A263,CUSTOMERS!$A:$B,2),"")</f>
        <v/>
      </c>
      <c r="AS263" s="68" t="str">
        <f>IFERROR(VLOOKUP(A263,CUSTOMERS!$A:$D,3),"")</f>
        <v/>
      </c>
      <c r="AT263" s="68" t="str">
        <f>IFERROR(VLOOKUP(A263,CUSTOMERS!$A:$F,6),"")</f>
        <v/>
      </c>
      <c r="AU263" s="69" t="str">
        <f>IFERROR(VLOOKUP(A263,CUSTOMERS!$A:$E,4),"")</f>
        <v/>
      </c>
      <c r="AV263" s="68" t="str">
        <f t="shared" si="86"/>
        <v/>
      </c>
      <c r="AX263" s="71" t="str">
        <f t="shared" si="83"/>
        <v>reason263</v>
      </c>
    </row>
    <row r="264" spans="1:50" ht="50.25" customHeight="1">
      <c r="A264" s="188"/>
      <c r="B264" s="125" t="str">
        <f t="shared" si="77"/>
        <v/>
      </c>
      <c r="C264" s="125"/>
      <c r="D264" s="126"/>
      <c r="E264" s="126"/>
      <c r="F264" s="122" t="str">
        <f t="shared" si="93"/>
        <v/>
      </c>
      <c r="G264" s="186"/>
      <c r="H264" s="124"/>
      <c r="I264" s="239"/>
      <c r="J264" s="80" t="str">
        <f t="shared" si="79"/>
        <v/>
      </c>
      <c r="K264" s="177">
        <f t="shared" si="91"/>
        <v>0</v>
      </c>
      <c r="L264" s="160"/>
      <c r="M264" s="161"/>
      <c r="N264" s="162"/>
      <c r="O264" s="162"/>
      <c r="P264" s="163"/>
      <c r="Q264" s="202"/>
      <c r="R264" s="204"/>
      <c r="S264" s="211"/>
      <c r="T264" s="211"/>
      <c r="U264" s="211"/>
      <c r="V264" s="211"/>
      <c r="W264" s="211"/>
      <c r="X264" s="154"/>
      <c r="Y264" s="173" t="str">
        <f t="shared" si="89"/>
        <v/>
      </c>
      <c r="Z264" s="83" t="str">
        <f t="shared" si="80"/>
        <v/>
      </c>
      <c r="AA264" s="84" t="str">
        <f t="shared" si="87"/>
        <v/>
      </c>
      <c r="AB264" s="84" t="str">
        <f t="shared" si="88"/>
        <v/>
      </c>
      <c r="AC264" s="84" t="str">
        <f t="shared" si="81"/>
        <v/>
      </c>
      <c r="AD264" s="84"/>
      <c r="AE264" s="84" t="str">
        <f t="shared" si="84"/>
        <v/>
      </c>
      <c r="AF264" s="84">
        <f t="shared" si="78"/>
        <v>0</v>
      </c>
      <c r="AG264" s="94" t="str">
        <f t="shared" si="85"/>
        <v/>
      </c>
      <c r="AH264" s="85" t="str">
        <f>IFERROR(VLOOKUP(A264,CUSTOMERS!$A:$E,4),"")</f>
        <v/>
      </c>
      <c r="AI264" s="86" t="str">
        <f t="shared" si="92"/>
        <v/>
      </c>
      <c r="AJ264" s="87" t="str">
        <f>IFERROR(VLOOKUP(A264,CUSTOMERS!$A:$F,5),"")</f>
        <v/>
      </c>
      <c r="AK264" s="98"/>
      <c r="AL264" s="98">
        <v>0</v>
      </c>
      <c r="AM264" s="99">
        <v>0</v>
      </c>
      <c r="AN264" s="99"/>
      <c r="AO264" s="99">
        <v>0</v>
      </c>
      <c r="AP264" s="103">
        <f t="shared" si="82"/>
        <v>0</v>
      </c>
      <c r="AQ264" s="103" t="str">
        <f t="shared" si="90"/>
        <v/>
      </c>
      <c r="AR264" s="68" t="str">
        <f>IFERROR(VLOOKUP(A264,CUSTOMERS!$A:$B,2),"")</f>
        <v/>
      </c>
      <c r="AS264" s="68" t="str">
        <f>IFERROR(VLOOKUP(A264,CUSTOMERS!$A:$D,3),"")</f>
        <v/>
      </c>
      <c r="AT264" s="68" t="str">
        <f>IFERROR(VLOOKUP(A264,CUSTOMERS!$A:$F,6),"")</f>
        <v/>
      </c>
      <c r="AU264" s="69" t="str">
        <f>IFERROR(VLOOKUP(A264,CUSTOMERS!$A:$E,4),"")</f>
        <v/>
      </c>
      <c r="AV264" s="68" t="str">
        <f t="shared" si="86"/>
        <v/>
      </c>
      <c r="AX264" s="71" t="str">
        <f t="shared" si="83"/>
        <v>reason264</v>
      </c>
    </row>
    <row r="265" spans="1:50" ht="50.25" customHeight="1">
      <c r="A265" s="188"/>
      <c r="B265" s="125" t="str">
        <f t="shared" si="77"/>
        <v/>
      </c>
      <c r="C265" s="125"/>
      <c r="D265" s="126"/>
      <c r="E265" s="126"/>
      <c r="F265" s="122" t="str">
        <f t="shared" si="93"/>
        <v/>
      </c>
      <c r="G265" s="186"/>
      <c r="H265" s="124"/>
      <c r="I265" s="239"/>
      <c r="J265" s="80" t="str">
        <f t="shared" si="79"/>
        <v/>
      </c>
      <c r="K265" s="177">
        <f t="shared" si="91"/>
        <v>0</v>
      </c>
      <c r="L265" s="160"/>
      <c r="M265" s="161"/>
      <c r="N265" s="162"/>
      <c r="O265" s="162"/>
      <c r="P265" s="163"/>
      <c r="Q265" s="202"/>
      <c r="R265" s="204"/>
      <c r="S265" s="211"/>
      <c r="T265" s="211"/>
      <c r="U265" s="211"/>
      <c r="V265" s="211"/>
      <c r="W265" s="211"/>
      <c r="X265" s="154"/>
      <c r="Y265" s="173" t="str">
        <f t="shared" si="89"/>
        <v/>
      </c>
      <c r="Z265" s="83" t="str">
        <f t="shared" si="80"/>
        <v/>
      </c>
      <c r="AA265" s="84" t="str">
        <f t="shared" si="87"/>
        <v/>
      </c>
      <c r="AB265" s="84" t="str">
        <f t="shared" si="88"/>
        <v/>
      </c>
      <c r="AC265" s="84" t="str">
        <f t="shared" si="81"/>
        <v/>
      </c>
      <c r="AD265" s="84"/>
      <c r="AE265" s="84" t="str">
        <f t="shared" si="84"/>
        <v/>
      </c>
      <c r="AF265" s="84">
        <f t="shared" si="78"/>
        <v>0</v>
      </c>
      <c r="AG265" s="94" t="str">
        <f t="shared" si="85"/>
        <v/>
      </c>
      <c r="AH265" s="85" t="str">
        <f>IFERROR(VLOOKUP(A265,CUSTOMERS!$A:$E,4),"")</f>
        <v/>
      </c>
      <c r="AI265" s="86" t="str">
        <f t="shared" si="92"/>
        <v/>
      </c>
      <c r="AJ265" s="87" t="str">
        <f>IFERROR(VLOOKUP(A265,CUSTOMERS!$A:$F,5),"")</f>
        <v/>
      </c>
      <c r="AK265" s="98"/>
      <c r="AL265" s="98">
        <v>0</v>
      </c>
      <c r="AM265" s="99">
        <v>0</v>
      </c>
      <c r="AN265" s="99"/>
      <c r="AO265" s="99">
        <v>0</v>
      </c>
      <c r="AP265" s="103">
        <f t="shared" si="82"/>
        <v>0</v>
      </c>
      <c r="AQ265" s="103" t="str">
        <f t="shared" si="90"/>
        <v/>
      </c>
      <c r="AR265" s="68" t="str">
        <f>IFERROR(VLOOKUP(A265,CUSTOMERS!$A:$B,2),"")</f>
        <v/>
      </c>
      <c r="AS265" s="68" t="str">
        <f>IFERROR(VLOOKUP(A265,CUSTOMERS!$A:$D,3),"")</f>
        <v/>
      </c>
      <c r="AT265" s="68" t="str">
        <f>IFERROR(VLOOKUP(A265,CUSTOMERS!$A:$F,6),"")</f>
        <v/>
      </c>
      <c r="AU265" s="69" t="str">
        <f>IFERROR(VLOOKUP(A265,CUSTOMERS!$A:$E,4),"")</f>
        <v/>
      </c>
      <c r="AV265" s="68" t="str">
        <f t="shared" si="86"/>
        <v/>
      </c>
      <c r="AX265" s="71" t="str">
        <f t="shared" si="83"/>
        <v>reason265</v>
      </c>
    </row>
    <row r="266" spans="1:50" ht="50.25" customHeight="1">
      <c r="A266" s="188"/>
      <c r="B266" s="125" t="str">
        <f t="shared" si="77"/>
        <v/>
      </c>
      <c r="C266" s="125"/>
      <c r="D266" s="126"/>
      <c r="E266" s="126"/>
      <c r="F266" s="122" t="str">
        <f t="shared" si="93"/>
        <v/>
      </c>
      <c r="G266" s="186"/>
      <c r="H266" s="124"/>
      <c r="I266" s="239"/>
      <c r="J266" s="80" t="str">
        <f t="shared" si="79"/>
        <v/>
      </c>
      <c r="K266" s="177">
        <f t="shared" si="91"/>
        <v>0</v>
      </c>
      <c r="L266" s="160"/>
      <c r="M266" s="161"/>
      <c r="N266" s="162"/>
      <c r="O266" s="162"/>
      <c r="P266" s="163"/>
      <c r="Q266" s="202"/>
      <c r="R266" s="204"/>
      <c r="S266" s="211"/>
      <c r="T266" s="211"/>
      <c r="U266" s="211"/>
      <c r="V266" s="211"/>
      <c r="W266" s="211"/>
      <c r="X266" s="154"/>
      <c r="Y266" s="173" t="str">
        <f t="shared" si="89"/>
        <v/>
      </c>
      <c r="Z266" s="83" t="str">
        <f t="shared" si="80"/>
        <v/>
      </c>
      <c r="AA266" s="84" t="str">
        <f t="shared" si="87"/>
        <v/>
      </c>
      <c r="AB266" s="84" t="str">
        <f t="shared" si="88"/>
        <v/>
      </c>
      <c r="AC266" s="84" t="str">
        <f t="shared" si="81"/>
        <v/>
      </c>
      <c r="AD266" s="84"/>
      <c r="AE266" s="84" t="str">
        <f t="shared" si="84"/>
        <v/>
      </c>
      <c r="AF266" s="84">
        <f t="shared" si="78"/>
        <v>0</v>
      </c>
      <c r="AG266" s="94" t="str">
        <f t="shared" si="85"/>
        <v/>
      </c>
      <c r="AH266" s="85" t="str">
        <f>IFERROR(VLOOKUP(A266,CUSTOMERS!$A:$E,4),"")</f>
        <v/>
      </c>
      <c r="AI266" s="86" t="str">
        <f t="shared" si="92"/>
        <v/>
      </c>
      <c r="AJ266" s="87" t="str">
        <f>IFERROR(VLOOKUP(A266,CUSTOMERS!$A:$F,5),"")</f>
        <v/>
      </c>
      <c r="AK266" s="98"/>
      <c r="AL266" s="98">
        <v>0</v>
      </c>
      <c r="AM266" s="99">
        <v>0</v>
      </c>
      <c r="AN266" s="99"/>
      <c r="AO266" s="99">
        <v>0</v>
      </c>
      <c r="AP266" s="103">
        <f t="shared" si="82"/>
        <v>0</v>
      </c>
      <c r="AQ266" s="103" t="str">
        <f t="shared" si="90"/>
        <v/>
      </c>
      <c r="AR266" s="68" t="str">
        <f>IFERROR(VLOOKUP(A266,CUSTOMERS!$A:$B,2),"")</f>
        <v/>
      </c>
      <c r="AS266" s="68" t="str">
        <f>IFERROR(VLOOKUP(A266,CUSTOMERS!$A:$D,3),"")</f>
        <v/>
      </c>
      <c r="AT266" s="68" t="str">
        <f>IFERROR(VLOOKUP(A266,CUSTOMERS!$A:$F,6),"")</f>
        <v/>
      </c>
      <c r="AU266" s="69" t="str">
        <f>IFERROR(VLOOKUP(A266,CUSTOMERS!$A:$E,4),"")</f>
        <v/>
      </c>
      <c r="AV266" s="68" t="str">
        <f t="shared" si="86"/>
        <v/>
      </c>
      <c r="AX266" s="71" t="str">
        <f t="shared" si="83"/>
        <v>reason266</v>
      </c>
    </row>
    <row r="267" spans="1:50" ht="50.25" customHeight="1">
      <c r="A267" s="188"/>
      <c r="B267" s="125" t="str">
        <f t="shared" si="77"/>
        <v/>
      </c>
      <c r="C267" s="125"/>
      <c r="D267" s="126"/>
      <c r="E267" s="126"/>
      <c r="F267" s="122" t="str">
        <f t="shared" si="93"/>
        <v/>
      </c>
      <c r="G267" s="186"/>
      <c r="H267" s="124"/>
      <c r="I267" s="239"/>
      <c r="J267" s="80" t="str">
        <f t="shared" si="79"/>
        <v/>
      </c>
      <c r="K267" s="177">
        <f t="shared" si="91"/>
        <v>0</v>
      </c>
      <c r="L267" s="160"/>
      <c r="M267" s="161"/>
      <c r="N267" s="162"/>
      <c r="O267" s="162"/>
      <c r="P267" s="163"/>
      <c r="Q267" s="202"/>
      <c r="R267" s="204"/>
      <c r="S267" s="211"/>
      <c r="T267" s="211"/>
      <c r="U267" s="211"/>
      <c r="V267" s="211"/>
      <c r="W267" s="211"/>
      <c r="X267" s="154"/>
      <c r="Y267" s="173" t="str">
        <f t="shared" si="89"/>
        <v/>
      </c>
      <c r="Z267" s="83" t="str">
        <f t="shared" si="80"/>
        <v/>
      </c>
      <c r="AA267" s="84" t="str">
        <f t="shared" si="87"/>
        <v/>
      </c>
      <c r="AB267" s="84" t="str">
        <f t="shared" si="88"/>
        <v/>
      </c>
      <c r="AC267" s="84" t="str">
        <f t="shared" si="81"/>
        <v/>
      </c>
      <c r="AD267" s="84"/>
      <c r="AE267" s="84" t="str">
        <f t="shared" si="84"/>
        <v/>
      </c>
      <c r="AF267" s="84">
        <f t="shared" si="78"/>
        <v>0</v>
      </c>
      <c r="AG267" s="94" t="str">
        <f t="shared" si="85"/>
        <v/>
      </c>
      <c r="AH267" s="85" t="str">
        <f>IFERROR(VLOOKUP(A267,CUSTOMERS!$A:$E,4),"")</f>
        <v/>
      </c>
      <c r="AI267" s="86" t="str">
        <f t="shared" si="92"/>
        <v/>
      </c>
      <c r="AJ267" s="87" t="str">
        <f>IFERROR(VLOOKUP(A267,CUSTOMERS!$A:$F,5),"")</f>
        <v/>
      </c>
      <c r="AK267" s="98"/>
      <c r="AL267" s="98">
        <v>0</v>
      </c>
      <c r="AM267" s="99">
        <v>0</v>
      </c>
      <c r="AN267" s="99"/>
      <c r="AO267" s="99">
        <v>0</v>
      </c>
      <c r="AP267" s="103">
        <f t="shared" si="82"/>
        <v>0</v>
      </c>
      <c r="AQ267" s="103" t="str">
        <f t="shared" si="90"/>
        <v/>
      </c>
      <c r="AR267" s="68" t="str">
        <f>IFERROR(VLOOKUP(A267,CUSTOMERS!$A:$B,2),"")</f>
        <v/>
      </c>
      <c r="AS267" s="68" t="str">
        <f>IFERROR(VLOOKUP(A267,CUSTOMERS!$A:$D,3),"")</f>
        <v/>
      </c>
      <c r="AT267" s="68" t="str">
        <f>IFERROR(VLOOKUP(A267,CUSTOMERS!$A:$F,6),"")</f>
        <v/>
      </c>
      <c r="AU267" s="69" t="str">
        <f>IFERROR(VLOOKUP(A267,CUSTOMERS!$A:$E,4),"")</f>
        <v/>
      </c>
      <c r="AV267" s="68" t="str">
        <f t="shared" si="86"/>
        <v/>
      </c>
      <c r="AX267" s="71" t="str">
        <f t="shared" si="83"/>
        <v>reason267</v>
      </c>
    </row>
    <row r="268" spans="1:50" ht="50.25" customHeight="1">
      <c r="A268" s="188"/>
      <c r="B268" s="125" t="str">
        <f t="shared" si="77"/>
        <v/>
      </c>
      <c r="C268" s="125"/>
      <c r="D268" s="126"/>
      <c r="E268" s="126"/>
      <c r="F268" s="122" t="str">
        <f t="shared" si="93"/>
        <v/>
      </c>
      <c r="G268" s="186"/>
      <c r="H268" s="124"/>
      <c r="I268" s="239"/>
      <c r="J268" s="80" t="str">
        <f t="shared" si="79"/>
        <v/>
      </c>
      <c r="K268" s="177">
        <f t="shared" si="91"/>
        <v>0</v>
      </c>
      <c r="L268" s="160"/>
      <c r="M268" s="161"/>
      <c r="N268" s="162"/>
      <c r="O268" s="162"/>
      <c r="P268" s="163"/>
      <c r="Q268" s="202"/>
      <c r="R268" s="204"/>
      <c r="S268" s="211"/>
      <c r="T268" s="211"/>
      <c r="U268" s="211"/>
      <c r="V268" s="211"/>
      <c r="W268" s="211"/>
      <c r="X268" s="154"/>
      <c r="Y268" s="173" t="str">
        <f t="shared" si="89"/>
        <v/>
      </c>
      <c r="Z268" s="83" t="str">
        <f t="shared" si="80"/>
        <v/>
      </c>
      <c r="AA268" s="84" t="str">
        <f t="shared" si="87"/>
        <v/>
      </c>
      <c r="AB268" s="84" t="str">
        <f t="shared" si="88"/>
        <v/>
      </c>
      <c r="AC268" s="84" t="str">
        <f t="shared" si="81"/>
        <v/>
      </c>
      <c r="AD268" s="84"/>
      <c r="AE268" s="84" t="str">
        <f t="shared" si="84"/>
        <v/>
      </c>
      <c r="AF268" s="84">
        <f t="shared" si="78"/>
        <v>0</v>
      </c>
      <c r="AG268" s="94" t="str">
        <f t="shared" si="85"/>
        <v/>
      </c>
      <c r="AH268" s="85" t="str">
        <f>IFERROR(VLOOKUP(A268,CUSTOMERS!$A:$E,4),"")</f>
        <v/>
      </c>
      <c r="AI268" s="86" t="str">
        <f t="shared" si="92"/>
        <v/>
      </c>
      <c r="AJ268" s="87" t="str">
        <f>IFERROR(VLOOKUP(A268,CUSTOMERS!$A:$F,5),"")</f>
        <v/>
      </c>
      <c r="AK268" s="98"/>
      <c r="AL268" s="98">
        <v>0</v>
      </c>
      <c r="AM268" s="99">
        <v>0</v>
      </c>
      <c r="AN268" s="99"/>
      <c r="AO268" s="99">
        <v>0</v>
      </c>
      <c r="AP268" s="103">
        <f t="shared" si="82"/>
        <v>0</v>
      </c>
      <c r="AQ268" s="103" t="str">
        <f t="shared" si="90"/>
        <v/>
      </c>
      <c r="AR268" s="68" t="str">
        <f>IFERROR(VLOOKUP(A268,CUSTOMERS!$A:$B,2),"")</f>
        <v/>
      </c>
      <c r="AS268" s="68" t="str">
        <f>IFERROR(VLOOKUP(A268,CUSTOMERS!$A:$D,3),"")</f>
        <v/>
      </c>
      <c r="AT268" s="68" t="str">
        <f>IFERROR(VLOOKUP(A268,CUSTOMERS!$A:$F,6),"")</f>
        <v/>
      </c>
      <c r="AU268" s="69" t="str">
        <f>IFERROR(VLOOKUP(A268,CUSTOMERS!$A:$E,4),"")</f>
        <v/>
      </c>
      <c r="AV268" s="68" t="str">
        <f t="shared" si="86"/>
        <v/>
      </c>
      <c r="AX268" s="71" t="str">
        <f t="shared" si="83"/>
        <v>reason268</v>
      </c>
    </row>
    <row r="269" spans="1:50" ht="50.25" customHeight="1">
      <c r="A269" s="188"/>
      <c r="B269" s="125" t="str">
        <f t="shared" si="77"/>
        <v/>
      </c>
      <c r="C269" s="125"/>
      <c r="D269" s="126"/>
      <c r="E269" s="126"/>
      <c r="F269" s="122" t="str">
        <f t="shared" si="93"/>
        <v/>
      </c>
      <c r="G269" s="186"/>
      <c r="H269" s="124"/>
      <c r="I269" s="239"/>
      <c r="J269" s="80" t="str">
        <f t="shared" si="79"/>
        <v/>
      </c>
      <c r="K269" s="177">
        <f t="shared" si="91"/>
        <v>0</v>
      </c>
      <c r="L269" s="160"/>
      <c r="M269" s="161"/>
      <c r="N269" s="162"/>
      <c r="O269" s="162"/>
      <c r="P269" s="163"/>
      <c r="Q269" s="202"/>
      <c r="R269" s="204"/>
      <c r="S269" s="211"/>
      <c r="T269" s="211"/>
      <c r="U269" s="211"/>
      <c r="V269" s="211"/>
      <c r="W269" s="211"/>
      <c r="X269" s="154"/>
      <c r="Y269" s="173" t="str">
        <f t="shared" si="89"/>
        <v/>
      </c>
      <c r="Z269" s="83" t="str">
        <f t="shared" si="80"/>
        <v/>
      </c>
      <c r="AA269" s="84" t="str">
        <f t="shared" si="87"/>
        <v/>
      </c>
      <c r="AB269" s="84" t="str">
        <f t="shared" si="88"/>
        <v/>
      </c>
      <c r="AC269" s="84" t="str">
        <f t="shared" si="81"/>
        <v/>
      </c>
      <c r="AD269" s="84"/>
      <c r="AE269" s="84" t="str">
        <f t="shared" si="84"/>
        <v/>
      </c>
      <c r="AF269" s="84">
        <f t="shared" si="78"/>
        <v>0</v>
      </c>
      <c r="AG269" s="94" t="str">
        <f t="shared" si="85"/>
        <v/>
      </c>
      <c r="AH269" s="85" t="str">
        <f>IFERROR(VLOOKUP(A269,CUSTOMERS!$A:$E,4),"")</f>
        <v/>
      </c>
      <c r="AI269" s="86" t="str">
        <f t="shared" si="92"/>
        <v/>
      </c>
      <c r="AJ269" s="87" t="str">
        <f>IFERROR(VLOOKUP(A269,CUSTOMERS!$A:$F,5),"")</f>
        <v/>
      </c>
      <c r="AK269" s="98"/>
      <c r="AL269" s="98">
        <v>0</v>
      </c>
      <c r="AM269" s="99">
        <v>0</v>
      </c>
      <c r="AN269" s="99"/>
      <c r="AO269" s="99">
        <v>0</v>
      </c>
      <c r="AP269" s="103">
        <f t="shared" si="82"/>
        <v>0</v>
      </c>
      <c r="AQ269" s="103" t="str">
        <f t="shared" si="90"/>
        <v/>
      </c>
      <c r="AR269" s="68" t="str">
        <f>IFERROR(VLOOKUP(A269,CUSTOMERS!$A:$B,2),"")</f>
        <v/>
      </c>
      <c r="AS269" s="68" t="str">
        <f>IFERROR(VLOOKUP(A269,CUSTOMERS!$A:$D,3),"")</f>
        <v/>
      </c>
      <c r="AT269" s="68" t="str">
        <f>IFERROR(VLOOKUP(A269,CUSTOMERS!$A:$F,6),"")</f>
        <v/>
      </c>
      <c r="AU269" s="69" t="str">
        <f>IFERROR(VLOOKUP(A269,CUSTOMERS!$A:$E,4),"")</f>
        <v/>
      </c>
      <c r="AV269" s="68" t="str">
        <f t="shared" si="86"/>
        <v/>
      </c>
      <c r="AX269" s="71" t="str">
        <f t="shared" si="83"/>
        <v>reason269</v>
      </c>
    </row>
    <row r="270" spans="1:50" ht="50.25" customHeight="1">
      <c r="A270" s="188"/>
      <c r="B270" s="125" t="str">
        <f t="shared" ref="B270:B318" si="94">AT270</f>
        <v/>
      </c>
      <c r="C270" s="125"/>
      <c r="D270" s="126"/>
      <c r="E270" s="126"/>
      <c r="F270" s="122" t="str">
        <f t="shared" si="93"/>
        <v/>
      </c>
      <c r="G270" s="186"/>
      <c r="H270" s="124"/>
      <c r="I270" s="239"/>
      <c r="J270" s="80" t="str">
        <f t="shared" si="79"/>
        <v/>
      </c>
      <c r="K270" s="177">
        <f t="shared" si="91"/>
        <v>0</v>
      </c>
      <c r="L270" s="160"/>
      <c r="M270" s="161"/>
      <c r="N270" s="162"/>
      <c r="O270" s="162"/>
      <c r="P270" s="163"/>
      <c r="Q270" s="202"/>
      <c r="R270" s="204"/>
      <c r="S270" s="211"/>
      <c r="T270" s="211"/>
      <c r="U270" s="211"/>
      <c r="V270" s="211"/>
      <c r="W270" s="211"/>
      <c r="X270" s="154"/>
      <c r="Y270" s="173" t="str">
        <f t="shared" si="89"/>
        <v/>
      </c>
      <c r="Z270" s="83" t="str">
        <f t="shared" si="80"/>
        <v/>
      </c>
      <c r="AA270" s="84" t="str">
        <f t="shared" si="87"/>
        <v/>
      </c>
      <c r="AB270" s="84" t="str">
        <f t="shared" si="88"/>
        <v/>
      </c>
      <c r="AC270" s="84" t="str">
        <f t="shared" si="81"/>
        <v/>
      </c>
      <c r="AD270" s="84"/>
      <c r="AE270" s="84" t="str">
        <f t="shared" si="84"/>
        <v/>
      </c>
      <c r="AF270" s="84">
        <f t="shared" si="78"/>
        <v>0</v>
      </c>
      <c r="AG270" s="94" t="str">
        <f t="shared" si="85"/>
        <v/>
      </c>
      <c r="AH270" s="85" t="str">
        <f>IFERROR(VLOOKUP(A270,CUSTOMERS!$A:$E,4),"")</f>
        <v/>
      </c>
      <c r="AI270" s="86" t="str">
        <f t="shared" si="92"/>
        <v/>
      </c>
      <c r="AJ270" s="87" t="str">
        <f>IFERROR(VLOOKUP(A270,CUSTOMERS!$A:$F,5),"")</f>
        <v/>
      </c>
      <c r="AK270" s="98"/>
      <c r="AL270" s="98">
        <v>0</v>
      </c>
      <c r="AM270" s="99">
        <v>0</v>
      </c>
      <c r="AN270" s="99"/>
      <c r="AO270" s="99">
        <v>0</v>
      </c>
      <c r="AP270" s="103">
        <f t="shared" si="82"/>
        <v>0</v>
      </c>
      <c r="AQ270" s="103" t="str">
        <f t="shared" si="90"/>
        <v/>
      </c>
      <c r="AR270" s="68" t="str">
        <f>IFERROR(VLOOKUP(A270,CUSTOMERS!$A:$B,2),"")</f>
        <v/>
      </c>
      <c r="AS270" s="68" t="str">
        <f>IFERROR(VLOOKUP(A270,CUSTOMERS!$A:$D,3),"")</f>
        <v/>
      </c>
      <c r="AT270" s="68" t="str">
        <f>IFERROR(VLOOKUP(A270,CUSTOMERS!$A:$F,6),"")</f>
        <v/>
      </c>
      <c r="AU270" s="69" t="str">
        <f>IFERROR(VLOOKUP(A270,CUSTOMERS!$A:$E,4),"")</f>
        <v/>
      </c>
      <c r="AV270" s="68" t="str">
        <f t="shared" si="86"/>
        <v/>
      </c>
      <c r="AX270" s="71" t="str">
        <f t="shared" si="83"/>
        <v>reason270</v>
      </c>
    </row>
    <row r="271" spans="1:50" ht="50.25" customHeight="1">
      <c r="A271" s="188"/>
      <c r="B271" s="125" t="str">
        <f t="shared" si="94"/>
        <v/>
      </c>
      <c r="C271" s="125"/>
      <c r="D271" s="126"/>
      <c r="E271" s="126"/>
      <c r="F271" s="122" t="str">
        <f t="shared" si="93"/>
        <v/>
      </c>
      <c r="G271" s="186"/>
      <c r="H271" s="124"/>
      <c r="I271" s="239"/>
      <c r="J271" s="80" t="str">
        <f t="shared" si="79"/>
        <v/>
      </c>
      <c r="K271" s="177">
        <f t="shared" si="91"/>
        <v>0</v>
      </c>
      <c r="L271" s="160"/>
      <c r="M271" s="161"/>
      <c r="N271" s="162"/>
      <c r="O271" s="162"/>
      <c r="P271" s="163"/>
      <c r="Q271" s="202"/>
      <c r="R271" s="204"/>
      <c r="S271" s="211"/>
      <c r="T271" s="211"/>
      <c r="U271" s="211"/>
      <c r="V271" s="211"/>
      <c r="W271" s="211"/>
      <c r="X271" s="154"/>
      <c r="Y271" s="173" t="str">
        <f t="shared" si="89"/>
        <v/>
      </c>
      <c r="Z271" s="83" t="str">
        <f t="shared" si="80"/>
        <v/>
      </c>
      <c r="AA271" s="84" t="str">
        <f t="shared" si="87"/>
        <v/>
      </c>
      <c r="AB271" s="84" t="str">
        <f t="shared" si="88"/>
        <v/>
      </c>
      <c r="AC271" s="84" t="str">
        <f t="shared" si="81"/>
        <v/>
      </c>
      <c r="AD271" s="84"/>
      <c r="AE271" s="84" t="str">
        <f t="shared" si="84"/>
        <v/>
      </c>
      <c r="AF271" s="84">
        <f t="shared" si="78"/>
        <v>0</v>
      </c>
      <c r="AG271" s="94" t="str">
        <f t="shared" si="85"/>
        <v/>
      </c>
      <c r="AH271" s="85" t="str">
        <f>IFERROR(VLOOKUP(A271,CUSTOMERS!$A:$E,4),"")</f>
        <v/>
      </c>
      <c r="AI271" s="86" t="str">
        <f t="shared" si="92"/>
        <v/>
      </c>
      <c r="AJ271" s="87" t="str">
        <f>IFERROR(VLOOKUP(A271,CUSTOMERS!$A:$F,5),"")</f>
        <v/>
      </c>
      <c r="AK271" s="98"/>
      <c r="AL271" s="98">
        <v>0</v>
      </c>
      <c r="AM271" s="99">
        <v>0</v>
      </c>
      <c r="AN271" s="99"/>
      <c r="AO271" s="99">
        <v>0</v>
      </c>
      <c r="AP271" s="103">
        <f t="shared" si="82"/>
        <v>0</v>
      </c>
      <c r="AQ271" s="103" t="str">
        <f t="shared" si="90"/>
        <v/>
      </c>
      <c r="AR271" s="68" t="str">
        <f>IFERROR(VLOOKUP(A271,CUSTOMERS!$A:$B,2),"")</f>
        <v/>
      </c>
      <c r="AS271" s="68" t="str">
        <f>IFERROR(VLOOKUP(A271,CUSTOMERS!$A:$D,3),"")</f>
        <v/>
      </c>
      <c r="AT271" s="68" t="str">
        <f>IFERROR(VLOOKUP(A271,CUSTOMERS!$A:$F,6),"")</f>
        <v/>
      </c>
      <c r="AU271" s="69" t="str">
        <f>IFERROR(VLOOKUP(A271,CUSTOMERS!$A:$E,4),"")</f>
        <v/>
      </c>
      <c r="AV271" s="68" t="str">
        <f t="shared" si="86"/>
        <v/>
      </c>
      <c r="AX271" s="71" t="str">
        <f t="shared" si="83"/>
        <v>reason271</v>
      </c>
    </row>
    <row r="272" spans="1:50" ht="50.25" customHeight="1">
      <c r="A272" s="188"/>
      <c r="B272" s="125" t="str">
        <f t="shared" si="94"/>
        <v/>
      </c>
      <c r="C272" s="125"/>
      <c r="D272" s="126"/>
      <c r="E272" s="126"/>
      <c r="F272" s="122" t="str">
        <f t="shared" si="93"/>
        <v/>
      </c>
      <c r="G272" s="186"/>
      <c r="H272" s="124"/>
      <c r="I272" s="239"/>
      <c r="J272" s="80" t="str">
        <f t="shared" si="79"/>
        <v/>
      </c>
      <c r="K272" s="177">
        <f t="shared" si="91"/>
        <v>0</v>
      </c>
      <c r="L272" s="160"/>
      <c r="M272" s="161"/>
      <c r="N272" s="162"/>
      <c r="O272" s="162"/>
      <c r="P272" s="163"/>
      <c r="Q272" s="202"/>
      <c r="R272" s="204"/>
      <c r="S272" s="211"/>
      <c r="T272" s="211"/>
      <c r="U272" s="211"/>
      <c r="V272" s="211"/>
      <c r="W272" s="211"/>
      <c r="X272" s="154"/>
      <c r="Y272" s="173" t="str">
        <f t="shared" si="89"/>
        <v/>
      </c>
      <c r="Z272" s="83" t="str">
        <f t="shared" si="80"/>
        <v/>
      </c>
      <c r="AA272" s="84" t="str">
        <f t="shared" si="87"/>
        <v/>
      </c>
      <c r="AB272" s="84" t="str">
        <f t="shared" si="88"/>
        <v/>
      </c>
      <c r="AC272" s="84" t="str">
        <f t="shared" si="81"/>
        <v/>
      </c>
      <c r="AD272" s="84"/>
      <c r="AE272" s="84" t="str">
        <f t="shared" si="84"/>
        <v/>
      </c>
      <c r="AF272" s="84">
        <f t="shared" si="78"/>
        <v>0</v>
      </c>
      <c r="AG272" s="94" t="str">
        <f t="shared" si="85"/>
        <v/>
      </c>
      <c r="AH272" s="85" t="str">
        <f>IFERROR(VLOOKUP(A272,CUSTOMERS!$A:$E,4),"")</f>
        <v/>
      </c>
      <c r="AI272" s="86" t="str">
        <f t="shared" si="92"/>
        <v/>
      </c>
      <c r="AJ272" s="87" t="str">
        <f>IFERROR(VLOOKUP(A272,CUSTOMERS!$A:$F,5),"")</f>
        <v/>
      </c>
      <c r="AK272" s="98"/>
      <c r="AL272" s="98">
        <v>0</v>
      </c>
      <c r="AM272" s="99">
        <v>0</v>
      </c>
      <c r="AN272" s="99"/>
      <c r="AO272" s="99">
        <v>0</v>
      </c>
      <c r="AP272" s="103">
        <f t="shared" si="82"/>
        <v>0</v>
      </c>
      <c r="AQ272" s="103" t="str">
        <f t="shared" si="90"/>
        <v/>
      </c>
      <c r="AR272" s="68" t="str">
        <f>IFERROR(VLOOKUP(A272,CUSTOMERS!$A:$B,2),"")</f>
        <v/>
      </c>
      <c r="AS272" s="68" t="str">
        <f>IFERROR(VLOOKUP(A272,CUSTOMERS!$A:$D,3),"")</f>
        <v/>
      </c>
      <c r="AT272" s="68" t="str">
        <f>IFERROR(VLOOKUP(A272,CUSTOMERS!$A:$F,6),"")</f>
        <v/>
      </c>
      <c r="AU272" s="69" t="str">
        <f>IFERROR(VLOOKUP(A272,CUSTOMERS!$A:$E,4),"")</f>
        <v/>
      </c>
      <c r="AV272" s="68" t="str">
        <f t="shared" si="86"/>
        <v/>
      </c>
      <c r="AX272" s="71" t="str">
        <f t="shared" si="83"/>
        <v>reason272</v>
      </c>
    </row>
    <row r="273" spans="1:50" ht="50.25" customHeight="1">
      <c r="A273" s="188"/>
      <c r="B273" s="125" t="str">
        <f t="shared" si="94"/>
        <v/>
      </c>
      <c r="C273" s="125"/>
      <c r="D273" s="126"/>
      <c r="E273" s="126"/>
      <c r="F273" s="122" t="str">
        <f t="shared" si="93"/>
        <v/>
      </c>
      <c r="G273" s="186"/>
      <c r="H273" s="124"/>
      <c r="I273" s="239"/>
      <c r="J273" s="80" t="str">
        <f t="shared" si="79"/>
        <v/>
      </c>
      <c r="K273" s="177">
        <f t="shared" si="91"/>
        <v>0</v>
      </c>
      <c r="L273" s="160"/>
      <c r="M273" s="161"/>
      <c r="N273" s="162"/>
      <c r="O273" s="162"/>
      <c r="P273" s="163"/>
      <c r="Q273" s="202"/>
      <c r="R273" s="204"/>
      <c r="S273" s="211"/>
      <c r="T273" s="211"/>
      <c r="U273" s="211"/>
      <c r="V273" s="211"/>
      <c r="W273" s="211"/>
      <c r="X273" s="154"/>
      <c r="Y273" s="173" t="str">
        <f t="shared" si="89"/>
        <v/>
      </c>
      <c r="Z273" s="83" t="str">
        <f t="shared" si="80"/>
        <v/>
      </c>
      <c r="AA273" s="84" t="str">
        <f t="shared" si="87"/>
        <v/>
      </c>
      <c r="AB273" s="84" t="str">
        <f t="shared" si="88"/>
        <v/>
      </c>
      <c r="AC273" s="84" t="str">
        <f t="shared" si="81"/>
        <v/>
      </c>
      <c r="AD273" s="84"/>
      <c r="AE273" s="84" t="str">
        <f t="shared" si="84"/>
        <v/>
      </c>
      <c r="AF273" s="84">
        <f t="shared" si="78"/>
        <v>0</v>
      </c>
      <c r="AG273" s="94" t="str">
        <f t="shared" si="85"/>
        <v/>
      </c>
      <c r="AH273" s="85" t="str">
        <f>IFERROR(VLOOKUP(A273,CUSTOMERS!$A:$E,4),"")</f>
        <v/>
      </c>
      <c r="AI273" s="86" t="str">
        <f t="shared" si="92"/>
        <v/>
      </c>
      <c r="AJ273" s="87" t="str">
        <f>IFERROR(VLOOKUP(A273,CUSTOMERS!$A:$F,5),"")</f>
        <v/>
      </c>
      <c r="AK273" s="98"/>
      <c r="AL273" s="98">
        <v>0</v>
      </c>
      <c r="AM273" s="99">
        <v>0</v>
      </c>
      <c r="AN273" s="99"/>
      <c r="AO273" s="99">
        <v>0</v>
      </c>
      <c r="AP273" s="103">
        <f t="shared" si="82"/>
        <v>0</v>
      </c>
      <c r="AQ273" s="103" t="str">
        <f t="shared" si="90"/>
        <v/>
      </c>
      <c r="AR273" s="68" t="str">
        <f>IFERROR(VLOOKUP(A273,CUSTOMERS!$A:$B,2),"")</f>
        <v/>
      </c>
      <c r="AS273" s="68" t="str">
        <f>IFERROR(VLOOKUP(A273,CUSTOMERS!$A:$D,3),"")</f>
        <v/>
      </c>
      <c r="AT273" s="68" t="str">
        <f>IFERROR(VLOOKUP(A273,CUSTOMERS!$A:$F,6),"")</f>
        <v/>
      </c>
      <c r="AU273" s="69" t="str">
        <f>IFERROR(VLOOKUP(A273,CUSTOMERS!$A:$E,4),"")</f>
        <v/>
      </c>
      <c r="AV273" s="68" t="str">
        <f t="shared" si="86"/>
        <v/>
      </c>
      <c r="AX273" s="71" t="str">
        <f t="shared" si="83"/>
        <v>reason273</v>
      </c>
    </row>
    <row r="274" spans="1:50" ht="50.25" customHeight="1">
      <c r="A274" s="188"/>
      <c r="B274" s="125" t="str">
        <f t="shared" si="94"/>
        <v/>
      </c>
      <c r="C274" s="125"/>
      <c r="D274" s="126"/>
      <c r="E274" s="126"/>
      <c r="F274" s="122" t="str">
        <f t="shared" si="93"/>
        <v/>
      </c>
      <c r="G274" s="186"/>
      <c r="H274" s="124"/>
      <c r="I274" s="239"/>
      <c r="J274" s="80" t="str">
        <f t="shared" si="79"/>
        <v/>
      </c>
      <c r="K274" s="177">
        <f t="shared" si="91"/>
        <v>0</v>
      </c>
      <c r="L274" s="160"/>
      <c r="M274" s="161"/>
      <c r="N274" s="162"/>
      <c r="O274" s="162"/>
      <c r="P274" s="163"/>
      <c r="Q274" s="202"/>
      <c r="R274" s="204"/>
      <c r="S274" s="211"/>
      <c r="T274" s="211"/>
      <c r="U274" s="211"/>
      <c r="V274" s="211"/>
      <c r="W274" s="211"/>
      <c r="X274" s="154"/>
      <c r="Y274" s="173" t="str">
        <f t="shared" si="89"/>
        <v/>
      </c>
      <c r="Z274" s="83" t="str">
        <f t="shared" si="80"/>
        <v/>
      </c>
      <c r="AA274" s="84" t="str">
        <f t="shared" si="87"/>
        <v/>
      </c>
      <c r="AB274" s="84" t="str">
        <f t="shared" si="88"/>
        <v/>
      </c>
      <c r="AC274" s="84" t="str">
        <f t="shared" si="81"/>
        <v/>
      </c>
      <c r="AD274" s="84"/>
      <c r="AE274" s="84" t="str">
        <f t="shared" si="84"/>
        <v/>
      </c>
      <c r="AF274" s="84">
        <f t="shared" ref="AF274:AF318" si="95">IFERROR(SUM(Z274:AE274),"")</f>
        <v>0</v>
      </c>
      <c r="AG274" s="94" t="str">
        <f t="shared" si="85"/>
        <v/>
      </c>
      <c r="AH274" s="85" t="str">
        <f>IFERROR(VLOOKUP(A274,CUSTOMERS!$A:$E,4),"")</f>
        <v/>
      </c>
      <c r="AI274" s="86" t="str">
        <f t="shared" si="92"/>
        <v/>
      </c>
      <c r="AJ274" s="87" t="str">
        <f>IFERROR(VLOOKUP(A274,CUSTOMERS!$A:$F,5),"")</f>
        <v/>
      </c>
      <c r="AK274" s="98"/>
      <c r="AL274" s="98">
        <v>0</v>
      </c>
      <c r="AM274" s="99">
        <v>0</v>
      </c>
      <c r="AN274" s="99"/>
      <c r="AO274" s="99">
        <v>0</v>
      </c>
      <c r="AP274" s="103">
        <f t="shared" si="82"/>
        <v>0</v>
      </c>
      <c r="AQ274" s="103" t="str">
        <f t="shared" si="90"/>
        <v/>
      </c>
      <c r="AR274" s="68" t="str">
        <f>IFERROR(VLOOKUP(A274,CUSTOMERS!$A:$B,2),"")</f>
        <v/>
      </c>
      <c r="AS274" s="68" t="str">
        <f>IFERROR(VLOOKUP(A274,CUSTOMERS!$A:$D,3),"")</f>
        <v/>
      </c>
      <c r="AT274" s="68" t="str">
        <f>IFERROR(VLOOKUP(A274,CUSTOMERS!$A:$F,6),"")</f>
        <v/>
      </c>
      <c r="AU274" s="69" t="str">
        <f>IFERROR(VLOOKUP(A274,CUSTOMERS!$A:$E,4),"")</f>
        <v/>
      </c>
      <c r="AV274" s="68" t="str">
        <f t="shared" si="86"/>
        <v/>
      </c>
      <c r="AX274" s="71" t="str">
        <f t="shared" si="83"/>
        <v>reason274</v>
      </c>
    </row>
    <row r="275" spans="1:50" ht="50.25" customHeight="1">
      <c r="A275" s="188"/>
      <c r="B275" s="125" t="str">
        <f t="shared" si="94"/>
        <v/>
      </c>
      <c r="C275" s="125"/>
      <c r="D275" s="126"/>
      <c r="E275" s="126"/>
      <c r="F275" s="122" t="str">
        <f t="shared" si="93"/>
        <v/>
      </c>
      <c r="G275" s="186"/>
      <c r="H275" s="124"/>
      <c r="I275" s="239"/>
      <c r="J275" s="80" t="str">
        <f t="shared" ref="J275:J318" si="96">Y275</f>
        <v/>
      </c>
      <c r="K275" s="177">
        <f t="shared" si="91"/>
        <v>0</v>
      </c>
      <c r="L275" s="160"/>
      <c r="M275" s="161"/>
      <c r="N275" s="162"/>
      <c r="O275" s="162"/>
      <c r="P275" s="163"/>
      <c r="Q275" s="202"/>
      <c r="R275" s="204"/>
      <c r="S275" s="211"/>
      <c r="T275" s="211"/>
      <c r="U275" s="211"/>
      <c r="V275" s="211"/>
      <c r="W275" s="211"/>
      <c r="X275" s="154"/>
      <c r="Y275" s="173" t="str">
        <f t="shared" si="89"/>
        <v/>
      </c>
      <c r="Z275" s="83" t="str">
        <f t="shared" ref="Z275:Z318" si="97">IFERROR((AK275*AH275)*7.5,"")</f>
        <v/>
      </c>
      <c r="AA275" s="84" t="str">
        <f t="shared" si="87"/>
        <v/>
      </c>
      <c r="AB275" s="84" t="str">
        <f t="shared" si="88"/>
        <v/>
      </c>
      <c r="AC275" s="84" t="str">
        <f t="shared" ref="AC275:AC318" si="98">IFERROR((AN275*AH275)*7.5,"")</f>
        <v/>
      </c>
      <c r="AD275" s="84"/>
      <c r="AE275" s="84" t="str">
        <f t="shared" si="84"/>
        <v/>
      </c>
      <c r="AF275" s="84">
        <f t="shared" si="95"/>
        <v>0</v>
      </c>
      <c r="AG275" s="94" t="str">
        <f t="shared" si="85"/>
        <v/>
      </c>
      <c r="AH275" s="85" t="str">
        <f>IFERROR(VLOOKUP(A275,CUSTOMERS!$A:$E,4),"")</f>
        <v/>
      </c>
      <c r="AI275" s="86" t="str">
        <f t="shared" si="92"/>
        <v/>
      </c>
      <c r="AJ275" s="87" t="str">
        <f>IFERROR(VLOOKUP(A275,CUSTOMERS!$A:$F,5),"")</f>
        <v/>
      </c>
      <c r="AK275" s="98"/>
      <c r="AL275" s="98">
        <v>0</v>
      </c>
      <c r="AM275" s="99">
        <v>0</v>
      </c>
      <c r="AN275" s="99"/>
      <c r="AO275" s="99">
        <v>0</v>
      </c>
      <c r="AP275" s="103">
        <f t="shared" ref="AP275:AP318" si="99">SUM(AK275:AO275)</f>
        <v>0</v>
      </c>
      <c r="AQ275" s="103" t="str">
        <f t="shared" si="90"/>
        <v/>
      </c>
      <c r="AR275" s="68" t="str">
        <f>IFERROR(VLOOKUP(A275,CUSTOMERS!$A:$B,2),"")</f>
        <v/>
      </c>
      <c r="AS275" s="68" t="str">
        <f>IFERROR(VLOOKUP(A275,CUSTOMERS!$A:$D,3),"")</f>
        <v/>
      </c>
      <c r="AT275" s="68" t="str">
        <f>IFERROR(VLOOKUP(A275,CUSTOMERS!$A:$F,6),"")</f>
        <v/>
      </c>
      <c r="AU275" s="69" t="str">
        <f>IFERROR(VLOOKUP(A275,CUSTOMERS!$A:$E,4),"")</f>
        <v/>
      </c>
      <c r="AV275" s="68" t="str">
        <f t="shared" si="86"/>
        <v/>
      </c>
      <c r="AX275" s="71" t="str">
        <f t="shared" si="83"/>
        <v>reason275</v>
      </c>
    </row>
    <row r="276" spans="1:50">
      <c r="A276" s="188"/>
      <c r="B276" s="125" t="str">
        <f t="shared" si="94"/>
        <v/>
      </c>
      <c r="C276" s="125"/>
      <c r="D276" s="126"/>
      <c r="E276" s="126"/>
      <c r="F276" s="122" t="str">
        <f t="shared" si="93"/>
        <v/>
      </c>
      <c r="G276" s="186"/>
      <c r="H276" s="124"/>
      <c r="I276" s="239"/>
      <c r="J276" s="80" t="str">
        <f t="shared" si="96"/>
        <v/>
      </c>
      <c r="K276" s="177">
        <f t="shared" si="91"/>
        <v>0</v>
      </c>
      <c r="L276" s="160"/>
      <c r="M276" s="161"/>
      <c r="N276" s="162"/>
      <c r="O276" s="162"/>
      <c r="P276" s="163"/>
      <c r="Q276" s="202"/>
      <c r="R276" s="204"/>
      <c r="S276" s="211"/>
      <c r="T276" s="211"/>
      <c r="U276" s="211"/>
      <c r="V276" s="211"/>
      <c r="W276" s="211"/>
      <c r="X276" s="154"/>
      <c r="Y276" s="173" t="str">
        <f t="shared" si="89"/>
        <v/>
      </c>
      <c r="Z276" s="83" t="str">
        <f t="shared" si="97"/>
        <v/>
      </c>
      <c r="AA276" s="84" t="str">
        <f t="shared" si="87"/>
        <v/>
      </c>
      <c r="AB276" s="84" t="str">
        <f t="shared" si="88"/>
        <v/>
      </c>
      <c r="AC276" s="84" t="str">
        <f t="shared" si="98"/>
        <v/>
      </c>
      <c r="AD276" s="84"/>
      <c r="AE276" s="84" t="str">
        <f t="shared" si="84"/>
        <v/>
      </c>
      <c r="AF276" s="84">
        <f t="shared" si="95"/>
        <v>0</v>
      </c>
      <c r="AG276" s="94" t="str">
        <f t="shared" si="85"/>
        <v/>
      </c>
      <c r="AH276" s="85" t="str">
        <f>IFERROR(VLOOKUP(A276,CUSTOMERS!$A:$E,4),"")</f>
        <v/>
      </c>
      <c r="AI276" s="86" t="str">
        <f t="shared" si="92"/>
        <v/>
      </c>
      <c r="AJ276" s="87" t="str">
        <f>IFERROR(VLOOKUP(A276,CUSTOMERS!$A:$F,5),"")</f>
        <v/>
      </c>
      <c r="AK276" s="98"/>
      <c r="AL276" s="98">
        <v>0</v>
      </c>
      <c r="AM276" s="99">
        <v>0</v>
      </c>
      <c r="AN276" s="99"/>
      <c r="AO276" s="99">
        <v>0</v>
      </c>
      <c r="AP276" s="103">
        <f t="shared" si="99"/>
        <v>0</v>
      </c>
      <c r="AQ276" s="103" t="str">
        <f t="shared" si="90"/>
        <v/>
      </c>
      <c r="AR276" s="68" t="str">
        <f>IFERROR(VLOOKUP(A276,CUSTOMERS!$A:$B,2),"")</f>
        <v/>
      </c>
      <c r="AS276" s="68" t="str">
        <f>IFERROR(VLOOKUP(A276,CUSTOMERS!$A:$D,3),"")</f>
        <v/>
      </c>
      <c r="AT276" s="68" t="str">
        <f>IFERROR(VLOOKUP(A276,CUSTOMERS!$A:$F,6),"")</f>
        <v/>
      </c>
      <c r="AU276" s="69" t="str">
        <f>IFERROR(VLOOKUP(A276,CUSTOMERS!$A:$E,4),"")</f>
        <v/>
      </c>
      <c r="AV276" s="68" t="str">
        <f t="shared" si="86"/>
        <v/>
      </c>
      <c r="AX276" s="71" t="str">
        <f t="shared" si="83"/>
        <v>reason276</v>
      </c>
    </row>
    <row r="277" spans="1:50">
      <c r="A277" s="188"/>
      <c r="B277" s="125" t="str">
        <f t="shared" si="94"/>
        <v/>
      </c>
      <c r="C277" s="125"/>
      <c r="D277" s="126"/>
      <c r="E277" s="126"/>
      <c r="F277" s="122" t="str">
        <f t="shared" si="93"/>
        <v/>
      </c>
      <c r="G277" s="186"/>
      <c r="H277" s="124"/>
      <c r="I277" s="239"/>
      <c r="J277" s="80" t="str">
        <f t="shared" si="96"/>
        <v/>
      </c>
      <c r="K277" s="177">
        <f t="shared" si="91"/>
        <v>0</v>
      </c>
      <c r="L277" s="160"/>
      <c r="M277" s="161"/>
      <c r="N277" s="162"/>
      <c r="O277" s="162"/>
      <c r="P277" s="163"/>
      <c r="Q277" s="202"/>
      <c r="R277" s="204"/>
      <c r="S277" s="211"/>
      <c r="T277" s="211"/>
      <c r="U277" s="211"/>
      <c r="V277" s="211"/>
      <c r="W277" s="211"/>
      <c r="X277" s="154"/>
      <c r="Y277" s="173" t="str">
        <f t="shared" si="89"/>
        <v/>
      </c>
      <c r="Z277" s="83" t="str">
        <f t="shared" si="97"/>
        <v/>
      </c>
      <c r="AA277" s="84" t="str">
        <f t="shared" si="87"/>
        <v/>
      </c>
      <c r="AB277" s="84" t="str">
        <f t="shared" si="88"/>
        <v/>
      </c>
      <c r="AC277" s="84" t="str">
        <f t="shared" si="98"/>
        <v/>
      </c>
      <c r="AD277" s="84"/>
      <c r="AE277" s="84" t="str">
        <f t="shared" si="84"/>
        <v/>
      </c>
      <c r="AF277" s="84">
        <f t="shared" si="95"/>
        <v>0</v>
      </c>
      <c r="AG277" s="94" t="str">
        <f t="shared" si="85"/>
        <v/>
      </c>
      <c r="AH277" s="85" t="str">
        <f>IFERROR(VLOOKUP(A277,CUSTOMERS!$A:$E,4),"")</f>
        <v/>
      </c>
      <c r="AI277" s="86" t="str">
        <f t="shared" si="92"/>
        <v/>
      </c>
      <c r="AJ277" s="87" t="str">
        <f>IFERROR(VLOOKUP(A277,CUSTOMERS!$A:$F,5),"")</f>
        <v/>
      </c>
      <c r="AK277" s="98"/>
      <c r="AL277" s="98">
        <v>0</v>
      </c>
      <c r="AM277" s="99">
        <v>0</v>
      </c>
      <c r="AN277" s="99"/>
      <c r="AO277" s="99">
        <v>0</v>
      </c>
      <c r="AP277" s="103">
        <f t="shared" si="99"/>
        <v>0</v>
      </c>
      <c r="AQ277" s="103" t="str">
        <f t="shared" si="90"/>
        <v/>
      </c>
      <c r="AR277" s="68" t="str">
        <f>IFERROR(VLOOKUP(A277,CUSTOMERS!$A:$B,2),"")</f>
        <v/>
      </c>
      <c r="AS277" s="68" t="str">
        <f>IFERROR(VLOOKUP(A277,CUSTOMERS!$A:$D,3),"")</f>
        <v/>
      </c>
      <c r="AT277" s="68" t="str">
        <f>IFERROR(VLOOKUP(A277,CUSTOMERS!$A:$F,6),"")</f>
        <v/>
      </c>
      <c r="AU277" s="69" t="str">
        <f>IFERROR(VLOOKUP(A277,CUSTOMERS!$A:$E,4),"")</f>
        <v/>
      </c>
      <c r="AV277" s="68" t="str">
        <f t="shared" si="86"/>
        <v/>
      </c>
      <c r="AX277" s="71" t="str">
        <f t="shared" si="83"/>
        <v>reason277</v>
      </c>
    </row>
    <row r="278" spans="1:50">
      <c r="A278" s="188"/>
      <c r="B278" s="125" t="str">
        <f t="shared" si="94"/>
        <v/>
      </c>
      <c r="C278" s="125"/>
      <c r="D278" s="126"/>
      <c r="E278" s="126"/>
      <c r="F278" s="122" t="str">
        <f t="shared" si="93"/>
        <v/>
      </c>
      <c r="G278" s="186"/>
      <c r="H278" s="124"/>
      <c r="I278" s="239"/>
      <c r="J278" s="80" t="str">
        <f t="shared" si="96"/>
        <v/>
      </c>
      <c r="K278" s="177">
        <f t="shared" si="91"/>
        <v>0</v>
      </c>
      <c r="L278" s="160"/>
      <c r="M278" s="161"/>
      <c r="N278" s="162"/>
      <c r="O278" s="162"/>
      <c r="P278" s="163"/>
      <c r="Q278" s="202"/>
      <c r="R278" s="204"/>
      <c r="S278" s="211"/>
      <c r="T278" s="211"/>
      <c r="U278" s="211"/>
      <c r="V278" s="211"/>
      <c r="W278" s="211"/>
      <c r="X278" s="154"/>
      <c r="Y278" s="173" t="str">
        <f t="shared" si="89"/>
        <v/>
      </c>
      <c r="Z278" s="83" t="str">
        <f t="shared" si="97"/>
        <v/>
      </c>
      <c r="AA278" s="84" t="str">
        <f t="shared" si="87"/>
        <v/>
      </c>
      <c r="AB278" s="84" t="str">
        <f t="shared" si="88"/>
        <v/>
      </c>
      <c r="AC278" s="84" t="str">
        <f t="shared" si="98"/>
        <v/>
      </c>
      <c r="AD278" s="84"/>
      <c r="AE278" s="84" t="str">
        <f t="shared" si="84"/>
        <v/>
      </c>
      <c r="AF278" s="84">
        <f t="shared" si="95"/>
        <v>0</v>
      </c>
      <c r="AG278" s="94" t="str">
        <f t="shared" si="85"/>
        <v/>
      </c>
      <c r="AH278" s="85" t="str">
        <f>IFERROR(VLOOKUP(A278,CUSTOMERS!$A:$E,4),"")</f>
        <v/>
      </c>
      <c r="AI278" s="86" t="str">
        <f t="shared" si="92"/>
        <v/>
      </c>
      <c r="AJ278" s="87" t="str">
        <f>IFERROR(VLOOKUP(A278,CUSTOMERS!$A:$F,5),"")</f>
        <v/>
      </c>
      <c r="AK278" s="98"/>
      <c r="AL278" s="98">
        <v>0</v>
      </c>
      <c r="AM278" s="99">
        <v>0</v>
      </c>
      <c r="AN278" s="99"/>
      <c r="AO278" s="99">
        <v>0</v>
      </c>
      <c r="AP278" s="103">
        <f t="shared" si="99"/>
        <v>0</v>
      </c>
      <c r="AQ278" s="103" t="str">
        <f t="shared" si="90"/>
        <v/>
      </c>
      <c r="AR278" s="68" t="str">
        <f>IFERROR(VLOOKUP(A278,CUSTOMERS!$A:$B,2),"")</f>
        <v/>
      </c>
      <c r="AS278" s="68" t="str">
        <f>IFERROR(VLOOKUP(A278,CUSTOMERS!$A:$D,3),"")</f>
        <v/>
      </c>
      <c r="AT278" s="68" t="str">
        <f>IFERROR(VLOOKUP(A278,CUSTOMERS!$A:$F,6),"")</f>
        <v/>
      </c>
      <c r="AU278" s="69" t="str">
        <f>IFERROR(VLOOKUP(A278,CUSTOMERS!$A:$E,4),"")</f>
        <v/>
      </c>
      <c r="AV278" s="68" t="str">
        <f t="shared" si="86"/>
        <v/>
      </c>
      <c r="AX278" s="71" t="str">
        <f t="shared" si="83"/>
        <v>reason278</v>
      </c>
    </row>
    <row r="279" spans="1:50">
      <c r="A279" s="188"/>
      <c r="B279" s="125" t="str">
        <f t="shared" si="94"/>
        <v/>
      </c>
      <c r="C279" s="125"/>
      <c r="D279" s="126"/>
      <c r="E279" s="126"/>
      <c r="F279" s="122" t="str">
        <f t="shared" si="93"/>
        <v/>
      </c>
      <c r="G279" s="186"/>
      <c r="H279" s="124"/>
      <c r="I279" s="239"/>
      <c r="J279" s="80" t="str">
        <f t="shared" si="96"/>
        <v/>
      </c>
      <c r="K279" s="177">
        <f t="shared" si="91"/>
        <v>0</v>
      </c>
      <c r="L279" s="160"/>
      <c r="M279" s="161"/>
      <c r="N279" s="162"/>
      <c r="O279" s="162"/>
      <c r="P279" s="163"/>
      <c r="Q279" s="202"/>
      <c r="R279" s="204"/>
      <c r="S279" s="211"/>
      <c r="T279" s="211"/>
      <c r="U279" s="211"/>
      <c r="V279" s="211"/>
      <c r="W279" s="211"/>
      <c r="X279" s="154"/>
      <c r="Y279" s="173" t="str">
        <f t="shared" si="89"/>
        <v/>
      </c>
      <c r="Z279" s="83" t="str">
        <f t="shared" si="97"/>
        <v/>
      </c>
      <c r="AA279" s="84" t="str">
        <f t="shared" si="87"/>
        <v/>
      </c>
      <c r="AB279" s="84" t="str">
        <f t="shared" si="88"/>
        <v/>
      </c>
      <c r="AC279" s="84" t="str">
        <f t="shared" si="98"/>
        <v/>
      </c>
      <c r="AD279" s="84"/>
      <c r="AE279" s="84" t="str">
        <f t="shared" si="84"/>
        <v/>
      </c>
      <c r="AF279" s="84">
        <f t="shared" si="95"/>
        <v>0</v>
      </c>
      <c r="AG279" s="94" t="str">
        <f t="shared" si="85"/>
        <v/>
      </c>
      <c r="AH279" s="85" t="str">
        <f>IFERROR(VLOOKUP(A279,CUSTOMERS!$A:$E,4),"")</f>
        <v/>
      </c>
      <c r="AI279" s="86" t="str">
        <f t="shared" si="92"/>
        <v/>
      </c>
      <c r="AJ279" s="87" t="str">
        <f>IFERROR(VLOOKUP(A279,CUSTOMERS!$A:$F,5),"")</f>
        <v/>
      </c>
      <c r="AK279" s="98"/>
      <c r="AL279" s="98">
        <v>0</v>
      </c>
      <c r="AM279" s="99">
        <v>0</v>
      </c>
      <c r="AN279" s="99"/>
      <c r="AO279" s="99">
        <v>0</v>
      </c>
      <c r="AP279" s="103">
        <f t="shared" si="99"/>
        <v>0</v>
      </c>
      <c r="AQ279" s="103" t="str">
        <f t="shared" si="90"/>
        <v/>
      </c>
      <c r="AR279" s="68" t="str">
        <f>IFERROR(VLOOKUP(A279,CUSTOMERS!$A:$B,2),"")</f>
        <v/>
      </c>
      <c r="AS279" s="68" t="str">
        <f>IFERROR(VLOOKUP(A279,CUSTOMERS!$A:$D,3),"")</f>
        <v/>
      </c>
      <c r="AT279" s="68" t="str">
        <f>IFERROR(VLOOKUP(A279,CUSTOMERS!$A:$F,6),"")</f>
        <v/>
      </c>
      <c r="AU279" s="69" t="str">
        <f>IFERROR(VLOOKUP(A279,CUSTOMERS!$A:$E,4),"")</f>
        <v/>
      </c>
      <c r="AV279" s="68" t="str">
        <f t="shared" si="86"/>
        <v/>
      </c>
      <c r="AX279" s="71" t="str">
        <f t="shared" si="83"/>
        <v>reason279</v>
      </c>
    </row>
    <row r="280" spans="1:50">
      <c r="A280" s="188"/>
      <c r="B280" s="125" t="str">
        <f t="shared" si="94"/>
        <v/>
      </c>
      <c r="C280" s="125"/>
      <c r="D280" s="126"/>
      <c r="E280" s="126"/>
      <c r="F280" s="122" t="str">
        <f t="shared" si="93"/>
        <v/>
      </c>
      <c r="G280" s="186"/>
      <c r="H280" s="124"/>
      <c r="I280" s="239"/>
      <c r="J280" s="80" t="str">
        <f t="shared" si="96"/>
        <v/>
      </c>
      <c r="K280" s="177">
        <f t="shared" si="91"/>
        <v>0</v>
      </c>
      <c r="L280" s="160"/>
      <c r="M280" s="161"/>
      <c r="N280" s="162"/>
      <c r="O280" s="162"/>
      <c r="P280" s="163"/>
      <c r="Q280" s="202"/>
      <c r="R280" s="204"/>
      <c r="S280" s="211"/>
      <c r="T280" s="211"/>
      <c r="U280" s="211"/>
      <c r="V280" s="211"/>
      <c r="W280" s="211"/>
      <c r="X280" s="154"/>
      <c r="Y280" s="173" t="str">
        <f t="shared" si="89"/>
        <v/>
      </c>
      <c r="Z280" s="83" t="str">
        <f t="shared" si="97"/>
        <v/>
      </c>
      <c r="AA280" s="84" t="str">
        <f t="shared" si="87"/>
        <v/>
      </c>
      <c r="AB280" s="84" t="str">
        <f t="shared" si="88"/>
        <v/>
      </c>
      <c r="AC280" s="84" t="str">
        <f t="shared" si="98"/>
        <v/>
      </c>
      <c r="AD280" s="84"/>
      <c r="AE280" s="84" t="str">
        <f t="shared" si="84"/>
        <v/>
      </c>
      <c r="AF280" s="84">
        <f t="shared" si="95"/>
        <v>0</v>
      </c>
      <c r="AG280" s="94" t="str">
        <f t="shared" si="85"/>
        <v/>
      </c>
      <c r="AH280" s="85" t="str">
        <f>IFERROR(VLOOKUP(A280,CUSTOMERS!$A:$E,4),"")</f>
        <v/>
      </c>
      <c r="AI280" s="86" t="str">
        <f t="shared" si="92"/>
        <v/>
      </c>
      <c r="AJ280" s="87" t="str">
        <f>IFERROR(VLOOKUP(A280,CUSTOMERS!$A:$F,5),"")</f>
        <v/>
      </c>
      <c r="AK280" s="98"/>
      <c r="AL280" s="98">
        <v>0</v>
      </c>
      <c r="AM280" s="99">
        <v>0</v>
      </c>
      <c r="AN280" s="99"/>
      <c r="AO280" s="99">
        <v>0</v>
      </c>
      <c r="AP280" s="103">
        <f t="shared" si="99"/>
        <v>0</v>
      </c>
      <c r="AQ280" s="103" t="str">
        <f t="shared" si="90"/>
        <v/>
      </c>
      <c r="AR280" s="68" t="str">
        <f>IFERROR(VLOOKUP(A280,CUSTOMERS!$A:$B,2),"")</f>
        <v/>
      </c>
      <c r="AS280" s="68" t="str">
        <f>IFERROR(VLOOKUP(A280,CUSTOMERS!$A:$D,3),"")</f>
        <v/>
      </c>
      <c r="AT280" s="68" t="str">
        <f>IFERROR(VLOOKUP(A280,CUSTOMERS!$A:$F,6),"")</f>
        <v/>
      </c>
      <c r="AU280" s="69" t="str">
        <f>IFERROR(VLOOKUP(A280,CUSTOMERS!$A:$E,4),"")</f>
        <v/>
      </c>
      <c r="AV280" s="68" t="str">
        <f t="shared" si="86"/>
        <v/>
      </c>
      <c r="AX280" s="71" t="str">
        <f t="shared" si="83"/>
        <v>reason280</v>
      </c>
    </row>
    <row r="281" spans="1:50">
      <c r="A281" s="188"/>
      <c r="B281" s="125" t="str">
        <f t="shared" si="94"/>
        <v/>
      </c>
      <c r="C281" s="125"/>
      <c r="D281" s="126"/>
      <c r="E281" s="126"/>
      <c r="F281" s="122" t="str">
        <f t="shared" si="93"/>
        <v/>
      </c>
      <c r="G281" s="186"/>
      <c r="H281" s="124"/>
      <c r="I281" s="239"/>
      <c r="J281" s="80" t="str">
        <f t="shared" si="96"/>
        <v/>
      </c>
      <c r="K281" s="177">
        <f t="shared" si="91"/>
        <v>0</v>
      </c>
      <c r="L281" s="160"/>
      <c r="M281" s="161"/>
      <c r="N281" s="162"/>
      <c r="O281" s="162"/>
      <c r="P281" s="163"/>
      <c r="Q281" s="202"/>
      <c r="R281" s="204"/>
      <c r="S281" s="211"/>
      <c r="T281" s="211"/>
      <c r="U281" s="211"/>
      <c r="V281" s="211"/>
      <c r="W281" s="211"/>
      <c r="X281" s="154"/>
      <c r="Y281" s="173" t="str">
        <f t="shared" si="89"/>
        <v/>
      </c>
      <c r="Z281" s="83" t="str">
        <f t="shared" si="97"/>
        <v/>
      </c>
      <c r="AA281" s="84" t="str">
        <f t="shared" si="87"/>
        <v/>
      </c>
      <c r="AB281" s="84" t="str">
        <f t="shared" si="88"/>
        <v/>
      </c>
      <c r="AC281" s="84" t="str">
        <f t="shared" si="98"/>
        <v/>
      </c>
      <c r="AD281" s="84"/>
      <c r="AE281" s="84" t="str">
        <f t="shared" si="84"/>
        <v/>
      </c>
      <c r="AF281" s="84">
        <f t="shared" si="95"/>
        <v>0</v>
      </c>
      <c r="AG281" s="94" t="str">
        <f t="shared" si="85"/>
        <v/>
      </c>
      <c r="AH281" s="85" t="str">
        <f>IFERROR(VLOOKUP(A281,CUSTOMERS!$A:$E,4),"")</f>
        <v/>
      </c>
      <c r="AI281" s="86" t="str">
        <f t="shared" si="92"/>
        <v/>
      </c>
      <c r="AJ281" s="87" t="str">
        <f>IFERROR(VLOOKUP(A281,CUSTOMERS!$A:$F,5),"")</f>
        <v/>
      </c>
      <c r="AK281" s="98"/>
      <c r="AL281" s="98">
        <v>0</v>
      </c>
      <c r="AM281" s="99">
        <v>0</v>
      </c>
      <c r="AN281" s="99"/>
      <c r="AO281" s="99">
        <v>0</v>
      </c>
      <c r="AP281" s="103">
        <f t="shared" si="99"/>
        <v>0</v>
      </c>
      <c r="AQ281" s="103" t="str">
        <f t="shared" si="90"/>
        <v/>
      </c>
      <c r="AR281" s="68" t="str">
        <f>IFERROR(VLOOKUP(A281,CUSTOMERS!$A:$B,2),"")</f>
        <v/>
      </c>
      <c r="AS281" s="68" t="str">
        <f>IFERROR(VLOOKUP(A281,CUSTOMERS!$A:$D,3),"")</f>
        <v/>
      </c>
      <c r="AT281" s="68" t="str">
        <f>IFERROR(VLOOKUP(A281,CUSTOMERS!$A:$F,6),"")</f>
        <v/>
      </c>
      <c r="AU281" s="69" t="str">
        <f>IFERROR(VLOOKUP(A281,CUSTOMERS!$A:$E,4),"")</f>
        <v/>
      </c>
      <c r="AV281" s="68" t="str">
        <f t="shared" si="86"/>
        <v/>
      </c>
      <c r="AX281" s="71" t="str">
        <f t="shared" ref="AX281:AX318" si="100">"reason"&amp;ROW()</f>
        <v>reason281</v>
      </c>
    </row>
    <row r="282" spans="1:50">
      <c r="A282" s="188"/>
      <c r="B282" s="125" t="str">
        <f t="shared" si="94"/>
        <v/>
      </c>
      <c r="C282" s="125"/>
      <c r="D282" s="126"/>
      <c r="E282" s="126"/>
      <c r="F282" s="122" t="str">
        <f t="shared" si="93"/>
        <v/>
      </c>
      <c r="G282" s="186"/>
      <c r="H282" s="124"/>
      <c r="I282" s="239"/>
      <c r="J282" s="80" t="str">
        <f t="shared" si="96"/>
        <v/>
      </c>
      <c r="K282" s="177">
        <f t="shared" si="91"/>
        <v>0</v>
      </c>
      <c r="L282" s="160"/>
      <c r="M282" s="161"/>
      <c r="N282" s="162"/>
      <c r="O282" s="162"/>
      <c r="P282" s="163"/>
      <c r="Q282" s="202"/>
      <c r="R282" s="204"/>
      <c r="S282" s="211"/>
      <c r="T282" s="211"/>
      <c r="U282" s="211"/>
      <c r="V282" s="211"/>
      <c r="W282" s="211"/>
      <c r="X282" s="154"/>
      <c r="Y282" s="173" t="str">
        <f t="shared" si="89"/>
        <v/>
      </c>
      <c r="Z282" s="83" t="str">
        <f t="shared" si="97"/>
        <v/>
      </c>
      <c r="AA282" s="84" t="str">
        <f t="shared" si="87"/>
        <v/>
      </c>
      <c r="AB282" s="84" t="str">
        <f t="shared" si="88"/>
        <v/>
      </c>
      <c r="AC282" s="84" t="str">
        <f t="shared" si="98"/>
        <v/>
      </c>
      <c r="AD282" s="84"/>
      <c r="AE282" s="84" t="str">
        <f t="shared" si="84"/>
        <v/>
      </c>
      <c r="AF282" s="84">
        <f t="shared" si="95"/>
        <v>0</v>
      </c>
      <c r="AG282" s="94" t="str">
        <f t="shared" si="85"/>
        <v/>
      </c>
      <c r="AH282" s="85" t="str">
        <f>IFERROR(VLOOKUP(A282,CUSTOMERS!$A:$E,4),"")</f>
        <v/>
      </c>
      <c r="AI282" s="86" t="str">
        <f t="shared" si="92"/>
        <v/>
      </c>
      <c r="AJ282" s="87" t="str">
        <f>IFERROR(VLOOKUP(A282,CUSTOMERS!$A:$F,5),"")</f>
        <v/>
      </c>
      <c r="AK282" s="98"/>
      <c r="AL282" s="98">
        <v>0</v>
      </c>
      <c r="AM282" s="99">
        <v>0</v>
      </c>
      <c r="AN282" s="99"/>
      <c r="AO282" s="99">
        <v>0</v>
      </c>
      <c r="AP282" s="103">
        <f t="shared" si="99"/>
        <v>0</v>
      </c>
      <c r="AQ282" s="103" t="str">
        <f t="shared" si="90"/>
        <v/>
      </c>
      <c r="AR282" s="68" t="str">
        <f>IFERROR(VLOOKUP(A282,CUSTOMERS!$A:$B,2),"")</f>
        <v/>
      </c>
      <c r="AS282" s="68" t="str">
        <f>IFERROR(VLOOKUP(A282,CUSTOMERS!$A:$D,3),"")</f>
        <v/>
      </c>
      <c r="AT282" s="68" t="str">
        <f>IFERROR(VLOOKUP(A282,CUSTOMERS!$A:$F,6),"")</f>
        <v/>
      </c>
      <c r="AU282" s="69" t="str">
        <f>IFERROR(VLOOKUP(A282,CUSTOMERS!$A:$E,4),"")</f>
        <v/>
      </c>
      <c r="AV282" s="68" t="str">
        <f t="shared" si="86"/>
        <v/>
      </c>
      <c r="AX282" s="71" t="str">
        <f t="shared" si="100"/>
        <v>reason282</v>
      </c>
    </row>
    <row r="283" spans="1:50">
      <c r="A283" s="188"/>
      <c r="B283" s="125" t="str">
        <f t="shared" si="94"/>
        <v/>
      </c>
      <c r="C283" s="125"/>
      <c r="D283" s="126"/>
      <c r="E283" s="126"/>
      <c r="F283" s="122" t="str">
        <f t="shared" si="93"/>
        <v/>
      </c>
      <c r="G283" s="186"/>
      <c r="H283" s="124"/>
      <c r="I283" s="239"/>
      <c r="J283" s="80" t="str">
        <f t="shared" si="96"/>
        <v/>
      </c>
      <c r="K283" s="177">
        <f t="shared" si="91"/>
        <v>0</v>
      </c>
      <c r="L283" s="160"/>
      <c r="M283" s="161"/>
      <c r="N283" s="162"/>
      <c r="O283" s="162"/>
      <c r="P283" s="163"/>
      <c r="Q283" s="202"/>
      <c r="R283" s="204"/>
      <c r="S283" s="211"/>
      <c r="T283" s="211"/>
      <c r="U283" s="211"/>
      <c r="V283" s="211"/>
      <c r="W283" s="211"/>
      <c r="X283" s="154"/>
      <c r="Y283" s="173" t="str">
        <f t="shared" si="89"/>
        <v/>
      </c>
      <c r="Z283" s="83" t="str">
        <f t="shared" si="97"/>
        <v/>
      </c>
      <c r="AA283" s="84" t="str">
        <f t="shared" si="87"/>
        <v/>
      </c>
      <c r="AB283" s="84" t="str">
        <f t="shared" si="88"/>
        <v/>
      </c>
      <c r="AC283" s="84" t="str">
        <f t="shared" si="98"/>
        <v/>
      </c>
      <c r="AD283" s="84"/>
      <c r="AE283" s="84" t="str">
        <f t="shared" si="84"/>
        <v/>
      </c>
      <c r="AF283" s="84">
        <f t="shared" si="95"/>
        <v>0</v>
      </c>
      <c r="AG283" s="94" t="str">
        <f t="shared" si="85"/>
        <v/>
      </c>
      <c r="AH283" s="85" t="str">
        <f>IFERROR(VLOOKUP(A283,CUSTOMERS!$A:$E,4),"")</f>
        <v/>
      </c>
      <c r="AI283" s="86" t="str">
        <f t="shared" si="92"/>
        <v/>
      </c>
      <c r="AJ283" s="87" t="str">
        <f>IFERROR(VLOOKUP(A283,CUSTOMERS!$A:$F,5),"")</f>
        <v/>
      </c>
      <c r="AK283" s="98"/>
      <c r="AL283" s="98">
        <v>0</v>
      </c>
      <c r="AM283" s="99">
        <v>0</v>
      </c>
      <c r="AN283" s="99"/>
      <c r="AO283" s="99">
        <v>0</v>
      </c>
      <c r="AP283" s="103">
        <f t="shared" si="99"/>
        <v>0</v>
      </c>
      <c r="AQ283" s="103" t="str">
        <f t="shared" si="90"/>
        <v/>
      </c>
      <c r="AR283" s="68" t="str">
        <f>IFERROR(VLOOKUP(A283,CUSTOMERS!$A:$B,2),"")</f>
        <v/>
      </c>
      <c r="AS283" s="68" t="str">
        <f>IFERROR(VLOOKUP(A283,CUSTOMERS!$A:$D,3),"")</f>
        <v/>
      </c>
      <c r="AT283" s="68" t="str">
        <f>IFERROR(VLOOKUP(A283,CUSTOMERS!$A:$F,6),"")</f>
        <v/>
      </c>
      <c r="AU283" s="69" t="str">
        <f>IFERROR(VLOOKUP(A283,CUSTOMERS!$A:$E,4),"")</f>
        <v/>
      </c>
      <c r="AV283" s="68" t="str">
        <f t="shared" si="86"/>
        <v/>
      </c>
      <c r="AX283" s="71" t="str">
        <f t="shared" si="100"/>
        <v>reason283</v>
      </c>
    </row>
    <row r="284" spans="1:50">
      <c r="A284" s="188"/>
      <c r="B284" s="125" t="str">
        <f t="shared" si="94"/>
        <v/>
      </c>
      <c r="C284" s="125"/>
      <c r="D284" s="126"/>
      <c r="E284" s="126"/>
      <c r="F284" s="122" t="str">
        <f t="shared" si="93"/>
        <v/>
      </c>
      <c r="G284" s="186"/>
      <c r="H284" s="124"/>
      <c r="I284" s="239"/>
      <c r="J284" s="80" t="str">
        <f t="shared" si="96"/>
        <v/>
      </c>
      <c r="K284" s="177">
        <f t="shared" si="91"/>
        <v>0</v>
      </c>
      <c r="L284" s="160"/>
      <c r="M284" s="161"/>
      <c r="N284" s="162"/>
      <c r="O284" s="162"/>
      <c r="P284" s="163"/>
      <c r="Q284" s="202"/>
      <c r="R284" s="204"/>
      <c r="S284" s="211"/>
      <c r="T284" s="211"/>
      <c r="U284" s="211"/>
      <c r="V284" s="211"/>
      <c r="W284" s="211"/>
      <c r="X284" s="154"/>
      <c r="Y284" s="173" t="str">
        <f t="shared" si="89"/>
        <v/>
      </c>
      <c r="Z284" s="83" t="str">
        <f t="shared" si="97"/>
        <v/>
      </c>
      <c r="AA284" s="84" t="str">
        <f t="shared" si="87"/>
        <v/>
      </c>
      <c r="AB284" s="84" t="str">
        <f t="shared" si="88"/>
        <v/>
      </c>
      <c r="AC284" s="84" t="str">
        <f t="shared" si="98"/>
        <v/>
      </c>
      <c r="AD284" s="84"/>
      <c r="AE284" s="84" t="str">
        <f t="shared" si="84"/>
        <v/>
      </c>
      <c r="AF284" s="84">
        <f t="shared" si="95"/>
        <v>0</v>
      </c>
      <c r="AG284" s="94" t="str">
        <f t="shared" si="85"/>
        <v/>
      </c>
      <c r="AH284" s="85" t="str">
        <f>IFERROR(VLOOKUP(A284,CUSTOMERS!$A:$E,4),"")</f>
        <v/>
      </c>
      <c r="AI284" s="86" t="str">
        <f t="shared" si="92"/>
        <v/>
      </c>
      <c r="AJ284" s="87" t="str">
        <f>IFERROR(VLOOKUP(A284,CUSTOMERS!$A:$F,5),"")</f>
        <v/>
      </c>
      <c r="AK284" s="98"/>
      <c r="AL284" s="98">
        <v>0</v>
      </c>
      <c r="AM284" s="99">
        <v>0</v>
      </c>
      <c r="AN284" s="99"/>
      <c r="AO284" s="99">
        <v>0</v>
      </c>
      <c r="AP284" s="103">
        <f t="shared" si="99"/>
        <v>0</v>
      </c>
      <c r="AQ284" s="103" t="str">
        <f t="shared" si="90"/>
        <v/>
      </c>
      <c r="AR284" s="68" t="str">
        <f>IFERROR(VLOOKUP(A284,CUSTOMERS!$A:$B,2),"")</f>
        <v/>
      </c>
      <c r="AS284" s="68" t="str">
        <f>IFERROR(VLOOKUP(A284,CUSTOMERS!$A:$D,3),"")</f>
        <v/>
      </c>
      <c r="AT284" s="68" t="str">
        <f>IFERROR(VLOOKUP(A284,CUSTOMERS!$A:$F,6),"")</f>
        <v/>
      </c>
      <c r="AU284" s="69" t="str">
        <f>IFERROR(VLOOKUP(A284,CUSTOMERS!$A:$E,4),"")</f>
        <v/>
      </c>
      <c r="AV284" s="68" t="str">
        <f t="shared" si="86"/>
        <v/>
      </c>
      <c r="AX284" s="71" t="str">
        <f t="shared" si="100"/>
        <v>reason284</v>
      </c>
    </row>
    <row r="285" spans="1:50">
      <c r="A285" s="188"/>
      <c r="B285" s="125" t="str">
        <f t="shared" si="94"/>
        <v/>
      </c>
      <c r="C285" s="125"/>
      <c r="D285" s="126"/>
      <c r="E285" s="126"/>
      <c r="F285" s="122" t="str">
        <f t="shared" si="93"/>
        <v/>
      </c>
      <c r="G285" s="186"/>
      <c r="H285" s="124"/>
      <c r="I285" s="239"/>
      <c r="J285" s="80" t="str">
        <f t="shared" si="96"/>
        <v/>
      </c>
      <c r="K285" s="177">
        <f t="shared" si="91"/>
        <v>0</v>
      </c>
      <c r="L285" s="160"/>
      <c r="M285" s="161"/>
      <c r="N285" s="162"/>
      <c r="O285" s="162"/>
      <c r="P285" s="163"/>
      <c r="Q285" s="202"/>
      <c r="R285" s="204"/>
      <c r="S285" s="211"/>
      <c r="T285" s="211"/>
      <c r="U285" s="211"/>
      <c r="V285" s="211"/>
      <c r="W285" s="211"/>
      <c r="X285" s="154"/>
      <c r="Y285" s="173" t="str">
        <f t="shared" si="89"/>
        <v/>
      </c>
      <c r="Z285" s="83" t="str">
        <f t="shared" si="97"/>
        <v/>
      </c>
      <c r="AA285" s="84" t="str">
        <f t="shared" si="87"/>
        <v/>
      </c>
      <c r="AB285" s="84" t="str">
        <f t="shared" si="88"/>
        <v/>
      </c>
      <c r="AC285" s="84" t="str">
        <f t="shared" si="98"/>
        <v/>
      </c>
      <c r="AD285" s="84"/>
      <c r="AE285" s="84" t="str">
        <f t="shared" si="84"/>
        <v/>
      </c>
      <c r="AF285" s="84">
        <f t="shared" si="95"/>
        <v>0</v>
      </c>
      <c r="AG285" s="94" t="str">
        <f t="shared" si="85"/>
        <v/>
      </c>
      <c r="AH285" s="85" t="str">
        <f>IFERROR(VLOOKUP(A285,CUSTOMERS!$A:$E,4),"")</f>
        <v/>
      </c>
      <c r="AI285" s="86" t="str">
        <f t="shared" si="92"/>
        <v/>
      </c>
      <c r="AJ285" s="87" t="str">
        <f>IFERROR(VLOOKUP(A285,CUSTOMERS!$A:$F,5),"")</f>
        <v/>
      </c>
      <c r="AK285" s="98"/>
      <c r="AL285" s="98">
        <v>0</v>
      </c>
      <c r="AM285" s="99">
        <v>0</v>
      </c>
      <c r="AN285" s="99"/>
      <c r="AO285" s="99">
        <v>0</v>
      </c>
      <c r="AP285" s="103">
        <f t="shared" si="99"/>
        <v>0</v>
      </c>
      <c r="AQ285" s="103" t="str">
        <f t="shared" si="90"/>
        <v/>
      </c>
      <c r="AR285" s="68" t="str">
        <f>IFERROR(VLOOKUP(A285,CUSTOMERS!$A:$B,2),"")</f>
        <v/>
      </c>
      <c r="AS285" s="68" t="str">
        <f>IFERROR(VLOOKUP(A285,CUSTOMERS!$A:$D,3),"")</f>
        <v/>
      </c>
      <c r="AT285" s="68" t="str">
        <f>IFERROR(VLOOKUP(A285,CUSTOMERS!$A:$F,6),"")</f>
        <v/>
      </c>
      <c r="AU285" s="69" t="str">
        <f>IFERROR(VLOOKUP(A285,CUSTOMERS!$A:$E,4),"")</f>
        <v/>
      </c>
      <c r="AV285" s="68" t="str">
        <f t="shared" si="86"/>
        <v/>
      </c>
      <c r="AX285" s="71" t="str">
        <f t="shared" si="100"/>
        <v>reason285</v>
      </c>
    </row>
    <row r="286" spans="1:50">
      <c r="A286" s="188"/>
      <c r="B286" s="125" t="str">
        <f t="shared" si="94"/>
        <v/>
      </c>
      <c r="C286" s="125"/>
      <c r="D286" s="126"/>
      <c r="E286" s="126"/>
      <c r="F286" s="122" t="str">
        <f t="shared" si="93"/>
        <v/>
      </c>
      <c r="G286" s="186"/>
      <c r="H286" s="124"/>
      <c r="I286" s="239"/>
      <c r="J286" s="80" t="str">
        <f t="shared" si="96"/>
        <v/>
      </c>
      <c r="K286" s="177">
        <f t="shared" si="91"/>
        <v>0</v>
      </c>
      <c r="L286" s="160"/>
      <c r="M286" s="161"/>
      <c r="N286" s="162"/>
      <c r="O286" s="162"/>
      <c r="P286" s="163"/>
      <c r="Q286" s="202"/>
      <c r="R286" s="204"/>
      <c r="S286" s="211"/>
      <c r="T286" s="211"/>
      <c r="U286" s="211"/>
      <c r="V286" s="211"/>
      <c r="W286" s="211"/>
      <c r="X286" s="154"/>
      <c r="Y286" s="173" t="str">
        <f t="shared" si="89"/>
        <v/>
      </c>
      <c r="Z286" s="83" t="str">
        <f t="shared" si="97"/>
        <v/>
      </c>
      <c r="AA286" s="84" t="str">
        <f t="shared" si="87"/>
        <v/>
      </c>
      <c r="AB286" s="84" t="str">
        <f t="shared" si="88"/>
        <v/>
      </c>
      <c r="AC286" s="84" t="str">
        <f t="shared" si="98"/>
        <v/>
      </c>
      <c r="AD286" s="84"/>
      <c r="AE286" s="84" t="str">
        <f t="shared" si="84"/>
        <v/>
      </c>
      <c r="AF286" s="84">
        <f t="shared" si="95"/>
        <v>0</v>
      </c>
      <c r="AG286" s="94" t="str">
        <f t="shared" si="85"/>
        <v/>
      </c>
      <c r="AH286" s="85" t="str">
        <f>IFERROR(VLOOKUP(A286,CUSTOMERS!$A:$E,4),"")</f>
        <v/>
      </c>
      <c r="AI286" s="86" t="str">
        <f t="shared" si="92"/>
        <v/>
      </c>
      <c r="AJ286" s="87" t="str">
        <f>IFERROR(VLOOKUP(A286,CUSTOMERS!$A:$F,5),"")</f>
        <v/>
      </c>
      <c r="AK286" s="98"/>
      <c r="AL286" s="98">
        <v>0</v>
      </c>
      <c r="AM286" s="99">
        <v>0</v>
      </c>
      <c r="AN286" s="99"/>
      <c r="AO286" s="99">
        <v>0</v>
      </c>
      <c r="AP286" s="103">
        <f t="shared" si="99"/>
        <v>0</v>
      </c>
      <c r="AQ286" s="103" t="str">
        <f t="shared" si="90"/>
        <v/>
      </c>
      <c r="AR286" s="68" t="str">
        <f>IFERROR(VLOOKUP(A286,CUSTOMERS!$A:$B,2),"")</f>
        <v/>
      </c>
      <c r="AS286" s="68" t="str">
        <f>IFERROR(VLOOKUP(A286,CUSTOMERS!$A:$D,3),"")</f>
        <v/>
      </c>
      <c r="AT286" s="68" t="str">
        <f>IFERROR(VLOOKUP(A286,CUSTOMERS!$A:$F,6),"")</f>
        <v/>
      </c>
      <c r="AU286" s="69" t="str">
        <f>IFERROR(VLOOKUP(A286,CUSTOMERS!$A:$E,4),"")</f>
        <v/>
      </c>
      <c r="AV286" s="68" t="str">
        <f t="shared" si="86"/>
        <v/>
      </c>
      <c r="AX286" s="71" t="str">
        <f t="shared" si="100"/>
        <v>reason286</v>
      </c>
    </row>
    <row r="287" spans="1:50">
      <c r="A287" s="188"/>
      <c r="B287" s="125" t="str">
        <f t="shared" si="94"/>
        <v/>
      </c>
      <c r="C287" s="125"/>
      <c r="D287" s="126"/>
      <c r="E287" s="126"/>
      <c r="F287" s="122" t="str">
        <f t="shared" si="93"/>
        <v/>
      </c>
      <c r="G287" s="186"/>
      <c r="H287" s="124"/>
      <c r="I287" s="239"/>
      <c r="J287" s="80" t="str">
        <f t="shared" si="96"/>
        <v/>
      </c>
      <c r="K287" s="177">
        <f t="shared" si="91"/>
        <v>0</v>
      </c>
      <c r="L287" s="160"/>
      <c r="M287" s="161"/>
      <c r="N287" s="162"/>
      <c r="O287" s="162"/>
      <c r="P287" s="163"/>
      <c r="Q287" s="202"/>
      <c r="R287" s="204"/>
      <c r="S287" s="211"/>
      <c r="T287" s="211"/>
      <c r="U287" s="211"/>
      <c r="V287" s="211"/>
      <c r="W287" s="211"/>
      <c r="X287" s="154"/>
      <c r="Y287" s="173" t="str">
        <f t="shared" si="89"/>
        <v/>
      </c>
      <c r="Z287" s="83" t="str">
        <f t="shared" si="97"/>
        <v/>
      </c>
      <c r="AA287" s="84" t="str">
        <f t="shared" si="87"/>
        <v/>
      </c>
      <c r="AB287" s="84" t="str">
        <f t="shared" si="88"/>
        <v/>
      </c>
      <c r="AC287" s="84" t="str">
        <f t="shared" si="98"/>
        <v/>
      </c>
      <c r="AD287" s="84"/>
      <c r="AE287" s="84" t="str">
        <f t="shared" si="84"/>
        <v/>
      </c>
      <c r="AF287" s="84">
        <f t="shared" si="95"/>
        <v>0</v>
      </c>
      <c r="AG287" s="94" t="str">
        <f t="shared" si="85"/>
        <v/>
      </c>
      <c r="AH287" s="85" t="str">
        <f>IFERROR(VLOOKUP(A287,CUSTOMERS!$A:$E,4),"")</f>
        <v/>
      </c>
      <c r="AI287" s="86" t="str">
        <f t="shared" si="92"/>
        <v/>
      </c>
      <c r="AJ287" s="87" t="str">
        <f>IFERROR(VLOOKUP(A287,CUSTOMERS!$A:$F,5),"")</f>
        <v/>
      </c>
      <c r="AK287" s="98"/>
      <c r="AL287" s="98">
        <v>0</v>
      </c>
      <c r="AM287" s="99">
        <v>0</v>
      </c>
      <c r="AN287" s="99"/>
      <c r="AO287" s="99">
        <v>0</v>
      </c>
      <c r="AP287" s="103">
        <f t="shared" si="99"/>
        <v>0</v>
      </c>
      <c r="AQ287" s="103" t="str">
        <f t="shared" si="90"/>
        <v/>
      </c>
      <c r="AR287" s="68" t="str">
        <f>IFERROR(VLOOKUP(A287,CUSTOMERS!$A:$B,2),"")</f>
        <v/>
      </c>
      <c r="AS287" s="68" t="str">
        <f>IFERROR(VLOOKUP(A287,CUSTOMERS!$A:$D,3),"")</f>
        <v/>
      </c>
      <c r="AT287" s="68" t="str">
        <f>IFERROR(VLOOKUP(A287,CUSTOMERS!$A:$F,6),"")</f>
        <v/>
      </c>
      <c r="AU287" s="69" t="str">
        <f>IFERROR(VLOOKUP(A287,CUSTOMERS!$A:$E,4),"")</f>
        <v/>
      </c>
      <c r="AV287" s="68" t="str">
        <f t="shared" si="86"/>
        <v/>
      </c>
      <c r="AX287" s="71" t="str">
        <f t="shared" si="100"/>
        <v>reason287</v>
      </c>
    </row>
    <row r="288" spans="1:50">
      <c r="A288" s="188"/>
      <c r="B288" s="125" t="str">
        <f t="shared" si="94"/>
        <v/>
      </c>
      <c r="C288" s="125"/>
      <c r="D288" s="126"/>
      <c r="E288" s="126"/>
      <c r="F288" s="122" t="str">
        <f t="shared" si="93"/>
        <v/>
      </c>
      <c r="G288" s="186"/>
      <c r="H288" s="124"/>
      <c r="I288" s="239"/>
      <c r="J288" s="80" t="str">
        <f t="shared" si="96"/>
        <v/>
      </c>
      <c r="K288" s="177">
        <f t="shared" si="91"/>
        <v>0</v>
      </c>
      <c r="L288" s="160"/>
      <c r="M288" s="161"/>
      <c r="N288" s="162"/>
      <c r="O288" s="162"/>
      <c r="P288" s="163"/>
      <c r="Q288" s="202"/>
      <c r="R288" s="204"/>
      <c r="S288" s="211"/>
      <c r="T288" s="211"/>
      <c r="U288" s="211"/>
      <c r="V288" s="211"/>
      <c r="W288" s="211"/>
      <c r="X288" s="154"/>
      <c r="Y288" s="173" t="str">
        <f t="shared" si="89"/>
        <v/>
      </c>
      <c r="Z288" s="83" t="str">
        <f t="shared" si="97"/>
        <v/>
      </c>
      <c r="AA288" s="84" t="str">
        <f t="shared" si="87"/>
        <v/>
      </c>
      <c r="AB288" s="84" t="str">
        <f t="shared" si="88"/>
        <v/>
      </c>
      <c r="AC288" s="84" t="str">
        <f t="shared" si="98"/>
        <v/>
      </c>
      <c r="AD288" s="84"/>
      <c r="AE288" s="84" t="str">
        <f t="shared" si="84"/>
        <v/>
      </c>
      <c r="AF288" s="84">
        <f t="shared" si="95"/>
        <v>0</v>
      </c>
      <c r="AG288" s="94" t="str">
        <f t="shared" si="85"/>
        <v/>
      </c>
      <c r="AH288" s="85" t="str">
        <f>IFERROR(VLOOKUP(A288,CUSTOMERS!$A:$E,4),"")</f>
        <v/>
      </c>
      <c r="AI288" s="86" t="str">
        <f t="shared" si="92"/>
        <v/>
      </c>
      <c r="AJ288" s="87" t="str">
        <f>IFERROR(VLOOKUP(A288,CUSTOMERS!$A:$F,5),"")</f>
        <v/>
      </c>
      <c r="AK288" s="98"/>
      <c r="AL288" s="98">
        <v>0</v>
      </c>
      <c r="AM288" s="99">
        <v>0</v>
      </c>
      <c r="AN288" s="99"/>
      <c r="AO288" s="99">
        <v>0</v>
      </c>
      <c r="AP288" s="103">
        <f t="shared" si="99"/>
        <v>0</v>
      </c>
      <c r="AQ288" s="103" t="str">
        <f t="shared" si="90"/>
        <v/>
      </c>
      <c r="AR288" s="68" t="str">
        <f>IFERROR(VLOOKUP(A288,CUSTOMERS!$A:$B,2),"")</f>
        <v/>
      </c>
      <c r="AS288" s="68" t="str">
        <f>IFERROR(VLOOKUP(A288,CUSTOMERS!$A:$D,3),"")</f>
        <v/>
      </c>
      <c r="AT288" s="68" t="str">
        <f>IFERROR(VLOOKUP(A288,CUSTOMERS!$A:$F,6),"")</f>
        <v/>
      </c>
      <c r="AU288" s="69" t="str">
        <f>IFERROR(VLOOKUP(A288,CUSTOMERS!$A:$E,4),"")</f>
        <v/>
      </c>
      <c r="AV288" s="68" t="str">
        <f t="shared" si="86"/>
        <v/>
      </c>
      <c r="AX288" s="71" t="str">
        <f t="shared" si="100"/>
        <v>reason288</v>
      </c>
    </row>
    <row r="289" spans="1:50">
      <c r="A289" s="188"/>
      <c r="B289" s="125" t="str">
        <f t="shared" si="94"/>
        <v/>
      </c>
      <c r="C289" s="125"/>
      <c r="D289" s="126"/>
      <c r="E289" s="126"/>
      <c r="F289" s="122" t="str">
        <f t="shared" si="93"/>
        <v/>
      </c>
      <c r="G289" s="186"/>
      <c r="H289" s="124"/>
      <c r="I289" s="239"/>
      <c r="J289" s="80" t="str">
        <f t="shared" si="96"/>
        <v/>
      </c>
      <c r="K289" s="177">
        <f t="shared" si="91"/>
        <v>0</v>
      </c>
      <c r="L289" s="160"/>
      <c r="M289" s="161"/>
      <c r="N289" s="162"/>
      <c r="O289" s="162"/>
      <c r="P289" s="163"/>
      <c r="Q289" s="202"/>
      <c r="R289" s="204"/>
      <c r="S289" s="211"/>
      <c r="T289" s="211"/>
      <c r="U289" s="211"/>
      <c r="V289" s="211"/>
      <c r="W289" s="211"/>
      <c r="X289" s="154"/>
      <c r="Y289" s="173" t="str">
        <f t="shared" si="89"/>
        <v/>
      </c>
      <c r="Z289" s="83" t="str">
        <f t="shared" si="97"/>
        <v/>
      </c>
      <c r="AA289" s="84" t="str">
        <f t="shared" si="87"/>
        <v/>
      </c>
      <c r="AB289" s="84" t="str">
        <f t="shared" si="88"/>
        <v/>
      </c>
      <c r="AC289" s="84" t="str">
        <f t="shared" si="98"/>
        <v/>
      </c>
      <c r="AD289" s="84"/>
      <c r="AE289" s="84" t="str">
        <f t="shared" si="84"/>
        <v/>
      </c>
      <c r="AF289" s="84">
        <f t="shared" si="95"/>
        <v>0</v>
      </c>
      <c r="AG289" s="94" t="str">
        <f t="shared" si="85"/>
        <v/>
      </c>
      <c r="AH289" s="85" t="str">
        <f>IFERROR(VLOOKUP(A289,CUSTOMERS!$A:$E,4),"")</f>
        <v/>
      </c>
      <c r="AI289" s="86" t="str">
        <f t="shared" si="92"/>
        <v/>
      </c>
      <c r="AJ289" s="87" t="str">
        <f>IFERROR(VLOOKUP(A289,CUSTOMERS!$A:$F,5),"")</f>
        <v/>
      </c>
      <c r="AK289" s="98"/>
      <c r="AL289" s="98">
        <v>0</v>
      </c>
      <c r="AM289" s="99">
        <v>0</v>
      </c>
      <c r="AN289" s="99"/>
      <c r="AO289" s="99">
        <v>0</v>
      </c>
      <c r="AP289" s="103">
        <f t="shared" si="99"/>
        <v>0</v>
      </c>
      <c r="AQ289" s="103" t="str">
        <f t="shared" si="90"/>
        <v/>
      </c>
      <c r="AR289" s="68" t="str">
        <f>IFERROR(VLOOKUP(A289,CUSTOMERS!$A:$B,2),"")</f>
        <v/>
      </c>
      <c r="AS289" s="68" t="str">
        <f>IFERROR(VLOOKUP(A289,CUSTOMERS!$A:$D,3),"")</f>
        <v/>
      </c>
      <c r="AT289" s="68" t="str">
        <f>IFERROR(VLOOKUP(A289,CUSTOMERS!$A:$F,6),"")</f>
        <v/>
      </c>
      <c r="AU289" s="69" t="str">
        <f>IFERROR(VLOOKUP(A289,CUSTOMERS!$A:$E,4),"")</f>
        <v/>
      </c>
      <c r="AV289" s="68" t="str">
        <f t="shared" si="86"/>
        <v/>
      </c>
      <c r="AX289" s="71" t="str">
        <f t="shared" si="100"/>
        <v>reason289</v>
      </c>
    </row>
    <row r="290" spans="1:50">
      <c r="A290" s="188"/>
      <c r="B290" s="125" t="str">
        <f t="shared" si="94"/>
        <v/>
      </c>
      <c r="C290" s="125"/>
      <c r="D290" s="126"/>
      <c r="E290" s="126"/>
      <c r="F290" s="122" t="str">
        <f t="shared" si="93"/>
        <v/>
      </c>
      <c r="G290" s="186"/>
      <c r="H290" s="124"/>
      <c r="I290" s="239"/>
      <c r="J290" s="80" t="str">
        <f t="shared" si="96"/>
        <v/>
      </c>
      <c r="K290" s="177">
        <f t="shared" si="91"/>
        <v>0</v>
      </c>
      <c r="L290" s="160"/>
      <c r="M290" s="161"/>
      <c r="N290" s="162"/>
      <c r="O290" s="162"/>
      <c r="P290" s="163"/>
      <c r="Q290" s="202"/>
      <c r="R290" s="204"/>
      <c r="S290" s="211"/>
      <c r="T290" s="211"/>
      <c r="U290" s="211"/>
      <c r="V290" s="211"/>
      <c r="W290" s="211"/>
      <c r="X290" s="154"/>
      <c r="Y290" s="173" t="str">
        <f t="shared" si="89"/>
        <v/>
      </c>
      <c r="Z290" s="83" t="str">
        <f t="shared" si="97"/>
        <v/>
      </c>
      <c r="AA290" s="84" t="str">
        <f t="shared" si="87"/>
        <v/>
      </c>
      <c r="AB290" s="84" t="str">
        <f t="shared" si="88"/>
        <v/>
      </c>
      <c r="AC290" s="84" t="str">
        <f t="shared" si="98"/>
        <v/>
      </c>
      <c r="AD290" s="84"/>
      <c r="AE290" s="84" t="str">
        <f t="shared" si="84"/>
        <v/>
      </c>
      <c r="AF290" s="84">
        <f t="shared" si="95"/>
        <v>0</v>
      </c>
      <c r="AG290" s="94" t="str">
        <f t="shared" si="85"/>
        <v/>
      </c>
      <c r="AH290" s="85" t="str">
        <f>IFERROR(VLOOKUP(A290,CUSTOMERS!$A:$E,4),"")</f>
        <v/>
      </c>
      <c r="AI290" s="86" t="str">
        <f t="shared" si="92"/>
        <v/>
      </c>
      <c r="AJ290" s="87" t="str">
        <f>IFERROR(VLOOKUP(A290,CUSTOMERS!$A:$F,5),"")</f>
        <v/>
      </c>
      <c r="AK290" s="98"/>
      <c r="AL290" s="98">
        <v>0</v>
      </c>
      <c r="AM290" s="99">
        <v>0</v>
      </c>
      <c r="AN290" s="99"/>
      <c r="AO290" s="99">
        <v>0</v>
      </c>
      <c r="AP290" s="103">
        <f t="shared" si="99"/>
        <v>0</v>
      </c>
      <c r="AQ290" s="103" t="str">
        <f t="shared" si="90"/>
        <v/>
      </c>
      <c r="AR290" s="68" t="str">
        <f>IFERROR(VLOOKUP(A290,CUSTOMERS!$A:$B,2),"")</f>
        <v/>
      </c>
      <c r="AS290" s="68" t="str">
        <f>IFERROR(VLOOKUP(A290,CUSTOMERS!$A:$D,3),"")</f>
        <v/>
      </c>
      <c r="AT290" s="68" t="str">
        <f>IFERROR(VLOOKUP(A290,CUSTOMERS!$A:$F,6),"")</f>
        <v/>
      </c>
      <c r="AU290" s="69" t="str">
        <f>IFERROR(VLOOKUP(A290,CUSTOMERS!$A:$E,4),"")</f>
        <v/>
      </c>
      <c r="AV290" s="68" t="str">
        <f t="shared" si="86"/>
        <v/>
      </c>
      <c r="AX290" s="71" t="str">
        <f t="shared" si="100"/>
        <v>reason290</v>
      </c>
    </row>
    <row r="291" spans="1:50">
      <c r="A291" s="188"/>
      <c r="B291" s="125" t="str">
        <f t="shared" si="94"/>
        <v/>
      </c>
      <c r="C291" s="125"/>
      <c r="D291" s="126"/>
      <c r="E291" s="126"/>
      <c r="F291" s="122" t="str">
        <f t="shared" si="93"/>
        <v/>
      </c>
      <c r="G291" s="186"/>
      <c r="H291" s="124"/>
      <c r="I291" s="239"/>
      <c r="J291" s="80" t="str">
        <f t="shared" si="96"/>
        <v/>
      </c>
      <c r="K291" s="177">
        <f t="shared" si="91"/>
        <v>0</v>
      </c>
      <c r="L291" s="160"/>
      <c r="M291" s="161"/>
      <c r="N291" s="162"/>
      <c r="O291" s="162"/>
      <c r="P291" s="163"/>
      <c r="Q291" s="202"/>
      <c r="R291" s="204"/>
      <c r="S291" s="211"/>
      <c r="T291" s="211"/>
      <c r="U291" s="211"/>
      <c r="V291" s="211"/>
      <c r="W291" s="211"/>
      <c r="X291" s="154"/>
      <c r="Y291" s="173" t="str">
        <f t="shared" si="89"/>
        <v/>
      </c>
      <c r="Z291" s="83" t="str">
        <f t="shared" si="97"/>
        <v/>
      </c>
      <c r="AA291" s="84" t="str">
        <f t="shared" si="87"/>
        <v/>
      </c>
      <c r="AB291" s="84" t="str">
        <f t="shared" si="88"/>
        <v/>
      </c>
      <c r="AC291" s="84" t="str">
        <f t="shared" si="98"/>
        <v/>
      </c>
      <c r="AD291" s="84"/>
      <c r="AE291" s="84" t="str">
        <f t="shared" ref="AE291:AE318" si="101">IFERROR((AO291*AH291)*7.5,"")</f>
        <v/>
      </c>
      <c r="AF291" s="84">
        <f t="shared" si="95"/>
        <v>0</v>
      </c>
      <c r="AG291" s="94" t="str">
        <f t="shared" ref="AG291:AG318" si="102">IFERROR((AQ291*AH291)*7.5,"")</f>
        <v/>
      </c>
      <c r="AH291" s="85" t="str">
        <f>IFERROR(VLOOKUP(A291,CUSTOMERS!$A:$E,4),"")</f>
        <v/>
      </c>
      <c r="AI291" s="86" t="str">
        <f t="shared" si="92"/>
        <v/>
      </c>
      <c r="AJ291" s="87" t="str">
        <f>IFERROR(VLOOKUP(A291,CUSTOMERS!$A:$F,5),"")</f>
        <v/>
      </c>
      <c r="AK291" s="98"/>
      <c r="AL291" s="98">
        <v>0</v>
      </c>
      <c r="AM291" s="99">
        <v>0</v>
      </c>
      <c r="AN291" s="99"/>
      <c r="AO291" s="99">
        <v>0</v>
      </c>
      <c r="AP291" s="103">
        <f t="shared" si="99"/>
        <v>0</v>
      </c>
      <c r="AQ291" s="103" t="str">
        <f t="shared" si="90"/>
        <v/>
      </c>
      <c r="AR291" s="68" t="str">
        <f>IFERROR(VLOOKUP(A291,CUSTOMERS!$A:$B,2),"")</f>
        <v/>
      </c>
      <c r="AS291" s="68" t="str">
        <f>IFERROR(VLOOKUP(A291,CUSTOMERS!$A:$D,3),"")</f>
        <v/>
      </c>
      <c r="AT291" s="68" t="str">
        <f>IFERROR(VLOOKUP(A291,CUSTOMERS!$A:$F,6),"")</f>
        <v/>
      </c>
      <c r="AU291" s="69" t="str">
        <f>IFERROR(VLOOKUP(A291,CUSTOMERS!$A:$E,4),"")</f>
        <v/>
      </c>
      <c r="AV291" s="68" t="str">
        <f t="shared" si="86"/>
        <v/>
      </c>
      <c r="AX291" s="71" t="str">
        <f t="shared" si="100"/>
        <v>reason291</v>
      </c>
    </row>
    <row r="292" spans="1:50">
      <c r="A292" s="188"/>
      <c r="B292" s="125" t="str">
        <f t="shared" si="94"/>
        <v/>
      </c>
      <c r="C292" s="125"/>
      <c r="D292" s="126"/>
      <c r="E292" s="126"/>
      <c r="F292" s="122" t="str">
        <f t="shared" si="93"/>
        <v/>
      </c>
      <c r="G292" s="186"/>
      <c r="H292" s="124"/>
      <c r="I292" s="239"/>
      <c r="J292" s="80" t="str">
        <f t="shared" si="96"/>
        <v/>
      </c>
      <c r="K292" s="177">
        <f t="shared" si="91"/>
        <v>0</v>
      </c>
      <c r="L292" s="160"/>
      <c r="M292" s="161"/>
      <c r="N292" s="162"/>
      <c r="O292" s="162"/>
      <c r="P292" s="163"/>
      <c r="Q292" s="202"/>
      <c r="R292" s="204"/>
      <c r="S292" s="211"/>
      <c r="T292" s="211"/>
      <c r="U292" s="211"/>
      <c r="V292" s="211"/>
      <c r="W292" s="211"/>
      <c r="X292" s="154"/>
      <c r="Y292" s="173" t="str">
        <f t="shared" si="89"/>
        <v/>
      </c>
      <c r="Z292" s="83" t="str">
        <f t="shared" si="97"/>
        <v/>
      </c>
      <c r="AA292" s="84" t="str">
        <f t="shared" si="87"/>
        <v/>
      </c>
      <c r="AB292" s="84" t="str">
        <f t="shared" si="88"/>
        <v/>
      </c>
      <c r="AC292" s="84" t="str">
        <f t="shared" si="98"/>
        <v/>
      </c>
      <c r="AD292" s="84"/>
      <c r="AE292" s="84" t="str">
        <f t="shared" si="101"/>
        <v/>
      </c>
      <c r="AF292" s="84">
        <f t="shared" si="95"/>
        <v>0</v>
      </c>
      <c r="AG292" s="94" t="str">
        <f t="shared" si="102"/>
        <v/>
      </c>
      <c r="AH292" s="85" t="str">
        <f>IFERROR(VLOOKUP(A292,CUSTOMERS!$A:$E,4),"")</f>
        <v/>
      </c>
      <c r="AI292" s="86" t="str">
        <f t="shared" si="92"/>
        <v/>
      </c>
      <c r="AJ292" s="87" t="str">
        <f>IFERROR(VLOOKUP(A292,CUSTOMERS!$A:$F,5),"")</f>
        <v/>
      </c>
      <c r="AK292" s="98"/>
      <c r="AL292" s="98">
        <v>0</v>
      </c>
      <c r="AM292" s="99">
        <v>0</v>
      </c>
      <c r="AN292" s="99"/>
      <c r="AO292" s="99">
        <v>0</v>
      </c>
      <c r="AP292" s="103">
        <f t="shared" si="99"/>
        <v>0</v>
      </c>
      <c r="AQ292" s="103" t="str">
        <f t="shared" si="90"/>
        <v/>
      </c>
      <c r="AR292" s="68" t="str">
        <f>IFERROR(VLOOKUP(A292,CUSTOMERS!$A:$B,2),"")</f>
        <v/>
      </c>
      <c r="AS292" s="68" t="str">
        <f>IFERROR(VLOOKUP(A292,CUSTOMERS!$A:$D,3),"")</f>
        <v/>
      </c>
      <c r="AT292" s="68" t="str">
        <f>IFERROR(VLOOKUP(A292,CUSTOMERS!$A:$F,6),"")</f>
        <v/>
      </c>
      <c r="AU292" s="69" t="str">
        <f>IFERROR(VLOOKUP(A292,CUSTOMERS!$A:$E,4),"")</f>
        <v/>
      </c>
      <c r="AV292" s="68" t="str">
        <f t="shared" si="86"/>
        <v/>
      </c>
      <c r="AX292" s="71" t="str">
        <f t="shared" si="100"/>
        <v>reason292</v>
      </c>
    </row>
    <row r="293" spans="1:50">
      <c r="A293" s="188"/>
      <c r="B293" s="125" t="str">
        <f t="shared" si="94"/>
        <v/>
      </c>
      <c r="C293" s="125"/>
      <c r="D293" s="126"/>
      <c r="E293" s="126"/>
      <c r="F293" s="122" t="str">
        <f t="shared" si="93"/>
        <v/>
      </c>
      <c r="G293" s="186"/>
      <c r="H293" s="124"/>
      <c r="I293" s="239"/>
      <c r="J293" s="80" t="str">
        <f t="shared" si="96"/>
        <v/>
      </c>
      <c r="K293" s="177">
        <f t="shared" si="91"/>
        <v>0</v>
      </c>
      <c r="L293" s="160"/>
      <c r="M293" s="161"/>
      <c r="N293" s="162"/>
      <c r="O293" s="162"/>
      <c r="P293" s="163"/>
      <c r="Q293" s="202"/>
      <c r="R293" s="204"/>
      <c r="S293" s="211"/>
      <c r="T293" s="211"/>
      <c r="U293" s="211"/>
      <c r="V293" s="211"/>
      <c r="W293" s="211"/>
      <c r="X293" s="154"/>
      <c r="Y293" s="173" t="str">
        <f t="shared" si="89"/>
        <v/>
      </c>
      <c r="Z293" s="83" t="str">
        <f t="shared" si="97"/>
        <v/>
      </c>
      <c r="AA293" s="84" t="str">
        <f t="shared" si="87"/>
        <v/>
      </c>
      <c r="AB293" s="84" t="str">
        <f t="shared" si="88"/>
        <v/>
      </c>
      <c r="AC293" s="84" t="str">
        <f t="shared" si="98"/>
        <v/>
      </c>
      <c r="AD293" s="84"/>
      <c r="AE293" s="84" t="str">
        <f t="shared" si="101"/>
        <v/>
      </c>
      <c r="AF293" s="84">
        <f t="shared" si="95"/>
        <v>0</v>
      </c>
      <c r="AG293" s="94" t="str">
        <f t="shared" si="102"/>
        <v/>
      </c>
      <c r="AH293" s="85" t="str">
        <f>IFERROR(VLOOKUP(A293,CUSTOMERS!$A:$E,4),"")</f>
        <v/>
      </c>
      <c r="AI293" s="86" t="str">
        <f t="shared" si="92"/>
        <v/>
      </c>
      <c r="AJ293" s="87" t="str">
        <f>IFERROR(VLOOKUP(A293,CUSTOMERS!$A:$F,5),"")</f>
        <v/>
      </c>
      <c r="AK293" s="98"/>
      <c r="AL293" s="98">
        <v>0</v>
      </c>
      <c r="AM293" s="99">
        <v>0</v>
      </c>
      <c r="AN293" s="99"/>
      <c r="AO293" s="99">
        <v>0</v>
      </c>
      <c r="AP293" s="103">
        <f t="shared" si="99"/>
        <v>0</v>
      </c>
      <c r="AQ293" s="103" t="str">
        <f t="shared" si="90"/>
        <v/>
      </c>
      <c r="AR293" s="68" t="str">
        <f>IFERROR(VLOOKUP(A293,CUSTOMERS!$A:$B,2),"")</f>
        <v/>
      </c>
      <c r="AS293" s="68" t="str">
        <f>IFERROR(VLOOKUP(A293,CUSTOMERS!$A:$D,3),"")</f>
        <v/>
      </c>
      <c r="AT293" s="68" t="str">
        <f>IFERROR(VLOOKUP(A293,CUSTOMERS!$A:$F,6),"")</f>
        <v/>
      </c>
      <c r="AU293" s="69" t="str">
        <f>IFERROR(VLOOKUP(A293,CUSTOMERS!$A:$E,4),"")</f>
        <v/>
      </c>
      <c r="AV293" s="68" t="str">
        <f t="shared" si="86"/>
        <v/>
      </c>
      <c r="AX293" s="71" t="str">
        <f t="shared" si="100"/>
        <v>reason293</v>
      </c>
    </row>
    <row r="294" spans="1:50">
      <c r="A294" s="188"/>
      <c r="B294" s="125" t="str">
        <f t="shared" si="94"/>
        <v/>
      </c>
      <c r="C294" s="125"/>
      <c r="D294" s="126"/>
      <c r="E294" s="126"/>
      <c r="F294" s="122" t="str">
        <f t="shared" si="93"/>
        <v/>
      </c>
      <c r="G294" s="186"/>
      <c r="H294" s="124"/>
      <c r="I294" s="239"/>
      <c r="J294" s="80" t="str">
        <f t="shared" si="96"/>
        <v/>
      </c>
      <c r="K294" s="177">
        <f t="shared" si="91"/>
        <v>0</v>
      </c>
      <c r="L294" s="160"/>
      <c r="M294" s="161"/>
      <c r="N294" s="162"/>
      <c r="O294" s="162"/>
      <c r="P294" s="163"/>
      <c r="Q294" s="202"/>
      <c r="R294" s="204"/>
      <c r="S294" s="211"/>
      <c r="T294" s="211"/>
      <c r="U294" s="211"/>
      <c r="V294" s="211"/>
      <c r="W294" s="211"/>
      <c r="X294" s="154"/>
      <c r="Y294" s="173" t="str">
        <f t="shared" si="89"/>
        <v/>
      </c>
      <c r="Z294" s="83" t="str">
        <f t="shared" si="97"/>
        <v/>
      </c>
      <c r="AA294" s="84" t="str">
        <f t="shared" si="87"/>
        <v/>
      </c>
      <c r="AB294" s="84" t="str">
        <f t="shared" si="88"/>
        <v/>
      </c>
      <c r="AC294" s="84" t="str">
        <f t="shared" si="98"/>
        <v/>
      </c>
      <c r="AD294" s="84"/>
      <c r="AE294" s="84" t="str">
        <f t="shared" si="101"/>
        <v/>
      </c>
      <c r="AF294" s="84">
        <f t="shared" si="95"/>
        <v>0</v>
      </c>
      <c r="AG294" s="94" t="str">
        <f t="shared" si="102"/>
        <v/>
      </c>
      <c r="AH294" s="85" t="str">
        <f>IFERROR(VLOOKUP(A294,CUSTOMERS!$A:$E,4),"")</f>
        <v/>
      </c>
      <c r="AI294" s="86" t="str">
        <f t="shared" si="92"/>
        <v/>
      </c>
      <c r="AJ294" s="87" t="str">
        <f>IFERROR(VLOOKUP(A294,CUSTOMERS!$A:$F,5),"")</f>
        <v/>
      </c>
      <c r="AK294" s="98"/>
      <c r="AL294" s="98">
        <v>0</v>
      </c>
      <c r="AM294" s="99">
        <v>0</v>
      </c>
      <c r="AN294" s="99"/>
      <c r="AO294" s="99">
        <v>0</v>
      </c>
      <c r="AP294" s="103">
        <f t="shared" si="99"/>
        <v>0</v>
      </c>
      <c r="AQ294" s="103" t="str">
        <f t="shared" si="90"/>
        <v/>
      </c>
      <c r="AR294" s="68" t="str">
        <f>IFERROR(VLOOKUP(A294,CUSTOMERS!$A:$B,2),"")</f>
        <v/>
      </c>
      <c r="AS294" s="68" t="str">
        <f>IFERROR(VLOOKUP(A294,CUSTOMERS!$A:$D,3),"")</f>
        <v/>
      </c>
      <c r="AT294" s="68" t="str">
        <f>IFERROR(VLOOKUP(A294,CUSTOMERS!$A:$F,6),"")</f>
        <v/>
      </c>
      <c r="AU294" s="69" t="str">
        <f>IFERROR(VLOOKUP(A294,CUSTOMERS!$A:$E,4),"")</f>
        <v/>
      </c>
      <c r="AV294" s="68" t="str">
        <f t="shared" si="86"/>
        <v/>
      </c>
      <c r="AX294" s="71" t="str">
        <f t="shared" si="100"/>
        <v>reason294</v>
      </c>
    </row>
    <row r="295" spans="1:50">
      <c r="A295" s="188"/>
      <c r="B295" s="125" t="str">
        <f t="shared" si="94"/>
        <v/>
      </c>
      <c r="C295" s="125"/>
      <c r="D295" s="126"/>
      <c r="E295" s="126"/>
      <c r="F295" s="122" t="str">
        <f t="shared" si="93"/>
        <v/>
      </c>
      <c r="G295" s="186"/>
      <c r="H295" s="124"/>
      <c r="I295" s="239"/>
      <c r="J295" s="80" t="str">
        <f t="shared" si="96"/>
        <v/>
      </c>
      <c r="K295" s="177">
        <f t="shared" si="91"/>
        <v>0</v>
      </c>
      <c r="L295" s="160"/>
      <c r="M295" s="161"/>
      <c r="N295" s="162"/>
      <c r="O295" s="162"/>
      <c r="P295" s="163"/>
      <c r="Q295" s="202"/>
      <c r="R295" s="204"/>
      <c r="S295" s="211"/>
      <c r="T295" s="211"/>
      <c r="U295" s="211"/>
      <c r="V295" s="211"/>
      <c r="W295" s="211"/>
      <c r="X295" s="154"/>
      <c r="Y295" s="173" t="str">
        <f t="shared" si="89"/>
        <v/>
      </c>
      <c r="Z295" s="83" t="str">
        <f t="shared" si="97"/>
        <v/>
      </c>
      <c r="AA295" s="84" t="str">
        <f t="shared" si="87"/>
        <v/>
      </c>
      <c r="AB295" s="84" t="str">
        <f t="shared" si="88"/>
        <v/>
      </c>
      <c r="AC295" s="84" t="str">
        <f t="shared" si="98"/>
        <v/>
      </c>
      <c r="AD295" s="84"/>
      <c r="AE295" s="84" t="str">
        <f t="shared" si="101"/>
        <v/>
      </c>
      <c r="AF295" s="84">
        <f t="shared" si="95"/>
        <v>0</v>
      </c>
      <c r="AG295" s="94" t="str">
        <f t="shared" si="102"/>
        <v/>
      </c>
      <c r="AH295" s="85" t="str">
        <f>IFERROR(VLOOKUP(A295,CUSTOMERS!$A:$E,4),"")</f>
        <v/>
      </c>
      <c r="AI295" s="86" t="str">
        <f t="shared" si="92"/>
        <v/>
      </c>
      <c r="AJ295" s="87" t="str">
        <f>IFERROR(VLOOKUP(A295,CUSTOMERS!$A:$F,5),"")</f>
        <v/>
      </c>
      <c r="AK295" s="98"/>
      <c r="AL295" s="98">
        <v>0</v>
      </c>
      <c r="AM295" s="99">
        <v>0</v>
      </c>
      <c r="AN295" s="99"/>
      <c r="AO295" s="99">
        <v>0</v>
      </c>
      <c r="AP295" s="103">
        <f t="shared" si="99"/>
        <v>0</v>
      </c>
      <c r="AQ295" s="103" t="str">
        <f t="shared" si="90"/>
        <v/>
      </c>
      <c r="AR295" s="68" t="str">
        <f>IFERROR(VLOOKUP(A295,CUSTOMERS!$A:$B,2),"")</f>
        <v/>
      </c>
      <c r="AS295" s="68" t="str">
        <f>IFERROR(VLOOKUP(A295,CUSTOMERS!$A:$D,3),"")</f>
        <v/>
      </c>
      <c r="AT295" s="68" t="str">
        <f>IFERROR(VLOOKUP(A295,CUSTOMERS!$A:$F,6),"")</f>
        <v/>
      </c>
      <c r="AU295" s="69" t="str">
        <f>IFERROR(VLOOKUP(A295,CUSTOMERS!$A:$E,4),"")</f>
        <v/>
      </c>
      <c r="AV295" s="68" t="str">
        <f t="shared" si="86"/>
        <v/>
      </c>
      <c r="AX295" s="71" t="str">
        <f t="shared" si="100"/>
        <v>reason295</v>
      </c>
    </row>
    <row r="296" spans="1:50">
      <c r="A296" s="188"/>
      <c r="B296" s="125" t="str">
        <f t="shared" si="94"/>
        <v/>
      </c>
      <c r="C296" s="125"/>
      <c r="D296" s="126"/>
      <c r="E296" s="126"/>
      <c r="F296" s="122" t="str">
        <f t="shared" si="93"/>
        <v/>
      </c>
      <c r="G296" s="186"/>
      <c r="H296" s="124"/>
      <c r="I296" s="239"/>
      <c r="J296" s="80" t="str">
        <f t="shared" si="96"/>
        <v/>
      </c>
      <c r="K296" s="177">
        <f t="shared" si="91"/>
        <v>0</v>
      </c>
      <c r="L296" s="160"/>
      <c r="M296" s="161"/>
      <c r="N296" s="162"/>
      <c r="O296" s="162"/>
      <c r="P296" s="163"/>
      <c r="Q296" s="202"/>
      <c r="R296" s="204"/>
      <c r="S296" s="211"/>
      <c r="T296" s="211"/>
      <c r="U296" s="211"/>
      <c r="V296" s="211"/>
      <c r="W296" s="211"/>
      <c r="X296" s="154"/>
      <c r="Y296" s="173" t="str">
        <f t="shared" si="89"/>
        <v/>
      </c>
      <c r="Z296" s="83" t="str">
        <f t="shared" si="97"/>
        <v/>
      </c>
      <c r="AA296" s="84" t="str">
        <f t="shared" si="87"/>
        <v/>
      </c>
      <c r="AB296" s="84" t="str">
        <f t="shared" si="88"/>
        <v/>
      </c>
      <c r="AC296" s="84" t="str">
        <f t="shared" si="98"/>
        <v/>
      </c>
      <c r="AD296" s="84"/>
      <c r="AE296" s="84" t="str">
        <f t="shared" si="101"/>
        <v/>
      </c>
      <c r="AF296" s="84">
        <f t="shared" si="95"/>
        <v>0</v>
      </c>
      <c r="AG296" s="94" t="str">
        <f t="shared" si="102"/>
        <v/>
      </c>
      <c r="AH296" s="85" t="str">
        <f>IFERROR(VLOOKUP(A296,CUSTOMERS!$A:$E,4),"")</f>
        <v/>
      </c>
      <c r="AI296" s="86" t="str">
        <f t="shared" si="92"/>
        <v/>
      </c>
      <c r="AJ296" s="87" t="str">
        <f>IFERROR(VLOOKUP(A296,CUSTOMERS!$A:$F,5),"")</f>
        <v/>
      </c>
      <c r="AK296" s="98"/>
      <c r="AL296" s="98">
        <v>0</v>
      </c>
      <c r="AM296" s="99">
        <v>0</v>
      </c>
      <c r="AN296" s="99"/>
      <c r="AO296" s="99">
        <v>0</v>
      </c>
      <c r="AP296" s="103">
        <f t="shared" si="99"/>
        <v>0</v>
      </c>
      <c r="AQ296" s="103" t="str">
        <f t="shared" si="90"/>
        <v/>
      </c>
      <c r="AR296" s="68" t="str">
        <f>IFERROR(VLOOKUP(A296,CUSTOMERS!$A:$B,2),"")</f>
        <v/>
      </c>
      <c r="AS296" s="68" t="str">
        <f>IFERROR(VLOOKUP(A296,CUSTOMERS!$A:$D,3),"")</f>
        <v/>
      </c>
      <c r="AT296" s="68" t="str">
        <f>IFERROR(VLOOKUP(A296,CUSTOMERS!$A:$F,6),"")</f>
        <v/>
      </c>
      <c r="AU296" s="69" t="str">
        <f>IFERROR(VLOOKUP(A296,CUSTOMERS!$A:$E,4),"")</f>
        <v/>
      </c>
      <c r="AV296" s="68" t="str">
        <f t="shared" si="86"/>
        <v/>
      </c>
      <c r="AX296" s="71" t="str">
        <f t="shared" si="100"/>
        <v>reason296</v>
      </c>
    </row>
    <row r="297" spans="1:50">
      <c r="A297" s="188"/>
      <c r="B297" s="125" t="str">
        <f t="shared" si="94"/>
        <v/>
      </c>
      <c r="C297" s="125"/>
      <c r="D297" s="126"/>
      <c r="E297" s="126"/>
      <c r="F297" s="122" t="str">
        <f t="shared" si="93"/>
        <v/>
      </c>
      <c r="G297" s="186"/>
      <c r="H297" s="124"/>
      <c r="I297" s="239"/>
      <c r="J297" s="80" t="str">
        <f t="shared" si="96"/>
        <v/>
      </c>
      <c r="K297" s="177">
        <f t="shared" si="91"/>
        <v>0</v>
      </c>
      <c r="L297" s="160"/>
      <c r="M297" s="161"/>
      <c r="N297" s="162"/>
      <c r="O297" s="162"/>
      <c r="P297" s="163"/>
      <c r="Q297" s="202"/>
      <c r="R297" s="204"/>
      <c r="S297" s="211"/>
      <c r="T297" s="211"/>
      <c r="U297" s="211"/>
      <c r="V297" s="211"/>
      <c r="W297" s="211"/>
      <c r="X297" s="154"/>
      <c r="Y297" s="173" t="str">
        <f t="shared" si="89"/>
        <v/>
      </c>
      <c r="Z297" s="83" t="str">
        <f t="shared" si="97"/>
        <v/>
      </c>
      <c r="AA297" s="84" t="str">
        <f t="shared" si="87"/>
        <v/>
      </c>
      <c r="AB297" s="84" t="str">
        <f t="shared" si="88"/>
        <v/>
      </c>
      <c r="AC297" s="84" t="str">
        <f t="shared" si="98"/>
        <v/>
      </c>
      <c r="AD297" s="84"/>
      <c r="AE297" s="84" t="str">
        <f t="shared" si="101"/>
        <v/>
      </c>
      <c r="AF297" s="84">
        <f t="shared" si="95"/>
        <v>0</v>
      </c>
      <c r="AG297" s="94" t="str">
        <f t="shared" si="102"/>
        <v/>
      </c>
      <c r="AH297" s="85" t="str">
        <f>IFERROR(VLOOKUP(A297,CUSTOMERS!$A:$E,4),"")</f>
        <v/>
      </c>
      <c r="AI297" s="86" t="str">
        <f t="shared" si="92"/>
        <v/>
      </c>
      <c r="AJ297" s="87" t="str">
        <f>IFERROR(VLOOKUP(A297,CUSTOMERS!$A:$F,5),"")</f>
        <v/>
      </c>
      <c r="AK297" s="98"/>
      <c r="AL297" s="98">
        <v>0</v>
      </c>
      <c r="AM297" s="99">
        <v>0</v>
      </c>
      <c r="AN297" s="99"/>
      <c r="AO297" s="99">
        <v>0</v>
      </c>
      <c r="AP297" s="103">
        <f t="shared" si="99"/>
        <v>0</v>
      </c>
      <c r="AQ297" s="103" t="str">
        <f t="shared" si="90"/>
        <v/>
      </c>
      <c r="AR297" s="68" t="str">
        <f>IFERROR(VLOOKUP(A297,CUSTOMERS!$A:$B,2),"")</f>
        <v/>
      </c>
      <c r="AS297" s="68" t="str">
        <f>IFERROR(VLOOKUP(A297,CUSTOMERS!$A:$D,3),"")</f>
        <v/>
      </c>
      <c r="AT297" s="68" t="str">
        <f>IFERROR(VLOOKUP(A297,CUSTOMERS!$A:$F,6),"")</f>
        <v/>
      </c>
      <c r="AU297" s="69" t="str">
        <f>IFERROR(VLOOKUP(A297,CUSTOMERS!$A:$E,4),"")</f>
        <v/>
      </c>
      <c r="AV297" s="68" t="str">
        <f t="shared" si="86"/>
        <v/>
      </c>
      <c r="AX297" s="71" t="str">
        <f t="shared" si="100"/>
        <v>reason297</v>
      </c>
    </row>
    <row r="298" spans="1:50">
      <c r="A298" s="188"/>
      <c r="B298" s="125" t="str">
        <f t="shared" si="94"/>
        <v/>
      </c>
      <c r="C298" s="125"/>
      <c r="D298" s="126"/>
      <c r="E298" s="126"/>
      <c r="F298" s="122" t="str">
        <f t="shared" si="93"/>
        <v/>
      </c>
      <c r="G298" s="186"/>
      <c r="H298" s="124"/>
      <c r="I298" s="239"/>
      <c r="J298" s="80" t="str">
        <f t="shared" si="96"/>
        <v/>
      </c>
      <c r="K298" s="177">
        <f t="shared" si="91"/>
        <v>0</v>
      </c>
      <c r="L298" s="160"/>
      <c r="M298" s="161"/>
      <c r="N298" s="162"/>
      <c r="O298" s="162"/>
      <c r="P298" s="163"/>
      <c r="Q298" s="202"/>
      <c r="R298" s="204"/>
      <c r="S298" s="211"/>
      <c r="T298" s="211"/>
      <c r="U298" s="211"/>
      <c r="V298" s="211"/>
      <c r="W298" s="211"/>
      <c r="X298" s="154"/>
      <c r="Y298" s="173" t="str">
        <f t="shared" si="89"/>
        <v/>
      </c>
      <c r="Z298" s="83" t="str">
        <f t="shared" si="97"/>
        <v/>
      </c>
      <c r="AA298" s="84" t="str">
        <f t="shared" si="87"/>
        <v/>
      </c>
      <c r="AB298" s="84" t="str">
        <f t="shared" si="88"/>
        <v/>
      </c>
      <c r="AC298" s="84" t="str">
        <f t="shared" si="98"/>
        <v/>
      </c>
      <c r="AD298" s="84"/>
      <c r="AE298" s="84" t="str">
        <f t="shared" si="101"/>
        <v/>
      </c>
      <c r="AF298" s="84">
        <f t="shared" si="95"/>
        <v>0</v>
      </c>
      <c r="AG298" s="94" t="str">
        <f t="shared" si="102"/>
        <v/>
      </c>
      <c r="AH298" s="85" t="str">
        <f>IFERROR(VLOOKUP(A298,CUSTOMERS!$A:$E,4),"")</f>
        <v/>
      </c>
      <c r="AI298" s="86" t="str">
        <f t="shared" si="92"/>
        <v/>
      </c>
      <c r="AJ298" s="87" t="str">
        <f>IFERROR(VLOOKUP(A298,CUSTOMERS!$A:$F,5),"")</f>
        <v/>
      </c>
      <c r="AK298" s="98"/>
      <c r="AL298" s="98">
        <v>0</v>
      </c>
      <c r="AM298" s="99">
        <v>0</v>
      </c>
      <c r="AN298" s="99"/>
      <c r="AO298" s="99">
        <v>0</v>
      </c>
      <c r="AP298" s="103">
        <f t="shared" si="99"/>
        <v>0</v>
      </c>
      <c r="AQ298" s="103" t="str">
        <f t="shared" si="90"/>
        <v/>
      </c>
      <c r="AR298" s="68" t="str">
        <f>IFERROR(VLOOKUP(A298,CUSTOMERS!$A:$B,2),"")</f>
        <v/>
      </c>
      <c r="AS298" s="68" t="str">
        <f>IFERROR(VLOOKUP(A298,CUSTOMERS!$A:$D,3),"")</f>
        <v/>
      </c>
      <c r="AT298" s="68" t="str">
        <f>IFERROR(VLOOKUP(A298,CUSTOMERS!$A:$F,6),"")</f>
        <v/>
      </c>
      <c r="AU298" s="69" t="str">
        <f>IFERROR(VLOOKUP(A298,CUSTOMERS!$A:$E,4),"")</f>
        <v/>
      </c>
      <c r="AV298" s="68" t="str">
        <f t="shared" ref="AV298:AV318" si="103">IF(AH298&lt;&gt;AU298,"Y","")</f>
        <v/>
      </c>
      <c r="AX298" s="71" t="str">
        <f t="shared" si="100"/>
        <v>reason298</v>
      </c>
    </row>
    <row r="299" spans="1:50">
      <c r="A299" s="188"/>
      <c r="B299" s="125" t="str">
        <f t="shared" si="94"/>
        <v/>
      </c>
      <c r="C299" s="125"/>
      <c r="D299" s="126"/>
      <c r="E299" s="126"/>
      <c r="F299" s="122" t="str">
        <f t="shared" si="93"/>
        <v/>
      </c>
      <c r="G299" s="186"/>
      <c r="H299" s="124"/>
      <c r="I299" s="239"/>
      <c r="J299" s="80" t="str">
        <f t="shared" si="96"/>
        <v/>
      </c>
      <c r="K299" s="177">
        <f t="shared" si="91"/>
        <v>0</v>
      </c>
      <c r="L299" s="160"/>
      <c r="M299" s="161"/>
      <c r="N299" s="162"/>
      <c r="O299" s="162"/>
      <c r="P299" s="163"/>
      <c r="Q299" s="202"/>
      <c r="R299" s="204"/>
      <c r="S299" s="211"/>
      <c r="T299" s="211"/>
      <c r="U299" s="211"/>
      <c r="V299" s="211"/>
      <c r="W299" s="211"/>
      <c r="X299" s="154"/>
      <c r="Y299" s="173" t="str">
        <f t="shared" si="89"/>
        <v/>
      </c>
      <c r="Z299" s="83" t="str">
        <f t="shared" si="97"/>
        <v/>
      </c>
      <c r="AA299" s="84" t="str">
        <f t="shared" si="87"/>
        <v/>
      </c>
      <c r="AB299" s="84" t="str">
        <f t="shared" si="88"/>
        <v/>
      </c>
      <c r="AC299" s="84" t="str">
        <f t="shared" si="98"/>
        <v/>
      </c>
      <c r="AD299" s="84"/>
      <c r="AE299" s="84" t="str">
        <f t="shared" si="101"/>
        <v/>
      </c>
      <c r="AF299" s="84">
        <f t="shared" si="95"/>
        <v>0</v>
      </c>
      <c r="AG299" s="94" t="str">
        <f t="shared" si="102"/>
        <v/>
      </c>
      <c r="AH299" s="85" t="str">
        <f>IFERROR(VLOOKUP(A299,CUSTOMERS!$A:$E,4),"")</f>
        <v/>
      </c>
      <c r="AI299" s="86" t="str">
        <f t="shared" si="92"/>
        <v/>
      </c>
      <c r="AJ299" s="87" t="str">
        <f>IFERROR(VLOOKUP(A299,CUSTOMERS!$A:$F,5),"")</f>
        <v/>
      </c>
      <c r="AK299" s="98"/>
      <c r="AL299" s="98">
        <v>0</v>
      </c>
      <c r="AM299" s="99">
        <v>0</v>
      </c>
      <c r="AN299" s="99"/>
      <c r="AO299" s="99">
        <v>0</v>
      </c>
      <c r="AP299" s="103">
        <f t="shared" si="99"/>
        <v>0</v>
      </c>
      <c r="AQ299" s="103" t="str">
        <f t="shared" si="90"/>
        <v/>
      </c>
      <c r="AR299" s="68" t="str">
        <f>IFERROR(VLOOKUP(A299,CUSTOMERS!$A:$B,2),"")</f>
        <v/>
      </c>
      <c r="AS299" s="68" t="str">
        <f>IFERROR(VLOOKUP(A299,CUSTOMERS!$A:$D,3),"")</f>
        <v/>
      </c>
      <c r="AT299" s="68" t="str">
        <f>IFERROR(VLOOKUP(A299,CUSTOMERS!$A:$F,6),"")</f>
        <v/>
      </c>
      <c r="AU299" s="69" t="str">
        <f>IFERROR(VLOOKUP(A299,CUSTOMERS!$A:$E,4),"")</f>
        <v/>
      </c>
      <c r="AV299" s="68" t="str">
        <f t="shared" si="103"/>
        <v/>
      </c>
      <c r="AX299" s="71" t="str">
        <f t="shared" si="100"/>
        <v>reason299</v>
      </c>
    </row>
    <row r="300" spans="1:50">
      <c r="A300" s="188"/>
      <c r="B300" s="125" t="str">
        <f t="shared" si="94"/>
        <v/>
      </c>
      <c r="C300" s="125"/>
      <c r="D300" s="126"/>
      <c r="E300" s="126"/>
      <c r="F300" s="122" t="str">
        <f t="shared" si="93"/>
        <v/>
      </c>
      <c r="G300" s="186"/>
      <c r="H300" s="124"/>
      <c r="I300" s="239"/>
      <c r="J300" s="80" t="str">
        <f t="shared" si="96"/>
        <v/>
      </c>
      <c r="K300" s="177">
        <f t="shared" si="91"/>
        <v>0</v>
      </c>
      <c r="L300" s="160"/>
      <c r="M300" s="161"/>
      <c r="N300" s="162"/>
      <c r="O300" s="162"/>
      <c r="P300" s="163"/>
      <c r="Q300" s="202"/>
      <c r="R300" s="204"/>
      <c r="S300" s="211"/>
      <c r="T300" s="211"/>
      <c r="U300" s="211"/>
      <c r="V300" s="211"/>
      <c r="W300" s="211"/>
      <c r="X300" s="154"/>
      <c r="Y300" s="173" t="str">
        <f t="shared" si="89"/>
        <v/>
      </c>
      <c r="Z300" s="83" t="str">
        <f t="shared" si="97"/>
        <v/>
      </c>
      <c r="AA300" s="84" t="str">
        <f t="shared" si="87"/>
        <v/>
      </c>
      <c r="AB300" s="84" t="str">
        <f t="shared" si="88"/>
        <v/>
      </c>
      <c r="AC300" s="84" t="str">
        <f t="shared" si="98"/>
        <v/>
      </c>
      <c r="AD300" s="84"/>
      <c r="AE300" s="84" t="str">
        <f t="shared" si="101"/>
        <v/>
      </c>
      <c r="AF300" s="84">
        <f t="shared" si="95"/>
        <v>0</v>
      </c>
      <c r="AG300" s="94" t="str">
        <f t="shared" si="102"/>
        <v/>
      </c>
      <c r="AH300" s="85" t="str">
        <f>IFERROR(VLOOKUP(A300,CUSTOMERS!$A:$E,4),"")</f>
        <v/>
      </c>
      <c r="AI300" s="86" t="str">
        <f t="shared" si="92"/>
        <v/>
      </c>
      <c r="AJ300" s="87" t="str">
        <f>IFERROR(VLOOKUP(A300,CUSTOMERS!$A:$F,5),"")</f>
        <v/>
      </c>
      <c r="AK300" s="98"/>
      <c r="AL300" s="98">
        <v>0</v>
      </c>
      <c r="AM300" s="99">
        <v>0</v>
      </c>
      <c r="AN300" s="99"/>
      <c r="AO300" s="99">
        <v>0</v>
      </c>
      <c r="AP300" s="103">
        <f t="shared" si="99"/>
        <v>0</v>
      </c>
      <c r="AQ300" s="103" t="str">
        <f t="shared" si="90"/>
        <v/>
      </c>
      <c r="AR300" s="68" t="str">
        <f>IFERROR(VLOOKUP(A300,CUSTOMERS!$A:$B,2),"")</f>
        <v/>
      </c>
      <c r="AS300" s="68" t="str">
        <f>IFERROR(VLOOKUP(A300,CUSTOMERS!$A:$D,3),"")</f>
        <v/>
      </c>
      <c r="AT300" s="68" t="str">
        <f>IFERROR(VLOOKUP(A300,CUSTOMERS!$A:$F,6),"")</f>
        <v/>
      </c>
      <c r="AU300" s="69" t="str">
        <f>IFERROR(VLOOKUP(A300,CUSTOMERS!$A:$E,4),"")</f>
        <v/>
      </c>
      <c r="AV300" s="68" t="str">
        <f t="shared" si="103"/>
        <v/>
      </c>
      <c r="AX300" s="71" t="str">
        <f t="shared" si="100"/>
        <v>reason300</v>
      </c>
    </row>
    <row r="301" spans="1:50">
      <c r="A301" s="188"/>
      <c r="B301" s="125" t="str">
        <f t="shared" si="94"/>
        <v/>
      </c>
      <c r="C301" s="125"/>
      <c r="D301" s="126"/>
      <c r="E301" s="126"/>
      <c r="F301" s="122" t="str">
        <f t="shared" si="93"/>
        <v/>
      </c>
      <c r="G301" s="186"/>
      <c r="H301" s="124"/>
      <c r="I301" s="239"/>
      <c r="J301" s="80" t="str">
        <f t="shared" si="96"/>
        <v/>
      </c>
      <c r="K301" s="177">
        <f t="shared" si="91"/>
        <v>0</v>
      </c>
      <c r="L301" s="160"/>
      <c r="M301" s="161"/>
      <c r="N301" s="162"/>
      <c r="O301" s="162"/>
      <c r="P301" s="163"/>
      <c r="Q301" s="202"/>
      <c r="R301" s="204"/>
      <c r="S301" s="211"/>
      <c r="T301" s="211"/>
      <c r="U301" s="211"/>
      <c r="V301" s="211"/>
      <c r="W301" s="211"/>
      <c r="X301" s="154"/>
      <c r="Y301" s="173" t="str">
        <f t="shared" si="89"/>
        <v/>
      </c>
      <c r="Z301" s="83" t="str">
        <f t="shared" si="97"/>
        <v/>
      </c>
      <c r="AA301" s="84" t="str">
        <f t="shared" si="87"/>
        <v/>
      </c>
      <c r="AB301" s="84" t="str">
        <f t="shared" si="88"/>
        <v/>
      </c>
      <c r="AC301" s="84" t="str">
        <f t="shared" si="98"/>
        <v/>
      </c>
      <c r="AD301" s="84"/>
      <c r="AE301" s="84" t="str">
        <f t="shared" si="101"/>
        <v/>
      </c>
      <c r="AF301" s="84">
        <f t="shared" si="95"/>
        <v>0</v>
      </c>
      <c r="AG301" s="94" t="str">
        <f t="shared" si="102"/>
        <v/>
      </c>
      <c r="AH301" s="85" t="str">
        <f>IFERROR(VLOOKUP(A301,CUSTOMERS!$A:$E,4),"")</f>
        <v/>
      </c>
      <c r="AI301" s="86" t="str">
        <f t="shared" si="92"/>
        <v/>
      </c>
      <c r="AJ301" s="87" t="str">
        <f>IFERROR(VLOOKUP(A301,CUSTOMERS!$A:$F,5),"")</f>
        <v/>
      </c>
      <c r="AK301" s="98"/>
      <c r="AL301" s="98">
        <v>0</v>
      </c>
      <c r="AM301" s="99">
        <v>0</v>
      </c>
      <c r="AN301" s="99"/>
      <c r="AO301" s="99">
        <v>0</v>
      </c>
      <c r="AP301" s="103">
        <f t="shared" si="99"/>
        <v>0</v>
      </c>
      <c r="AQ301" s="103" t="str">
        <f t="shared" si="90"/>
        <v/>
      </c>
      <c r="AR301" s="68" t="str">
        <f>IFERROR(VLOOKUP(A301,CUSTOMERS!$A:$B,2),"")</f>
        <v/>
      </c>
      <c r="AS301" s="68" t="str">
        <f>IFERROR(VLOOKUP(A301,CUSTOMERS!$A:$D,3),"")</f>
        <v/>
      </c>
      <c r="AT301" s="68" t="str">
        <f>IFERROR(VLOOKUP(A301,CUSTOMERS!$A:$F,6),"")</f>
        <v/>
      </c>
      <c r="AU301" s="69" t="str">
        <f>IFERROR(VLOOKUP(A301,CUSTOMERS!$A:$E,4),"")</f>
        <v/>
      </c>
      <c r="AV301" s="68" t="str">
        <f t="shared" si="103"/>
        <v/>
      </c>
      <c r="AX301" s="71" t="str">
        <f t="shared" si="100"/>
        <v>reason301</v>
      </c>
    </row>
    <row r="302" spans="1:50">
      <c r="A302" s="188"/>
      <c r="B302" s="125" t="str">
        <f t="shared" si="94"/>
        <v/>
      </c>
      <c r="C302" s="125"/>
      <c r="D302" s="126"/>
      <c r="E302" s="126"/>
      <c r="F302" s="122" t="str">
        <f t="shared" si="93"/>
        <v/>
      </c>
      <c r="G302" s="186"/>
      <c r="H302" s="124"/>
      <c r="I302" s="239"/>
      <c r="J302" s="80" t="str">
        <f t="shared" si="96"/>
        <v/>
      </c>
      <c r="K302" s="177">
        <f t="shared" si="91"/>
        <v>0</v>
      </c>
      <c r="L302" s="160"/>
      <c r="M302" s="161"/>
      <c r="N302" s="162"/>
      <c r="O302" s="162"/>
      <c r="P302" s="163"/>
      <c r="Q302" s="202"/>
      <c r="R302" s="204"/>
      <c r="S302" s="211"/>
      <c r="T302" s="211"/>
      <c r="U302" s="211"/>
      <c r="V302" s="211"/>
      <c r="W302" s="211"/>
      <c r="X302" s="154"/>
      <c r="Y302" s="173" t="str">
        <f t="shared" si="89"/>
        <v/>
      </c>
      <c r="Z302" s="83" t="str">
        <f t="shared" si="97"/>
        <v/>
      </c>
      <c r="AA302" s="84" t="str">
        <f t="shared" si="87"/>
        <v/>
      </c>
      <c r="AB302" s="84" t="str">
        <f t="shared" si="88"/>
        <v/>
      </c>
      <c r="AC302" s="84" t="str">
        <f t="shared" si="98"/>
        <v/>
      </c>
      <c r="AD302" s="84"/>
      <c r="AE302" s="84" t="str">
        <f t="shared" si="101"/>
        <v/>
      </c>
      <c r="AF302" s="84">
        <f t="shared" si="95"/>
        <v>0</v>
      </c>
      <c r="AG302" s="94" t="str">
        <f t="shared" si="102"/>
        <v/>
      </c>
      <c r="AH302" s="85" t="str">
        <f>IFERROR(VLOOKUP(A302,CUSTOMERS!$A:$E,4),"")</f>
        <v/>
      </c>
      <c r="AI302" s="86" t="str">
        <f t="shared" si="92"/>
        <v/>
      </c>
      <c r="AJ302" s="87" t="str">
        <f>IFERROR(VLOOKUP(A302,CUSTOMERS!$A:$F,5),"")</f>
        <v/>
      </c>
      <c r="AK302" s="98"/>
      <c r="AL302" s="98">
        <v>0</v>
      </c>
      <c r="AM302" s="99">
        <v>0</v>
      </c>
      <c r="AN302" s="99"/>
      <c r="AO302" s="99">
        <v>0</v>
      </c>
      <c r="AP302" s="103">
        <f t="shared" si="99"/>
        <v>0</v>
      </c>
      <c r="AQ302" s="103" t="str">
        <f t="shared" si="90"/>
        <v/>
      </c>
      <c r="AR302" s="68" t="str">
        <f>IFERROR(VLOOKUP(A302,CUSTOMERS!$A:$B,2),"")</f>
        <v/>
      </c>
      <c r="AS302" s="68" t="str">
        <f>IFERROR(VLOOKUP(A302,CUSTOMERS!$A:$D,3),"")</f>
        <v/>
      </c>
      <c r="AT302" s="68" t="str">
        <f>IFERROR(VLOOKUP(A302,CUSTOMERS!$A:$F,6),"")</f>
        <v/>
      </c>
      <c r="AU302" s="69" t="str">
        <f>IFERROR(VLOOKUP(A302,CUSTOMERS!$A:$E,4),"")</f>
        <v/>
      </c>
      <c r="AV302" s="68" t="str">
        <f t="shared" si="103"/>
        <v/>
      </c>
      <c r="AX302" s="71" t="str">
        <f t="shared" si="100"/>
        <v>reason302</v>
      </c>
    </row>
    <row r="303" spans="1:50">
      <c r="A303" s="188"/>
      <c r="B303" s="125" t="str">
        <f t="shared" si="94"/>
        <v/>
      </c>
      <c r="C303" s="125"/>
      <c r="D303" s="126"/>
      <c r="E303" s="126"/>
      <c r="F303" s="122" t="str">
        <f t="shared" si="93"/>
        <v/>
      </c>
      <c r="G303" s="186"/>
      <c r="H303" s="124"/>
      <c r="I303" s="239"/>
      <c r="J303" s="80" t="str">
        <f t="shared" si="96"/>
        <v/>
      </c>
      <c r="K303" s="177">
        <f t="shared" si="91"/>
        <v>0</v>
      </c>
      <c r="L303" s="160"/>
      <c r="M303" s="161"/>
      <c r="N303" s="162"/>
      <c r="O303" s="162"/>
      <c r="P303" s="163"/>
      <c r="Q303" s="202"/>
      <c r="R303" s="204"/>
      <c r="S303" s="211"/>
      <c r="T303" s="211"/>
      <c r="U303" s="211"/>
      <c r="V303" s="211"/>
      <c r="W303" s="211"/>
      <c r="X303" s="154"/>
      <c r="Y303" s="173" t="str">
        <f t="shared" si="89"/>
        <v/>
      </c>
      <c r="Z303" s="83" t="str">
        <f t="shared" si="97"/>
        <v/>
      </c>
      <c r="AA303" s="84" t="str">
        <f t="shared" ref="AA303:AA318" si="104">IFERROR((AL303*AH303)*7.5,"")</f>
        <v/>
      </c>
      <c r="AB303" s="84" t="str">
        <f t="shared" ref="AB303:AB318" si="105">IFERROR((AM303*AH303)*7.5,"")</f>
        <v/>
      </c>
      <c r="AC303" s="84" t="str">
        <f t="shared" si="98"/>
        <v/>
      </c>
      <c r="AD303" s="84"/>
      <c r="AE303" s="84" t="str">
        <f t="shared" si="101"/>
        <v/>
      </c>
      <c r="AF303" s="84">
        <f t="shared" si="95"/>
        <v>0</v>
      </c>
      <c r="AG303" s="94" t="str">
        <f t="shared" si="102"/>
        <v/>
      </c>
      <c r="AH303" s="85" t="str">
        <f>IFERROR(VLOOKUP(A303,CUSTOMERS!$A:$E,4),"")</f>
        <v/>
      </c>
      <c r="AI303" s="86" t="str">
        <f t="shared" si="92"/>
        <v/>
      </c>
      <c r="AJ303" s="87" t="str">
        <f>IFERROR(VLOOKUP(A303,CUSTOMERS!$A:$F,5),"")</f>
        <v/>
      </c>
      <c r="AK303" s="98"/>
      <c r="AL303" s="98">
        <v>0</v>
      </c>
      <c r="AM303" s="99">
        <v>0</v>
      </c>
      <c r="AN303" s="99"/>
      <c r="AO303" s="99">
        <v>0</v>
      </c>
      <c r="AP303" s="103">
        <f t="shared" si="99"/>
        <v>0</v>
      </c>
      <c r="AQ303" s="103" t="str">
        <f t="shared" si="90"/>
        <v/>
      </c>
      <c r="AR303" s="68" t="str">
        <f>IFERROR(VLOOKUP(A303,CUSTOMERS!$A:$B,2),"")</f>
        <v/>
      </c>
      <c r="AS303" s="68" t="str">
        <f>IFERROR(VLOOKUP(A303,CUSTOMERS!$A:$D,3),"")</f>
        <v/>
      </c>
      <c r="AT303" s="68" t="str">
        <f>IFERROR(VLOOKUP(A303,CUSTOMERS!$A:$F,6),"")</f>
        <v/>
      </c>
      <c r="AU303" s="69" t="str">
        <f>IFERROR(VLOOKUP(A303,CUSTOMERS!$A:$E,4),"")</f>
        <v/>
      </c>
      <c r="AV303" s="68" t="str">
        <f t="shared" si="103"/>
        <v/>
      </c>
      <c r="AX303" s="71" t="str">
        <f t="shared" si="100"/>
        <v>reason303</v>
      </c>
    </row>
    <row r="304" spans="1:50">
      <c r="A304" s="188"/>
      <c r="B304" s="125" t="str">
        <f t="shared" si="94"/>
        <v/>
      </c>
      <c r="C304" s="125"/>
      <c r="D304" s="126"/>
      <c r="E304" s="126"/>
      <c r="F304" s="122" t="str">
        <f t="shared" si="93"/>
        <v/>
      </c>
      <c r="G304" s="186"/>
      <c r="H304" s="124"/>
      <c r="I304" s="239"/>
      <c r="J304" s="80" t="str">
        <f t="shared" si="96"/>
        <v/>
      </c>
      <c r="K304" s="177">
        <f t="shared" si="91"/>
        <v>0</v>
      </c>
      <c r="L304" s="160"/>
      <c r="M304" s="161"/>
      <c r="N304" s="162"/>
      <c r="O304" s="162"/>
      <c r="P304" s="163"/>
      <c r="Q304" s="202"/>
      <c r="R304" s="204"/>
      <c r="S304" s="211"/>
      <c r="T304" s="211"/>
      <c r="U304" s="211"/>
      <c r="V304" s="211"/>
      <c r="W304" s="211"/>
      <c r="X304" s="154"/>
      <c r="Y304" s="173" t="str">
        <f t="shared" ref="Y304:Y318" si="106">IFERROR(AF304+AG304,"")</f>
        <v/>
      </c>
      <c r="Z304" s="83" t="str">
        <f t="shared" si="97"/>
        <v/>
      </c>
      <c r="AA304" s="84" t="str">
        <f t="shared" si="104"/>
        <v/>
      </c>
      <c r="AB304" s="84" t="str">
        <f t="shared" si="105"/>
        <v/>
      </c>
      <c r="AC304" s="84" t="str">
        <f t="shared" si="98"/>
        <v/>
      </c>
      <c r="AD304" s="84"/>
      <c r="AE304" s="84" t="str">
        <f t="shared" si="101"/>
        <v/>
      </c>
      <c r="AF304" s="84">
        <f t="shared" si="95"/>
        <v>0</v>
      </c>
      <c r="AG304" s="94" t="str">
        <f t="shared" si="102"/>
        <v/>
      </c>
      <c r="AH304" s="85" t="str">
        <f>IFERROR(VLOOKUP(A304,CUSTOMERS!$A:$E,4),"")</f>
        <v/>
      </c>
      <c r="AI304" s="86" t="str">
        <f t="shared" si="92"/>
        <v/>
      </c>
      <c r="AJ304" s="87" t="str">
        <f>IFERROR(VLOOKUP(A304,CUSTOMERS!$A:$F,5),"")</f>
        <v/>
      </c>
      <c r="AK304" s="98"/>
      <c r="AL304" s="98">
        <v>0</v>
      </c>
      <c r="AM304" s="99">
        <v>0</v>
      </c>
      <c r="AN304" s="99"/>
      <c r="AO304" s="99">
        <v>0</v>
      </c>
      <c r="AP304" s="103">
        <f t="shared" si="99"/>
        <v>0</v>
      </c>
      <c r="AQ304" s="103" t="str">
        <f t="shared" si="90"/>
        <v/>
      </c>
      <c r="AR304" s="68" t="str">
        <f>IFERROR(VLOOKUP(A304,CUSTOMERS!$A:$B,2),"")</f>
        <v/>
      </c>
      <c r="AS304" s="68" t="str">
        <f>IFERROR(VLOOKUP(A304,CUSTOMERS!$A:$D,3),"")</f>
        <v/>
      </c>
      <c r="AT304" s="68" t="str">
        <f>IFERROR(VLOOKUP(A304,CUSTOMERS!$A:$F,6),"")</f>
        <v/>
      </c>
      <c r="AU304" s="69" t="str">
        <f>IFERROR(VLOOKUP(A304,CUSTOMERS!$A:$E,4),"")</f>
        <v/>
      </c>
      <c r="AV304" s="68" t="str">
        <f t="shared" si="103"/>
        <v/>
      </c>
      <c r="AX304" s="71" t="str">
        <f t="shared" si="100"/>
        <v>reason304</v>
      </c>
    </row>
    <row r="305" spans="1:50">
      <c r="A305" s="188"/>
      <c r="B305" s="125" t="str">
        <f t="shared" si="94"/>
        <v/>
      </c>
      <c r="C305" s="125"/>
      <c r="D305" s="126"/>
      <c r="E305" s="126"/>
      <c r="F305" s="122" t="str">
        <f t="shared" si="93"/>
        <v/>
      </c>
      <c r="G305" s="186"/>
      <c r="H305" s="124"/>
      <c r="I305" s="239"/>
      <c r="J305" s="80" t="str">
        <f t="shared" si="96"/>
        <v/>
      </c>
      <c r="K305" s="177">
        <f t="shared" si="91"/>
        <v>0</v>
      </c>
      <c r="L305" s="160"/>
      <c r="M305" s="161"/>
      <c r="N305" s="162"/>
      <c r="O305" s="162"/>
      <c r="P305" s="163"/>
      <c r="Q305" s="202"/>
      <c r="R305" s="204"/>
      <c r="S305" s="211"/>
      <c r="T305" s="211"/>
      <c r="U305" s="211"/>
      <c r="V305" s="211"/>
      <c r="W305" s="211"/>
      <c r="X305" s="154"/>
      <c r="Y305" s="173" t="str">
        <f t="shared" si="106"/>
        <v/>
      </c>
      <c r="Z305" s="83" t="str">
        <f t="shared" si="97"/>
        <v/>
      </c>
      <c r="AA305" s="84" t="str">
        <f t="shared" si="104"/>
        <v/>
      </c>
      <c r="AB305" s="84" t="str">
        <f t="shared" si="105"/>
        <v/>
      </c>
      <c r="AC305" s="84" t="str">
        <f t="shared" si="98"/>
        <v/>
      </c>
      <c r="AD305" s="84"/>
      <c r="AE305" s="84" t="str">
        <f t="shared" si="101"/>
        <v/>
      </c>
      <c r="AF305" s="84">
        <f t="shared" si="95"/>
        <v>0</v>
      </c>
      <c r="AG305" s="94" t="str">
        <f t="shared" si="102"/>
        <v/>
      </c>
      <c r="AH305" s="85" t="str">
        <f>IFERROR(VLOOKUP(A305,CUSTOMERS!$A:$E,4),"")</f>
        <v/>
      </c>
      <c r="AI305" s="86" t="str">
        <f t="shared" si="92"/>
        <v/>
      </c>
      <c r="AJ305" s="87" t="str">
        <f>IFERROR(VLOOKUP(A305,CUSTOMERS!$A:$F,5),"")</f>
        <v/>
      </c>
      <c r="AK305" s="98"/>
      <c r="AL305" s="98">
        <v>0</v>
      </c>
      <c r="AM305" s="99">
        <v>0</v>
      </c>
      <c r="AN305" s="99"/>
      <c r="AO305" s="99">
        <v>0</v>
      </c>
      <c r="AP305" s="103">
        <f t="shared" si="99"/>
        <v>0</v>
      </c>
      <c r="AQ305" s="103" t="str">
        <f t="shared" si="90"/>
        <v/>
      </c>
      <c r="AR305" s="68" t="str">
        <f>IFERROR(VLOOKUP(A305,CUSTOMERS!$A:$B,2),"")</f>
        <v/>
      </c>
      <c r="AS305" s="68" t="str">
        <f>IFERROR(VLOOKUP(A305,CUSTOMERS!$A:$D,3),"")</f>
        <v/>
      </c>
      <c r="AT305" s="68" t="str">
        <f>IFERROR(VLOOKUP(A305,CUSTOMERS!$A:$F,6),"")</f>
        <v/>
      </c>
      <c r="AU305" s="69" t="str">
        <f>IFERROR(VLOOKUP(A305,CUSTOMERS!$A:$E,4),"")</f>
        <v/>
      </c>
      <c r="AV305" s="68" t="str">
        <f t="shared" si="103"/>
        <v/>
      </c>
      <c r="AX305" s="71" t="str">
        <f t="shared" si="100"/>
        <v>reason305</v>
      </c>
    </row>
    <row r="306" spans="1:50">
      <c r="A306" s="188"/>
      <c r="B306" s="125" t="str">
        <f t="shared" si="94"/>
        <v/>
      </c>
      <c r="C306" s="125"/>
      <c r="D306" s="126"/>
      <c r="E306" s="126"/>
      <c r="F306" s="122" t="str">
        <f t="shared" si="93"/>
        <v/>
      </c>
      <c r="G306" s="186"/>
      <c r="H306" s="124"/>
      <c r="I306" s="239"/>
      <c r="J306" s="80" t="str">
        <f t="shared" si="96"/>
        <v/>
      </c>
      <c r="K306" s="177">
        <f t="shared" si="91"/>
        <v>0</v>
      </c>
      <c r="L306" s="160"/>
      <c r="M306" s="161"/>
      <c r="N306" s="162"/>
      <c r="O306" s="162"/>
      <c r="P306" s="163"/>
      <c r="Q306" s="202"/>
      <c r="R306" s="204"/>
      <c r="S306" s="211"/>
      <c r="T306" s="211"/>
      <c r="U306" s="211"/>
      <c r="V306" s="211"/>
      <c r="W306" s="211"/>
      <c r="X306" s="154"/>
      <c r="Y306" s="173" t="str">
        <f t="shared" si="106"/>
        <v/>
      </c>
      <c r="Z306" s="83" t="str">
        <f t="shared" si="97"/>
        <v/>
      </c>
      <c r="AA306" s="84" t="str">
        <f t="shared" si="104"/>
        <v/>
      </c>
      <c r="AB306" s="84" t="str">
        <f t="shared" si="105"/>
        <v/>
      </c>
      <c r="AC306" s="84" t="str">
        <f t="shared" si="98"/>
        <v/>
      </c>
      <c r="AD306" s="84"/>
      <c r="AE306" s="84" t="str">
        <f t="shared" si="101"/>
        <v/>
      </c>
      <c r="AF306" s="84">
        <f t="shared" si="95"/>
        <v>0</v>
      </c>
      <c r="AG306" s="94" t="str">
        <f t="shared" si="102"/>
        <v/>
      </c>
      <c r="AH306" s="85" t="str">
        <f>IFERROR(VLOOKUP(A306,CUSTOMERS!$A:$E,4),"")</f>
        <v/>
      </c>
      <c r="AI306" s="86" t="str">
        <f t="shared" si="92"/>
        <v/>
      </c>
      <c r="AJ306" s="87" t="str">
        <f>IFERROR(VLOOKUP(A306,CUSTOMERS!$A:$F,5),"")</f>
        <v/>
      </c>
      <c r="AK306" s="98"/>
      <c r="AL306" s="98">
        <v>0</v>
      </c>
      <c r="AM306" s="99">
        <v>0</v>
      </c>
      <c r="AN306" s="99"/>
      <c r="AO306" s="99">
        <v>0</v>
      </c>
      <c r="AP306" s="103">
        <f t="shared" si="99"/>
        <v>0</v>
      </c>
      <c r="AQ306" s="103" t="str">
        <f t="shared" si="90"/>
        <v/>
      </c>
      <c r="AR306" s="68" t="str">
        <f>IFERROR(VLOOKUP(A306,CUSTOMERS!$A:$B,2),"")</f>
        <v/>
      </c>
      <c r="AS306" s="68" t="str">
        <f>IFERROR(VLOOKUP(A306,CUSTOMERS!$A:$D,3),"")</f>
        <v/>
      </c>
      <c r="AT306" s="68" t="str">
        <f>IFERROR(VLOOKUP(A306,CUSTOMERS!$A:$F,6),"")</f>
        <v/>
      </c>
      <c r="AU306" s="69" t="str">
        <f>IFERROR(VLOOKUP(A306,CUSTOMERS!$A:$E,4),"")</f>
        <v/>
      </c>
      <c r="AV306" s="68" t="str">
        <f t="shared" si="103"/>
        <v/>
      </c>
      <c r="AX306" s="71" t="str">
        <f t="shared" si="100"/>
        <v>reason306</v>
      </c>
    </row>
    <row r="307" spans="1:50">
      <c r="A307" s="188"/>
      <c r="B307" s="125" t="str">
        <f t="shared" si="94"/>
        <v/>
      </c>
      <c r="C307" s="125"/>
      <c r="D307" s="126"/>
      <c r="E307" s="126"/>
      <c r="F307" s="122" t="str">
        <f t="shared" si="93"/>
        <v/>
      </c>
      <c r="G307" s="186"/>
      <c r="H307" s="124"/>
      <c r="I307" s="239"/>
      <c r="J307" s="80" t="str">
        <f t="shared" si="96"/>
        <v/>
      </c>
      <c r="K307" s="177">
        <f t="shared" si="91"/>
        <v>0</v>
      </c>
      <c r="L307" s="160"/>
      <c r="M307" s="161"/>
      <c r="N307" s="162"/>
      <c r="O307" s="162"/>
      <c r="P307" s="163"/>
      <c r="Q307" s="202"/>
      <c r="R307" s="204"/>
      <c r="S307" s="211"/>
      <c r="T307" s="211"/>
      <c r="U307" s="211"/>
      <c r="V307" s="211"/>
      <c r="W307" s="211"/>
      <c r="X307" s="154"/>
      <c r="Y307" s="173" t="str">
        <f t="shared" si="106"/>
        <v/>
      </c>
      <c r="Z307" s="83" t="str">
        <f t="shared" si="97"/>
        <v/>
      </c>
      <c r="AA307" s="84" t="str">
        <f t="shared" si="104"/>
        <v/>
      </c>
      <c r="AB307" s="84" t="str">
        <f t="shared" si="105"/>
        <v/>
      </c>
      <c r="AC307" s="84" t="str">
        <f t="shared" si="98"/>
        <v/>
      </c>
      <c r="AD307" s="84"/>
      <c r="AE307" s="84" t="str">
        <f t="shared" si="101"/>
        <v/>
      </c>
      <c r="AF307" s="84">
        <f t="shared" si="95"/>
        <v>0</v>
      </c>
      <c r="AG307" s="94" t="str">
        <f t="shared" si="102"/>
        <v/>
      </c>
      <c r="AH307" s="85" t="str">
        <f>IFERROR(VLOOKUP(A307,CUSTOMERS!$A:$E,4),"")</f>
        <v/>
      </c>
      <c r="AI307" s="86" t="str">
        <f t="shared" si="92"/>
        <v/>
      </c>
      <c r="AJ307" s="87" t="str">
        <f>IFERROR(VLOOKUP(A307,CUSTOMERS!$A:$F,5),"")</f>
        <v/>
      </c>
      <c r="AK307" s="98"/>
      <c r="AL307" s="98">
        <v>0</v>
      </c>
      <c r="AM307" s="99">
        <v>0</v>
      </c>
      <c r="AN307" s="99"/>
      <c r="AO307" s="99">
        <v>0</v>
      </c>
      <c r="AP307" s="103">
        <f t="shared" si="99"/>
        <v>0</v>
      </c>
      <c r="AQ307" s="103" t="str">
        <f t="shared" si="90"/>
        <v/>
      </c>
      <c r="AR307" s="68" t="str">
        <f>IFERROR(VLOOKUP(A307,CUSTOMERS!$A:$B,2),"")</f>
        <v/>
      </c>
      <c r="AS307" s="68" t="str">
        <f>IFERROR(VLOOKUP(A307,CUSTOMERS!$A:$D,3),"")</f>
        <v/>
      </c>
      <c r="AT307" s="68" t="str">
        <f>IFERROR(VLOOKUP(A307,CUSTOMERS!$A:$F,6),"")</f>
        <v/>
      </c>
      <c r="AU307" s="69" t="str">
        <f>IFERROR(VLOOKUP(A307,CUSTOMERS!$A:$E,4),"")</f>
        <v/>
      </c>
      <c r="AV307" s="68" t="str">
        <f t="shared" si="103"/>
        <v/>
      </c>
      <c r="AX307" s="71" t="str">
        <f t="shared" si="100"/>
        <v>reason307</v>
      </c>
    </row>
    <row r="308" spans="1:50">
      <c r="A308" s="188"/>
      <c r="B308" s="125" t="str">
        <f t="shared" si="94"/>
        <v/>
      </c>
      <c r="C308" s="125"/>
      <c r="D308" s="126"/>
      <c r="E308" s="126"/>
      <c r="F308" s="122" t="str">
        <f t="shared" si="93"/>
        <v/>
      </c>
      <c r="G308" s="186"/>
      <c r="H308" s="124"/>
      <c r="I308" s="239"/>
      <c r="J308" s="80" t="str">
        <f t="shared" si="96"/>
        <v/>
      </c>
      <c r="K308" s="177">
        <f t="shared" si="91"/>
        <v>0</v>
      </c>
      <c r="L308" s="160"/>
      <c r="M308" s="161"/>
      <c r="N308" s="162"/>
      <c r="O308" s="162"/>
      <c r="P308" s="163"/>
      <c r="Q308" s="202"/>
      <c r="R308" s="204"/>
      <c r="S308" s="211"/>
      <c r="T308" s="211"/>
      <c r="U308" s="211"/>
      <c r="V308" s="211"/>
      <c r="W308" s="211"/>
      <c r="X308" s="154"/>
      <c r="Y308" s="173" t="str">
        <f t="shared" si="106"/>
        <v/>
      </c>
      <c r="Z308" s="83" t="str">
        <f t="shared" si="97"/>
        <v/>
      </c>
      <c r="AA308" s="84" t="str">
        <f t="shared" si="104"/>
        <v/>
      </c>
      <c r="AB308" s="84" t="str">
        <f t="shared" si="105"/>
        <v/>
      </c>
      <c r="AC308" s="84" t="str">
        <f t="shared" si="98"/>
        <v/>
      </c>
      <c r="AD308" s="84"/>
      <c r="AE308" s="84" t="str">
        <f t="shared" si="101"/>
        <v/>
      </c>
      <c r="AF308" s="84">
        <f t="shared" si="95"/>
        <v>0</v>
      </c>
      <c r="AG308" s="94" t="str">
        <f t="shared" si="102"/>
        <v/>
      </c>
      <c r="AH308" s="85" t="str">
        <f>IFERROR(VLOOKUP(A308,CUSTOMERS!$A:$E,4),"")</f>
        <v/>
      </c>
      <c r="AI308" s="86" t="str">
        <f t="shared" si="92"/>
        <v/>
      </c>
      <c r="AJ308" s="87" t="str">
        <f>IFERROR(VLOOKUP(A308,CUSTOMERS!$A:$F,5),"")</f>
        <v/>
      </c>
      <c r="AK308" s="98"/>
      <c r="AL308" s="98">
        <v>0</v>
      </c>
      <c r="AM308" s="99">
        <v>0</v>
      </c>
      <c r="AN308" s="99"/>
      <c r="AO308" s="99">
        <v>0</v>
      </c>
      <c r="AP308" s="103">
        <f t="shared" si="99"/>
        <v>0</v>
      </c>
      <c r="AQ308" s="103" t="str">
        <f t="shared" si="90"/>
        <v/>
      </c>
      <c r="AR308" s="68" t="str">
        <f>IFERROR(VLOOKUP(A308,CUSTOMERS!$A:$B,2),"")</f>
        <v/>
      </c>
      <c r="AS308" s="68" t="str">
        <f>IFERROR(VLOOKUP(A308,CUSTOMERS!$A:$D,3),"")</f>
        <v/>
      </c>
      <c r="AT308" s="68" t="str">
        <f>IFERROR(VLOOKUP(A308,CUSTOMERS!$A:$F,6),"")</f>
        <v/>
      </c>
      <c r="AU308" s="69" t="str">
        <f>IFERROR(VLOOKUP(A308,CUSTOMERS!$A:$E,4),"")</f>
        <v/>
      </c>
      <c r="AV308" s="68" t="str">
        <f t="shared" si="103"/>
        <v/>
      </c>
      <c r="AX308" s="71" t="str">
        <f t="shared" si="100"/>
        <v>reason308</v>
      </c>
    </row>
    <row r="309" spans="1:50">
      <c r="A309" s="188"/>
      <c r="B309" s="125" t="str">
        <f t="shared" si="94"/>
        <v/>
      </c>
      <c r="C309" s="125"/>
      <c r="D309" s="126"/>
      <c r="E309" s="126"/>
      <c r="F309" s="122" t="str">
        <f t="shared" si="93"/>
        <v/>
      </c>
      <c r="G309" s="186"/>
      <c r="H309" s="124"/>
      <c r="I309" s="239"/>
      <c r="J309" s="80" t="str">
        <f t="shared" si="96"/>
        <v/>
      </c>
      <c r="K309" s="177">
        <f t="shared" si="91"/>
        <v>0</v>
      </c>
      <c r="L309" s="160"/>
      <c r="M309" s="161"/>
      <c r="N309" s="162"/>
      <c r="O309" s="162"/>
      <c r="P309" s="163"/>
      <c r="Q309" s="202"/>
      <c r="R309" s="204"/>
      <c r="S309" s="211"/>
      <c r="T309" s="211"/>
      <c r="U309" s="211"/>
      <c r="V309" s="211"/>
      <c r="W309" s="211"/>
      <c r="X309" s="154"/>
      <c r="Y309" s="173" t="str">
        <f t="shared" si="106"/>
        <v/>
      </c>
      <c r="Z309" s="83" t="str">
        <f t="shared" si="97"/>
        <v/>
      </c>
      <c r="AA309" s="84" t="str">
        <f t="shared" si="104"/>
        <v/>
      </c>
      <c r="AB309" s="84" t="str">
        <f t="shared" si="105"/>
        <v/>
      </c>
      <c r="AC309" s="84" t="str">
        <f t="shared" si="98"/>
        <v/>
      </c>
      <c r="AD309" s="84"/>
      <c r="AE309" s="84" t="str">
        <f t="shared" si="101"/>
        <v/>
      </c>
      <c r="AF309" s="84">
        <f t="shared" si="95"/>
        <v>0</v>
      </c>
      <c r="AG309" s="94" t="str">
        <f t="shared" si="102"/>
        <v/>
      </c>
      <c r="AH309" s="85" t="str">
        <f>IFERROR(VLOOKUP(A309,CUSTOMERS!$A:$E,4),"")</f>
        <v/>
      </c>
      <c r="AI309" s="86" t="str">
        <f t="shared" si="92"/>
        <v/>
      </c>
      <c r="AJ309" s="87" t="str">
        <f>IFERROR(VLOOKUP(A309,CUSTOMERS!$A:$F,5),"")</f>
        <v/>
      </c>
      <c r="AK309" s="98"/>
      <c r="AL309" s="98">
        <v>0</v>
      </c>
      <c r="AM309" s="99">
        <v>0</v>
      </c>
      <c r="AN309" s="99"/>
      <c r="AO309" s="99">
        <v>0</v>
      </c>
      <c r="AP309" s="103">
        <f t="shared" si="99"/>
        <v>0</v>
      </c>
      <c r="AQ309" s="103" t="str">
        <f t="shared" ref="AQ309:AQ318" si="107">IFERROR(AP309*AJ309,"")</f>
        <v/>
      </c>
      <c r="AR309" s="68" t="str">
        <f>IFERROR(VLOOKUP(A309,CUSTOMERS!$A:$B,2),"")</f>
        <v/>
      </c>
      <c r="AS309" s="68" t="str">
        <f>IFERROR(VLOOKUP(A309,CUSTOMERS!$A:$D,3),"")</f>
        <v/>
      </c>
      <c r="AT309" s="68" t="str">
        <f>IFERROR(VLOOKUP(A309,CUSTOMERS!$A:$F,6),"")</f>
        <v/>
      </c>
      <c r="AU309" s="69" t="str">
        <f>IFERROR(VLOOKUP(A309,CUSTOMERS!$A:$E,4),"")</f>
        <v/>
      </c>
      <c r="AV309" s="68" t="str">
        <f t="shared" si="103"/>
        <v/>
      </c>
      <c r="AX309" s="71" t="str">
        <f t="shared" si="100"/>
        <v>reason309</v>
      </c>
    </row>
    <row r="310" spans="1:50">
      <c r="A310" s="188"/>
      <c r="B310" s="125" t="str">
        <f t="shared" si="94"/>
        <v/>
      </c>
      <c r="C310" s="125"/>
      <c r="D310" s="126"/>
      <c r="E310" s="126"/>
      <c r="F310" s="122" t="str">
        <f t="shared" si="93"/>
        <v/>
      </c>
      <c r="G310" s="186"/>
      <c r="H310" s="124"/>
      <c r="I310" s="239"/>
      <c r="J310" s="80" t="str">
        <f t="shared" si="96"/>
        <v/>
      </c>
      <c r="K310" s="177">
        <f t="shared" si="91"/>
        <v>0</v>
      </c>
      <c r="L310" s="160"/>
      <c r="M310" s="161"/>
      <c r="N310" s="162"/>
      <c r="O310" s="162"/>
      <c r="P310" s="163"/>
      <c r="Q310" s="202"/>
      <c r="R310" s="204"/>
      <c r="S310" s="211"/>
      <c r="T310" s="211"/>
      <c r="U310" s="211"/>
      <c r="V310" s="211"/>
      <c r="W310" s="211"/>
      <c r="X310" s="154"/>
      <c r="Y310" s="173" t="str">
        <f t="shared" si="106"/>
        <v/>
      </c>
      <c r="Z310" s="83" t="str">
        <f t="shared" si="97"/>
        <v/>
      </c>
      <c r="AA310" s="84" t="str">
        <f t="shared" si="104"/>
        <v/>
      </c>
      <c r="AB310" s="84" t="str">
        <f t="shared" si="105"/>
        <v/>
      </c>
      <c r="AC310" s="84" t="str">
        <f t="shared" si="98"/>
        <v/>
      </c>
      <c r="AD310" s="84"/>
      <c r="AE310" s="84" t="str">
        <f t="shared" si="101"/>
        <v/>
      </c>
      <c r="AF310" s="84">
        <f t="shared" si="95"/>
        <v>0</v>
      </c>
      <c r="AG310" s="94" t="str">
        <f t="shared" si="102"/>
        <v/>
      </c>
      <c r="AH310" s="85" t="str">
        <f>IFERROR(VLOOKUP(A310,CUSTOMERS!$A:$E,4),"")</f>
        <v/>
      </c>
      <c r="AI310" s="86" t="str">
        <f t="shared" si="92"/>
        <v/>
      </c>
      <c r="AJ310" s="87" t="str">
        <f>IFERROR(VLOOKUP(A310,CUSTOMERS!$A:$F,5),"")</f>
        <v/>
      </c>
      <c r="AK310" s="98"/>
      <c r="AL310" s="98">
        <v>0</v>
      </c>
      <c r="AM310" s="99">
        <v>0</v>
      </c>
      <c r="AN310" s="99"/>
      <c r="AO310" s="99">
        <v>0</v>
      </c>
      <c r="AP310" s="103">
        <f t="shared" si="99"/>
        <v>0</v>
      </c>
      <c r="AQ310" s="103" t="str">
        <f t="shared" si="107"/>
        <v/>
      </c>
      <c r="AR310" s="68" t="str">
        <f>IFERROR(VLOOKUP(A310,CUSTOMERS!$A:$B,2),"")</f>
        <v/>
      </c>
      <c r="AS310" s="68" t="str">
        <f>IFERROR(VLOOKUP(A310,CUSTOMERS!$A:$D,3),"")</f>
        <v/>
      </c>
      <c r="AT310" s="68" t="str">
        <f>IFERROR(VLOOKUP(A310,CUSTOMERS!$A:$F,6),"")</f>
        <v/>
      </c>
      <c r="AU310" s="69" t="str">
        <f>IFERROR(VLOOKUP(A310,CUSTOMERS!$A:$E,4),"")</f>
        <v/>
      </c>
      <c r="AV310" s="68" t="str">
        <f t="shared" si="103"/>
        <v/>
      </c>
      <c r="AX310" s="71" t="str">
        <f t="shared" si="100"/>
        <v>reason310</v>
      </c>
    </row>
    <row r="311" spans="1:50">
      <c r="A311" s="188"/>
      <c r="B311" s="125" t="str">
        <f t="shared" si="94"/>
        <v/>
      </c>
      <c r="C311" s="125"/>
      <c r="D311" s="126"/>
      <c r="E311" s="126"/>
      <c r="F311" s="122" t="str">
        <f t="shared" si="93"/>
        <v/>
      </c>
      <c r="G311" s="186"/>
      <c r="H311" s="124"/>
      <c r="I311" s="239"/>
      <c r="J311" s="80" t="str">
        <f t="shared" si="96"/>
        <v/>
      </c>
      <c r="K311" s="177">
        <f t="shared" ref="K311:K318" si="108">MAX(L311:R311)</f>
        <v>0</v>
      </c>
      <c r="L311" s="160"/>
      <c r="M311" s="161"/>
      <c r="N311" s="162"/>
      <c r="O311" s="162"/>
      <c r="P311" s="163"/>
      <c r="Q311" s="202"/>
      <c r="R311" s="204"/>
      <c r="S311" s="211"/>
      <c r="T311" s="211"/>
      <c r="U311" s="211"/>
      <c r="V311" s="211"/>
      <c r="W311" s="211"/>
      <c r="X311" s="154"/>
      <c r="Y311" s="173" t="str">
        <f t="shared" si="106"/>
        <v/>
      </c>
      <c r="Z311" s="83" t="str">
        <f t="shared" si="97"/>
        <v/>
      </c>
      <c r="AA311" s="84" t="str">
        <f t="shared" si="104"/>
        <v/>
      </c>
      <c r="AB311" s="84" t="str">
        <f t="shared" si="105"/>
        <v/>
      </c>
      <c r="AC311" s="84" t="str">
        <f t="shared" si="98"/>
        <v/>
      </c>
      <c r="AD311" s="84"/>
      <c r="AE311" s="84" t="str">
        <f t="shared" si="101"/>
        <v/>
      </c>
      <c r="AF311" s="84">
        <f t="shared" si="95"/>
        <v>0</v>
      </c>
      <c r="AG311" s="94" t="str">
        <f t="shared" si="102"/>
        <v/>
      </c>
      <c r="AH311" s="85" t="str">
        <f>IFERROR(VLOOKUP(A311,CUSTOMERS!$A:$E,4),"")</f>
        <v/>
      </c>
      <c r="AI311" s="86" t="str">
        <f t="shared" si="92"/>
        <v/>
      </c>
      <c r="AJ311" s="87" t="str">
        <f>IFERROR(VLOOKUP(A311,CUSTOMERS!$A:$F,5),"")</f>
        <v/>
      </c>
      <c r="AK311" s="98"/>
      <c r="AL311" s="98">
        <v>0</v>
      </c>
      <c r="AM311" s="99">
        <v>0</v>
      </c>
      <c r="AN311" s="99"/>
      <c r="AO311" s="99">
        <v>0</v>
      </c>
      <c r="AP311" s="103">
        <f t="shared" si="99"/>
        <v>0</v>
      </c>
      <c r="AQ311" s="103" t="str">
        <f t="shared" si="107"/>
        <v/>
      </c>
      <c r="AR311" s="68" t="str">
        <f>IFERROR(VLOOKUP(A311,CUSTOMERS!$A:$B,2),"")</f>
        <v/>
      </c>
      <c r="AS311" s="68" t="str">
        <f>IFERROR(VLOOKUP(A311,CUSTOMERS!$A:$D,3),"")</f>
        <v/>
      </c>
      <c r="AT311" s="68" t="str">
        <f>IFERROR(VLOOKUP(A311,CUSTOMERS!$A:$F,6),"")</f>
        <v/>
      </c>
      <c r="AU311" s="69" t="str">
        <f>IFERROR(VLOOKUP(A311,CUSTOMERS!$A:$E,4),"")</f>
        <v/>
      </c>
      <c r="AV311" s="68" t="str">
        <f t="shared" si="103"/>
        <v/>
      </c>
      <c r="AX311" s="71" t="str">
        <f t="shared" si="100"/>
        <v>reason311</v>
      </c>
    </row>
    <row r="312" spans="1:50">
      <c r="A312" s="188"/>
      <c r="B312" s="125" t="str">
        <f t="shared" si="94"/>
        <v/>
      </c>
      <c r="C312" s="125"/>
      <c r="D312" s="126"/>
      <c r="E312" s="126"/>
      <c r="F312" s="122" t="str">
        <f t="shared" si="93"/>
        <v/>
      </c>
      <c r="G312" s="186"/>
      <c r="H312" s="124"/>
      <c r="I312" s="239"/>
      <c r="J312" s="80" t="str">
        <f t="shared" si="96"/>
        <v/>
      </c>
      <c r="K312" s="177">
        <f t="shared" si="108"/>
        <v>0</v>
      </c>
      <c r="L312" s="160"/>
      <c r="M312" s="161"/>
      <c r="N312" s="162"/>
      <c r="O312" s="162"/>
      <c r="P312" s="163"/>
      <c r="Q312" s="202"/>
      <c r="R312" s="204"/>
      <c r="S312" s="211"/>
      <c r="T312" s="211"/>
      <c r="U312" s="211"/>
      <c r="V312" s="211"/>
      <c r="W312" s="211"/>
      <c r="X312" s="154"/>
      <c r="Y312" s="173" t="str">
        <f t="shared" si="106"/>
        <v/>
      </c>
      <c r="Z312" s="83" t="str">
        <f t="shared" si="97"/>
        <v/>
      </c>
      <c r="AA312" s="84" t="str">
        <f t="shared" si="104"/>
        <v/>
      </c>
      <c r="AB312" s="84" t="str">
        <f t="shared" si="105"/>
        <v/>
      </c>
      <c r="AC312" s="84" t="str">
        <f t="shared" si="98"/>
        <v/>
      </c>
      <c r="AD312" s="84"/>
      <c r="AE312" s="84" t="str">
        <f t="shared" si="101"/>
        <v/>
      </c>
      <c r="AF312" s="84">
        <f t="shared" si="95"/>
        <v>0</v>
      </c>
      <c r="AG312" s="94" t="str">
        <f t="shared" si="102"/>
        <v/>
      </c>
      <c r="AH312" s="85" t="str">
        <f>IFERROR(VLOOKUP(A312,CUSTOMERS!$A:$E,4),"")</f>
        <v/>
      </c>
      <c r="AI312" s="86" t="str">
        <f t="shared" ref="AI312:AI318" si="109">AV312</f>
        <v/>
      </c>
      <c r="AJ312" s="87" t="str">
        <f>IFERROR(VLOOKUP(A312,CUSTOMERS!$A:$F,5),"")</f>
        <v/>
      </c>
      <c r="AK312" s="98"/>
      <c r="AL312" s="98">
        <v>0</v>
      </c>
      <c r="AM312" s="99">
        <v>0</v>
      </c>
      <c r="AN312" s="99"/>
      <c r="AO312" s="99">
        <v>0</v>
      </c>
      <c r="AP312" s="103">
        <f t="shared" si="99"/>
        <v>0</v>
      </c>
      <c r="AQ312" s="103" t="str">
        <f t="shared" si="107"/>
        <v/>
      </c>
      <c r="AR312" s="68" t="str">
        <f>IFERROR(VLOOKUP(A312,CUSTOMERS!$A:$B,2),"")</f>
        <v/>
      </c>
      <c r="AS312" s="68" t="str">
        <f>IFERROR(VLOOKUP(A312,CUSTOMERS!$A:$D,3),"")</f>
        <v/>
      </c>
      <c r="AT312" s="68" t="str">
        <f>IFERROR(VLOOKUP(A312,CUSTOMERS!$A:$F,6),"")</f>
        <v/>
      </c>
      <c r="AU312" s="69" t="str">
        <f>IFERROR(VLOOKUP(A312,CUSTOMERS!$A:$E,4),"")</f>
        <v/>
      </c>
      <c r="AV312" s="68" t="str">
        <f t="shared" si="103"/>
        <v/>
      </c>
      <c r="AX312" s="71" t="str">
        <f t="shared" si="100"/>
        <v>reason312</v>
      </c>
    </row>
    <row r="313" spans="1:50">
      <c r="A313" s="188"/>
      <c r="B313" s="125" t="str">
        <f t="shared" si="94"/>
        <v/>
      </c>
      <c r="C313" s="125"/>
      <c r="D313" s="126"/>
      <c r="E313" s="126"/>
      <c r="F313" s="122" t="str">
        <f t="shared" si="93"/>
        <v/>
      </c>
      <c r="G313" s="186"/>
      <c r="H313" s="124"/>
      <c r="I313" s="239"/>
      <c r="J313" s="80" t="str">
        <f t="shared" si="96"/>
        <v/>
      </c>
      <c r="K313" s="177">
        <f t="shared" si="108"/>
        <v>0</v>
      </c>
      <c r="L313" s="160"/>
      <c r="M313" s="161"/>
      <c r="N313" s="162"/>
      <c r="O313" s="162"/>
      <c r="P313" s="163"/>
      <c r="Q313" s="202"/>
      <c r="R313" s="204"/>
      <c r="S313" s="211"/>
      <c r="T313" s="211"/>
      <c r="U313" s="211"/>
      <c r="V313" s="211"/>
      <c r="W313" s="211"/>
      <c r="X313" s="154"/>
      <c r="Y313" s="173" t="str">
        <f t="shared" si="106"/>
        <v/>
      </c>
      <c r="Z313" s="83" t="str">
        <f t="shared" si="97"/>
        <v/>
      </c>
      <c r="AA313" s="84" t="str">
        <f t="shared" si="104"/>
        <v/>
      </c>
      <c r="AB313" s="84" t="str">
        <f t="shared" si="105"/>
        <v/>
      </c>
      <c r="AC313" s="84" t="str">
        <f t="shared" si="98"/>
        <v/>
      </c>
      <c r="AD313" s="84"/>
      <c r="AE313" s="84" t="str">
        <f t="shared" si="101"/>
        <v/>
      </c>
      <c r="AF313" s="84">
        <f t="shared" si="95"/>
        <v>0</v>
      </c>
      <c r="AG313" s="94" t="str">
        <f t="shared" si="102"/>
        <v/>
      </c>
      <c r="AH313" s="85" t="str">
        <f>IFERROR(VLOOKUP(A313,CUSTOMERS!$A:$E,4),"")</f>
        <v/>
      </c>
      <c r="AI313" s="86" t="str">
        <f t="shared" si="109"/>
        <v/>
      </c>
      <c r="AJ313" s="87" t="str">
        <f>IFERROR(VLOOKUP(A313,CUSTOMERS!$A:$F,5),"")</f>
        <v/>
      </c>
      <c r="AK313" s="98"/>
      <c r="AL313" s="98">
        <v>0</v>
      </c>
      <c r="AM313" s="99">
        <v>0</v>
      </c>
      <c r="AN313" s="99"/>
      <c r="AO313" s="99">
        <v>0</v>
      </c>
      <c r="AP313" s="103">
        <f t="shared" si="99"/>
        <v>0</v>
      </c>
      <c r="AQ313" s="103" t="str">
        <f t="shared" si="107"/>
        <v/>
      </c>
      <c r="AR313" s="68" t="str">
        <f>IFERROR(VLOOKUP(A313,CUSTOMERS!$A:$B,2),"")</f>
        <v/>
      </c>
      <c r="AS313" s="68" t="str">
        <f>IFERROR(VLOOKUP(A313,CUSTOMERS!$A:$D,3),"")</f>
        <v/>
      </c>
      <c r="AT313" s="68" t="str">
        <f>IFERROR(VLOOKUP(A313,CUSTOMERS!$A:$F,6),"")</f>
        <v/>
      </c>
      <c r="AU313" s="69" t="str">
        <f>IFERROR(VLOOKUP(A313,CUSTOMERS!$A:$E,4),"")</f>
        <v/>
      </c>
      <c r="AV313" s="68" t="str">
        <f t="shared" si="103"/>
        <v/>
      </c>
      <c r="AX313" s="71" t="str">
        <f t="shared" si="100"/>
        <v>reason313</v>
      </c>
    </row>
    <row r="314" spans="1:50">
      <c r="A314" s="188"/>
      <c r="B314" s="125" t="str">
        <f t="shared" si="94"/>
        <v/>
      </c>
      <c r="C314" s="125"/>
      <c r="D314" s="126"/>
      <c r="E314" s="126"/>
      <c r="F314" s="122" t="str">
        <f t="shared" si="93"/>
        <v/>
      </c>
      <c r="G314" s="186"/>
      <c r="H314" s="124"/>
      <c r="I314" s="239"/>
      <c r="J314" s="80" t="str">
        <f t="shared" si="96"/>
        <v/>
      </c>
      <c r="K314" s="177">
        <f t="shared" si="108"/>
        <v>0</v>
      </c>
      <c r="L314" s="160"/>
      <c r="M314" s="161"/>
      <c r="N314" s="162"/>
      <c r="O314" s="162"/>
      <c r="P314" s="163"/>
      <c r="Q314" s="202"/>
      <c r="R314" s="204"/>
      <c r="S314" s="211"/>
      <c r="T314" s="211"/>
      <c r="U314" s="211"/>
      <c r="V314" s="211"/>
      <c r="W314" s="211"/>
      <c r="X314" s="154"/>
      <c r="Y314" s="173" t="str">
        <f t="shared" si="106"/>
        <v/>
      </c>
      <c r="Z314" s="83" t="str">
        <f t="shared" si="97"/>
        <v/>
      </c>
      <c r="AA314" s="84" t="str">
        <f t="shared" si="104"/>
        <v/>
      </c>
      <c r="AB314" s="84" t="str">
        <f t="shared" si="105"/>
        <v/>
      </c>
      <c r="AC314" s="84" t="str">
        <f t="shared" si="98"/>
        <v/>
      </c>
      <c r="AD314" s="84"/>
      <c r="AE314" s="84" t="str">
        <f t="shared" si="101"/>
        <v/>
      </c>
      <c r="AF314" s="84">
        <f t="shared" si="95"/>
        <v>0</v>
      </c>
      <c r="AG314" s="94" t="str">
        <f t="shared" si="102"/>
        <v/>
      </c>
      <c r="AH314" s="85" t="str">
        <f>IFERROR(VLOOKUP(A314,CUSTOMERS!$A:$E,4),"")</f>
        <v/>
      </c>
      <c r="AI314" s="86" t="str">
        <f t="shared" si="109"/>
        <v/>
      </c>
      <c r="AJ314" s="87" t="str">
        <f>IFERROR(VLOOKUP(A314,CUSTOMERS!$A:$F,5),"")</f>
        <v/>
      </c>
      <c r="AK314" s="98"/>
      <c r="AL314" s="98">
        <v>0</v>
      </c>
      <c r="AM314" s="99">
        <v>0</v>
      </c>
      <c r="AN314" s="99"/>
      <c r="AO314" s="99">
        <v>0</v>
      </c>
      <c r="AP314" s="103">
        <f t="shared" si="99"/>
        <v>0</v>
      </c>
      <c r="AQ314" s="103" t="str">
        <f t="shared" si="107"/>
        <v/>
      </c>
      <c r="AR314" s="68" t="str">
        <f>IFERROR(VLOOKUP(A314,CUSTOMERS!$A:$B,2),"")</f>
        <v/>
      </c>
      <c r="AS314" s="68" t="str">
        <f>IFERROR(VLOOKUP(A314,CUSTOMERS!$A:$D,3),"")</f>
        <v/>
      </c>
      <c r="AT314" s="68" t="str">
        <f>IFERROR(VLOOKUP(A314,CUSTOMERS!$A:$F,6),"")</f>
        <v/>
      </c>
      <c r="AU314" s="69" t="str">
        <f>IFERROR(VLOOKUP(A314,CUSTOMERS!$A:$E,4),"")</f>
        <v/>
      </c>
      <c r="AV314" s="68" t="str">
        <f t="shared" si="103"/>
        <v/>
      </c>
      <c r="AX314" s="71" t="str">
        <f t="shared" si="100"/>
        <v>reason314</v>
      </c>
    </row>
    <row r="315" spans="1:50">
      <c r="A315" s="188"/>
      <c r="B315" s="125" t="str">
        <f t="shared" si="94"/>
        <v/>
      </c>
      <c r="C315" s="125"/>
      <c r="D315" s="126"/>
      <c r="E315" s="126"/>
      <c r="F315" s="122" t="str">
        <f t="shared" si="93"/>
        <v/>
      </c>
      <c r="G315" s="186"/>
      <c r="H315" s="124"/>
      <c r="I315" s="239"/>
      <c r="J315" s="80" t="str">
        <f t="shared" si="96"/>
        <v/>
      </c>
      <c r="K315" s="177">
        <f t="shared" si="108"/>
        <v>0</v>
      </c>
      <c r="L315" s="160"/>
      <c r="M315" s="161"/>
      <c r="N315" s="162"/>
      <c r="O315" s="162"/>
      <c r="P315" s="163"/>
      <c r="Q315" s="202"/>
      <c r="R315" s="204"/>
      <c r="S315" s="211"/>
      <c r="T315" s="211"/>
      <c r="U315" s="211"/>
      <c r="V315" s="211"/>
      <c r="W315" s="211"/>
      <c r="X315" s="154"/>
      <c r="Y315" s="173" t="str">
        <f t="shared" si="106"/>
        <v/>
      </c>
      <c r="Z315" s="83" t="str">
        <f t="shared" si="97"/>
        <v/>
      </c>
      <c r="AA315" s="84" t="str">
        <f t="shared" si="104"/>
        <v/>
      </c>
      <c r="AB315" s="84" t="str">
        <f t="shared" si="105"/>
        <v/>
      </c>
      <c r="AC315" s="84" t="str">
        <f t="shared" si="98"/>
        <v/>
      </c>
      <c r="AD315" s="84"/>
      <c r="AE315" s="84" t="str">
        <f t="shared" si="101"/>
        <v/>
      </c>
      <c r="AF315" s="84">
        <f t="shared" si="95"/>
        <v>0</v>
      </c>
      <c r="AG315" s="94" t="str">
        <f t="shared" si="102"/>
        <v/>
      </c>
      <c r="AH315" s="85" t="str">
        <f>IFERROR(VLOOKUP(A315,CUSTOMERS!$A:$E,4),"")</f>
        <v/>
      </c>
      <c r="AI315" s="86" t="str">
        <f t="shared" si="109"/>
        <v/>
      </c>
      <c r="AJ315" s="87" t="str">
        <f>IFERROR(VLOOKUP(A315,CUSTOMERS!$A:$F,5),"")</f>
        <v/>
      </c>
      <c r="AK315" s="98"/>
      <c r="AL315" s="98">
        <v>0</v>
      </c>
      <c r="AM315" s="99">
        <v>0</v>
      </c>
      <c r="AN315" s="99"/>
      <c r="AO315" s="99">
        <v>0</v>
      </c>
      <c r="AP315" s="103">
        <f t="shared" si="99"/>
        <v>0</v>
      </c>
      <c r="AQ315" s="103" t="str">
        <f t="shared" si="107"/>
        <v/>
      </c>
      <c r="AR315" s="68" t="str">
        <f>IFERROR(VLOOKUP(A315,CUSTOMERS!$A:$B,2),"")</f>
        <v/>
      </c>
      <c r="AS315" s="68" t="str">
        <f>IFERROR(VLOOKUP(A315,CUSTOMERS!$A:$D,3),"")</f>
        <v/>
      </c>
      <c r="AT315" s="68" t="str">
        <f>IFERROR(VLOOKUP(A315,CUSTOMERS!$A:$F,6),"")</f>
        <v/>
      </c>
      <c r="AU315" s="69" t="str">
        <f>IFERROR(VLOOKUP(A315,CUSTOMERS!$A:$E,4),"")</f>
        <v/>
      </c>
      <c r="AV315" s="68" t="str">
        <f t="shared" si="103"/>
        <v/>
      </c>
      <c r="AX315" s="71" t="str">
        <f t="shared" si="100"/>
        <v>reason315</v>
      </c>
    </row>
    <row r="316" spans="1:50">
      <c r="A316" s="188"/>
      <c r="B316" s="125" t="str">
        <f t="shared" si="94"/>
        <v/>
      </c>
      <c r="C316" s="125"/>
      <c r="D316" s="126"/>
      <c r="E316" s="126"/>
      <c r="F316" s="122" t="str">
        <f t="shared" si="93"/>
        <v/>
      </c>
      <c r="G316" s="186"/>
      <c r="H316" s="124"/>
      <c r="I316" s="239"/>
      <c r="J316" s="80" t="str">
        <f t="shared" si="96"/>
        <v/>
      </c>
      <c r="K316" s="177">
        <f t="shared" si="108"/>
        <v>0</v>
      </c>
      <c r="L316" s="160"/>
      <c r="M316" s="161"/>
      <c r="N316" s="162"/>
      <c r="O316" s="162"/>
      <c r="P316" s="163"/>
      <c r="Q316" s="202"/>
      <c r="R316" s="204"/>
      <c r="S316" s="211"/>
      <c r="T316" s="211"/>
      <c r="U316" s="211"/>
      <c r="V316" s="211"/>
      <c r="W316" s="211"/>
      <c r="X316" s="154"/>
      <c r="Y316" s="173" t="str">
        <f t="shared" si="106"/>
        <v/>
      </c>
      <c r="Z316" s="83" t="str">
        <f t="shared" si="97"/>
        <v/>
      </c>
      <c r="AA316" s="84" t="str">
        <f t="shared" si="104"/>
        <v/>
      </c>
      <c r="AB316" s="84" t="str">
        <f t="shared" si="105"/>
        <v/>
      </c>
      <c r="AC316" s="84" t="str">
        <f t="shared" si="98"/>
        <v/>
      </c>
      <c r="AD316" s="84"/>
      <c r="AE316" s="84" t="str">
        <f t="shared" si="101"/>
        <v/>
      </c>
      <c r="AF316" s="84">
        <f t="shared" si="95"/>
        <v>0</v>
      </c>
      <c r="AG316" s="94" t="str">
        <f t="shared" si="102"/>
        <v/>
      </c>
      <c r="AH316" s="85" t="str">
        <f>IFERROR(VLOOKUP(A316,CUSTOMERS!$A:$E,4),"")</f>
        <v/>
      </c>
      <c r="AI316" s="86" t="str">
        <f t="shared" si="109"/>
        <v/>
      </c>
      <c r="AJ316" s="87" t="str">
        <f>IFERROR(VLOOKUP(A316,CUSTOMERS!$A:$F,5),"")</f>
        <v/>
      </c>
      <c r="AK316" s="98"/>
      <c r="AL316" s="98">
        <v>0</v>
      </c>
      <c r="AM316" s="99">
        <v>0</v>
      </c>
      <c r="AN316" s="99"/>
      <c r="AO316" s="99">
        <v>0</v>
      </c>
      <c r="AP316" s="103">
        <f t="shared" si="99"/>
        <v>0</v>
      </c>
      <c r="AQ316" s="103" t="str">
        <f t="shared" si="107"/>
        <v/>
      </c>
      <c r="AR316" s="68" t="str">
        <f>IFERROR(VLOOKUP(A316,CUSTOMERS!$A:$B,2),"")</f>
        <v/>
      </c>
      <c r="AS316" s="68" t="str">
        <f>IFERROR(VLOOKUP(A316,CUSTOMERS!$A:$D,3),"")</f>
        <v/>
      </c>
      <c r="AT316" s="68" t="str">
        <f>IFERROR(VLOOKUP(A316,CUSTOMERS!$A:$F,6),"")</f>
        <v/>
      </c>
      <c r="AU316" s="69" t="str">
        <f>IFERROR(VLOOKUP(A316,CUSTOMERS!$A:$E,4),"")</f>
        <v/>
      </c>
      <c r="AV316" s="68" t="str">
        <f t="shared" si="103"/>
        <v/>
      </c>
      <c r="AX316" s="71" t="str">
        <f t="shared" si="100"/>
        <v>reason316</v>
      </c>
    </row>
    <row r="317" spans="1:50">
      <c r="A317" s="188"/>
      <c r="B317" s="125" t="str">
        <f t="shared" si="94"/>
        <v/>
      </c>
      <c r="C317" s="125"/>
      <c r="D317" s="126"/>
      <c r="E317" s="126"/>
      <c r="F317" s="122" t="str">
        <f t="shared" si="93"/>
        <v/>
      </c>
      <c r="G317" s="186"/>
      <c r="H317" s="124"/>
      <c r="I317" s="239"/>
      <c r="J317" s="80" t="str">
        <f t="shared" si="96"/>
        <v/>
      </c>
      <c r="K317" s="177">
        <f t="shared" si="108"/>
        <v>0</v>
      </c>
      <c r="L317" s="160"/>
      <c r="M317" s="161"/>
      <c r="N317" s="162"/>
      <c r="O317" s="162"/>
      <c r="P317" s="163"/>
      <c r="Q317" s="202"/>
      <c r="R317" s="204"/>
      <c r="S317" s="211"/>
      <c r="T317" s="211"/>
      <c r="U317" s="211"/>
      <c r="V317" s="211"/>
      <c r="W317" s="211"/>
      <c r="X317" s="164"/>
      <c r="Y317" s="173" t="str">
        <f t="shared" si="106"/>
        <v/>
      </c>
      <c r="Z317" s="83" t="str">
        <f t="shared" si="97"/>
        <v/>
      </c>
      <c r="AA317" s="84" t="str">
        <f t="shared" si="104"/>
        <v/>
      </c>
      <c r="AB317" s="84" t="str">
        <f t="shared" si="105"/>
        <v/>
      </c>
      <c r="AC317" s="84" t="str">
        <f t="shared" si="98"/>
        <v/>
      </c>
      <c r="AD317" s="84"/>
      <c r="AE317" s="84" t="str">
        <f t="shared" si="101"/>
        <v/>
      </c>
      <c r="AF317" s="84">
        <f t="shared" si="95"/>
        <v>0</v>
      </c>
      <c r="AG317" s="94" t="str">
        <f t="shared" si="102"/>
        <v/>
      </c>
      <c r="AH317" s="85" t="str">
        <f>IFERROR(VLOOKUP(A317,CUSTOMERS!$A:$E,4),"")</f>
        <v/>
      </c>
      <c r="AI317" s="86" t="str">
        <f t="shared" si="109"/>
        <v/>
      </c>
      <c r="AJ317" s="87" t="str">
        <f>IFERROR(VLOOKUP(A317,CUSTOMERS!$A:$F,5),"")</f>
        <v/>
      </c>
      <c r="AK317" s="98"/>
      <c r="AL317" s="98">
        <v>0</v>
      </c>
      <c r="AM317" s="99">
        <v>0</v>
      </c>
      <c r="AN317" s="99"/>
      <c r="AO317" s="99">
        <v>0</v>
      </c>
      <c r="AP317" s="103">
        <f t="shared" si="99"/>
        <v>0</v>
      </c>
      <c r="AQ317" s="103" t="str">
        <f t="shared" si="107"/>
        <v/>
      </c>
      <c r="AR317" s="68" t="str">
        <f>IFERROR(VLOOKUP(A317,CUSTOMERS!$A:$B,2),"")</f>
        <v/>
      </c>
      <c r="AS317" s="68" t="str">
        <f>IFERROR(VLOOKUP(A317,CUSTOMERS!$A:$D,3),"")</f>
        <v/>
      </c>
      <c r="AT317" s="68" t="str">
        <f>IFERROR(VLOOKUP(A317,CUSTOMERS!$A:$F,6),"")</f>
        <v/>
      </c>
      <c r="AU317" s="69" t="str">
        <f>IFERROR(VLOOKUP(A317,CUSTOMERS!$A:$E,4),"")</f>
        <v/>
      </c>
      <c r="AV317" s="68" t="str">
        <f t="shared" si="103"/>
        <v/>
      </c>
      <c r="AX317" s="71" t="str">
        <f t="shared" si="100"/>
        <v>reason317</v>
      </c>
    </row>
    <row r="318" spans="1:50" ht="8.25" customHeight="1">
      <c r="A318" s="188"/>
      <c r="B318" s="125" t="str">
        <f t="shared" si="94"/>
        <v/>
      </c>
      <c r="C318" s="125"/>
      <c r="D318" s="126"/>
      <c r="E318" s="126"/>
      <c r="F318" s="122" t="str">
        <f t="shared" si="93"/>
        <v/>
      </c>
      <c r="G318" s="186"/>
      <c r="H318" s="124"/>
      <c r="I318" s="239"/>
      <c r="J318" s="80" t="str">
        <f t="shared" si="96"/>
        <v/>
      </c>
      <c r="K318" s="177">
        <f t="shared" si="108"/>
        <v>0</v>
      </c>
      <c r="L318" s="160"/>
      <c r="M318" s="161"/>
      <c r="N318" s="162"/>
      <c r="O318" s="162"/>
      <c r="P318" s="163"/>
      <c r="Q318" s="202"/>
      <c r="R318" s="204"/>
      <c r="S318" s="211"/>
      <c r="T318" s="211"/>
      <c r="U318" s="211"/>
      <c r="V318" s="211"/>
      <c r="W318" s="211"/>
      <c r="X318" s="164"/>
      <c r="Y318" s="173" t="str">
        <f t="shared" si="106"/>
        <v/>
      </c>
      <c r="Z318" s="83" t="str">
        <f t="shared" si="97"/>
        <v/>
      </c>
      <c r="AA318" s="84" t="str">
        <f t="shared" si="104"/>
        <v/>
      </c>
      <c r="AB318" s="84" t="str">
        <f t="shared" si="105"/>
        <v/>
      </c>
      <c r="AC318" s="84" t="str">
        <f t="shared" si="98"/>
        <v/>
      </c>
      <c r="AD318" s="84"/>
      <c r="AE318" s="84" t="str">
        <f t="shared" si="101"/>
        <v/>
      </c>
      <c r="AF318" s="84">
        <f t="shared" si="95"/>
        <v>0</v>
      </c>
      <c r="AG318" s="94" t="str">
        <f t="shared" si="102"/>
        <v/>
      </c>
      <c r="AH318" s="85" t="str">
        <f>IFERROR(VLOOKUP(A318,CUSTOMERS!$A:$E,4),"")</f>
        <v/>
      </c>
      <c r="AI318" s="86" t="str">
        <f t="shared" si="109"/>
        <v/>
      </c>
      <c r="AJ318" s="87" t="str">
        <f>IFERROR(VLOOKUP(A318,CUSTOMERS!$A:$F,5),"")</f>
        <v/>
      </c>
      <c r="AK318" s="98"/>
      <c r="AL318" s="98">
        <v>0</v>
      </c>
      <c r="AM318" s="99">
        <v>0</v>
      </c>
      <c r="AN318" s="99"/>
      <c r="AO318" s="99">
        <v>0</v>
      </c>
      <c r="AP318" s="103">
        <f t="shared" si="99"/>
        <v>0</v>
      </c>
      <c r="AQ318" s="103" t="str">
        <f t="shared" si="107"/>
        <v/>
      </c>
      <c r="AR318" s="68" t="str">
        <f>IFERROR(VLOOKUP(A318,CUSTOMERS!$A:$B,2),"")</f>
        <v/>
      </c>
      <c r="AS318" s="68" t="str">
        <f>IFERROR(VLOOKUP(A318,CUSTOMERS!$A:$D,3),"")</f>
        <v/>
      </c>
      <c r="AT318" s="68" t="str">
        <f>IFERROR(VLOOKUP(A318,CUSTOMERS!$A:$F,6),"")</f>
        <v/>
      </c>
      <c r="AU318" s="69" t="str">
        <f>IFERROR(VLOOKUP(A318,CUSTOMERS!$A:$E,4),"")</f>
        <v/>
      </c>
      <c r="AV318" s="68" t="str">
        <f t="shared" si="103"/>
        <v/>
      </c>
      <c r="AX318" s="71" t="str">
        <f t="shared" si="100"/>
        <v>reason318</v>
      </c>
    </row>
    <row r="319" spans="1:50" ht="40.5" customHeight="1">
      <c r="X319" s="170" t="s">
        <v>661</v>
      </c>
    </row>
    <row r="320" spans="1:50" ht="40.5" customHeight="1"/>
    <row r="321" ht="40.5" customHeight="1"/>
    <row r="322" ht="40.5" customHeight="1"/>
    <row r="323" ht="40.5" customHeight="1"/>
    <row r="324" ht="40.5" customHeight="1"/>
    <row r="325" ht="40.5" customHeight="1"/>
    <row r="326" ht="40.5" customHeight="1"/>
    <row r="327" ht="40.5" customHeight="1"/>
    <row r="328" ht="40.5" customHeight="1"/>
    <row r="329" ht="40.5" customHeight="1"/>
    <row r="330" ht="40.5" customHeight="1"/>
    <row r="331" ht="40.5" customHeight="1"/>
    <row r="332" ht="40.5" customHeight="1"/>
    <row r="333" ht="40.5" customHeight="1"/>
    <row r="334" ht="40.5" customHeight="1"/>
    <row r="335" ht="40.5" customHeight="1"/>
    <row r="336" ht="40.5" customHeight="1"/>
    <row r="337" ht="40.5" customHeight="1"/>
    <row r="338" ht="40.5" customHeight="1"/>
    <row r="339" ht="40.5" customHeight="1"/>
    <row r="340" ht="40.5" customHeight="1"/>
    <row r="341" ht="40.5" customHeight="1"/>
    <row r="342" ht="40.5" customHeight="1"/>
    <row r="343" ht="40.5" customHeight="1"/>
    <row r="344" ht="40.5" customHeight="1"/>
    <row r="345" ht="40.5" customHeight="1"/>
    <row r="346" ht="40.5" customHeight="1"/>
    <row r="347" ht="40.5" customHeight="1"/>
    <row r="348" ht="40.5" customHeight="1"/>
    <row r="349" ht="40.5" customHeight="1"/>
    <row r="350" ht="40.5" customHeight="1"/>
    <row r="351" ht="40.5" customHeight="1"/>
    <row r="352" ht="40.5" customHeight="1"/>
    <row r="353" ht="40.5" customHeight="1"/>
    <row r="354" ht="40.5" customHeight="1"/>
    <row r="355" ht="40.5" customHeight="1"/>
    <row r="356" ht="40.5" customHeight="1"/>
    <row r="357" ht="40.5" customHeight="1"/>
    <row r="358" ht="40.5" customHeight="1"/>
    <row r="359" ht="40.5" customHeight="1"/>
    <row r="360" ht="40.5" customHeight="1"/>
    <row r="361" ht="40.5" customHeight="1"/>
    <row r="362" ht="40.5" customHeight="1"/>
    <row r="363" ht="40.5" customHeight="1"/>
    <row r="364" ht="40.5" customHeight="1"/>
    <row r="365" ht="40.5" customHeight="1"/>
    <row r="366" ht="40.5" customHeight="1"/>
    <row r="367" ht="40.5" customHeight="1"/>
    <row r="368" ht="40.5" customHeight="1"/>
    <row r="369" ht="40.5" customHeight="1"/>
    <row r="370" ht="40.5" customHeight="1"/>
    <row r="371" ht="40.5" customHeight="1"/>
    <row r="372" ht="40.5" customHeight="1"/>
    <row r="373" ht="40.5" customHeight="1"/>
    <row r="374" ht="40.5" customHeight="1"/>
    <row r="375" ht="40.5" customHeight="1"/>
    <row r="376" ht="40.5" customHeight="1"/>
    <row r="377" ht="40.5" customHeight="1"/>
    <row r="378" ht="40.5" customHeight="1"/>
    <row r="379" ht="40.5" customHeight="1"/>
    <row r="380" ht="40.5" customHeight="1"/>
    <row r="381" ht="40.5" customHeight="1"/>
    <row r="382" ht="40.5" customHeight="1"/>
    <row r="383" ht="40.5" customHeight="1"/>
    <row r="384" ht="40.5" customHeight="1"/>
    <row r="385" ht="40.5" customHeight="1"/>
    <row r="386" ht="40.5" customHeight="1"/>
    <row r="387" ht="40.5" customHeight="1"/>
    <row r="388" ht="40.5" customHeight="1"/>
    <row r="389" ht="40.5" customHeight="1"/>
    <row r="390" ht="40.5" customHeight="1"/>
    <row r="391" ht="40.5" customHeight="1"/>
    <row r="392" ht="40.5" customHeight="1"/>
    <row r="393" ht="40.5" customHeight="1"/>
    <row r="394" ht="40.5" customHeight="1"/>
    <row r="395" ht="40.5" customHeight="1"/>
    <row r="396" ht="40.5" customHeight="1"/>
    <row r="397" ht="40.5" customHeight="1"/>
    <row r="398" ht="40.5" customHeight="1"/>
    <row r="399" ht="40.5" customHeight="1"/>
    <row r="400" ht="40.5" customHeight="1"/>
    <row r="401" ht="40.5" customHeight="1"/>
    <row r="402" ht="40.5" customHeight="1"/>
    <row r="403" ht="40.5" customHeight="1"/>
    <row r="404" ht="40.5" customHeight="1"/>
    <row r="405" ht="40.5" customHeight="1"/>
    <row r="406" ht="40.5" customHeight="1"/>
    <row r="407" ht="40.5" customHeight="1"/>
    <row r="408" ht="40.5" customHeight="1"/>
    <row r="409" ht="40.5" customHeight="1"/>
    <row r="410" ht="40.5" customHeight="1"/>
    <row r="411" ht="40.5" customHeight="1"/>
    <row r="412" ht="40.5" customHeight="1"/>
    <row r="413" ht="40.5" customHeight="1"/>
    <row r="414" ht="40.5" customHeight="1"/>
    <row r="415" ht="40.5" customHeight="1"/>
    <row r="416" ht="40.5" customHeight="1"/>
    <row r="417" ht="40.5" customHeight="1"/>
    <row r="418" ht="40.5" customHeight="1"/>
    <row r="419" ht="40.5" customHeight="1"/>
    <row r="420" ht="40.5" customHeight="1"/>
    <row r="421" ht="40.5" customHeight="1"/>
    <row r="422" ht="40.5" customHeight="1"/>
    <row r="423" ht="40.5" customHeight="1"/>
    <row r="424" ht="40.5" customHeight="1"/>
    <row r="425" ht="40.5" customHeight="1"/>
    <row r="426" ht="40.5" customHeight="1"/>
    <row r="427" ht="40.5" customHeight="1"/>
    <row r="428" ht="40.5" customHeight="1"/>
    <row r="429" ht="40.5" customHeight="1"/>
    <row r="430" ht="40.5" customHeight="1"/>
    <row r="431" ht="40.5" customHeight="1"/>
    <row r="432" ht="40.5" customHeight="1"/>
    <row r="433" ht="40.5" customHeight="1"/>
    <row r="434" ht="40.5" customHeight="1"/>
    <row r="435" ht="40.5" customHeight="1"/>
    <row r="436" ht="40.5" customHeight="1"/>
    <row r="437" ht="40.5" customHeight="1"/>
    <row r="438" ht="40.5" customHeight="1"/>
    <row r="439" ht="40.5" customHeight="1"/>
    <row r="440" ht="40.5" customHeight="1"/>
    <row r="441" ht="40.5" customHeight="1"/>
    <row r="442" ht="40.5" customHeight="1"/>
    <row r="443" ht="40.5" customHeight="1"/>
    <row r="444" ht="40.5" customHeight="1"/>
    <row r="445" ht="40.5" customHeight="1"/>
    <row r="446" ht="40.5" customHeight="1"/>
    <row r="447" ht="40.5" customHeight="1"/>
    <row r="448" ht="40.5" customHeight="1"/>
    <row r="449" ht="40.5" customHeight="1"/>
    <row r="450" ht="40.5" customHeight="1"/>
    <row r="451" ht="40.5" customHeight="1"/>
    <row r="452" ht="40.5" customHeight="1"/>
    <row r="453" ht="40.5" customHeight="1"/>
    <row r="454" ht="40.5" customHeight="1"/>
    <row r="455" ht="40.5" customHeight="1"/>
    <row r="456" ht="40.5" customHeight="1"/>
    <row r="457" ht="40.5" customHeight="1"/>
    <row r="458" ht="40.5" customHeight="1"/>
    <row r="459" ht="40.5" customHeight="1"/>
    <row r="460" ht="40.5" customHeight="1"/>
    <row r="461" ht="40.5" customHeight="1"/>
    <row r="462" ht="40.5" customHeight="1"/>
    <row r="463" ht="40.5" customHeight="1"/>
    <row r="464" ht="40.5" customHeight="1"/>
    <row r="465" ht="40.5" customHeight="1"/>
    <row r="466" ht="40.5" customHeight="1"/>
    <row r="467" ht="40.5" customHeight="1"/>
    <row r="468" ht="40.5" customHeight="1"/>
    <row r="469" ht="40.5" customHeight="1"/>
    <row r="470" ht="40.5" customHeight="1"/>
    <row r="471" ht="40.5" customHeight="1"/>
    <row r="472" ht="40.5" customHeight="1"/>
    <row r="473" ht="40.5" customHeight="1"/>
  </sheetData>
  <sheetProtection algorithmName="SHA-512" hashValue="kyddowdhswccQ5Ev8WCwNkME8M69nK5rD4JWjbKNM1o8QTdUE0pYtEsvEqPZ7vp4Nv8wNOGAOJLcWjn6Z0tsCw==" saltValue="z5xDRW0SBVUyk4BvqaF0Vw==" spinCount="100000" sheet="1" objects="1" scenarios="1" insertRows="0" sort="0" autoFilter="0"/>
  <autoFilter ref="A2:AX319" xr:uid="{95ED83B0-1B28-4FEE-AE76-E7B2FEF8CF28}">
    <filterColumn colId="6">
      <filters blank="1">
        <filter val="Approved"/>
        <filter val="Board Ready"/>
        <filter val="Delivered"/>
        <filter val="Partner"/>
        <filter val="Pre-RSC"/>
        <filter val="Ref Product"/>
        <filter val="With Client"/>
        <filter val="With Mgt"/>
        <filter val="With Ops"/>
        <filter val="With Product"/>
        <filter val="Writing"/>
      </filters>
    </filterColumn>
  </autoFilter>
  <mergeCells count="6">
    <mergeCell ref="AR1:AV1"/>
    <mergeCell ref="A1:K1"/>
    <mergeCell ref="Q1:W1"/>
    <mergeCell ref="Y1:AG1"/>
    <mergeCell ref="AH1:AJ1"/>
    <mergeCell ref="AK1:AQ1"/>
  </mergeCells>
  <phoneticPr fontId="3" type="noConversion"/>
  <conditionalFormatting sqref="Y93:AG128 Y131:AG135 Y146:AE146 Y148:AF149 Y3:AG24 Y138:AG144 Y55:AG90 Y54:AE54 Y136:AE137 Y52:AG53 Y26:AG26 Y153:AG1048576 Y29:AG39 Y40">
    <cfRule type="cellIs" dxfId="679" priority="364" operator="lessThan">
      <formula>0</formula>
    </cfRule>
  </conditionalFormatting>
  <conditionalFormatting sqref="H3:H24 H93:H128 H131:H144 H146 H148:H149 H52:H90 H26:H40 H153:H194 H196:H209 H212:H1048576">
    <cfRule type="cellIs" dxfId="678" priority="363" operator="lessThan">
      <formula>0</formula>
    </cfRule>
  </conditionalFormatting>
  <conditionalFormatting sqref="AH1:AI1 AI93:AI128 AH3:AI24 AH131:AI144 AH146:AI146 AI148:AI149 AH52:AH128 AI52:AI90 AH26:AI26 AH153:AI1048576 AH29:AI39">
    <cfRule type="expression" dxfId="677" priority="362">
      <formula>$AV$3</formula>
    </cfRule>
  </conditionalFormatting>
  <conditionalFormatting sqref="X2">
    <cfRule type="cellIs" dxfId="676" priority="360" operator="lessThan">
      <formula>0</formula>
    </cfRule>
  </conditionalFormatting>
  <conditionalFormatting sqref="X1">
    <cfRule type="cellIs" dxfId="675" priority="359" operator="lessThan">
      <formula>0</formula>
    </cfRule>
  </conditionalFormatting>
  <conditionalFormatting sqref="F1:F24 F93:F128 F131:F144 F149 F146 F52:F90 F26:F39 F153:F1048576">
    <cfRule type="containsText" dxfId="674" priority="349" operator="containsText" text="With Product">
      <formula>NOT(ISERROR(SEARCH("With Product",F1)))</formula>
    </cfRule>
    <cfRule type="containsText" dxfId="673" priority="350" operator="containsText" text="Rejected">
      <formula>NOT(ISERROR(SEARCH("Rejected",F1)))</formula>
    </cfRule>
    <cfRule type="beginsWith" dxfId="672" priority="351" operator="beginsWith" text="Live">
      <formula>LEFT(F1,LEN("Live"))="Live"</formula>
    </cfRule>
    <cfRule type="containsText" dxfId="671" priority="352" operator="containsText" text="Delivered">
      <formula>NOT(ISERROR(SEARCH("Delivered",F1)))</formula>
    </cfRule>
    <cfRule type="containsText" dxfId="670" priority="353" operator="containsText" text="Ref Product">
      <formula>NOT(ISERROR(SEARCH("Ref Product",F1)))</formula>
    </cfRule>
    <cfRule type="containsText" dxfId="669" priority="354" operator="containsText" text="Approved">
      <formula>NOT(ISERROR(SEARCH("Approved",F1)))</formula>
    </cfRule>
    <cfRule type="containsText" dxfId="668" priority="355" operator="containsText" text="With Client">
      <formula>NOT(ISERROR(SEARCH("With Client",F1)))</formula>
    </cfRule>
    <cfRule type="containsText" dxfId="667" priority="356" operator="containsText" text="With Mgt">
      <formula>NOT(ISERROR(SEARCH("With Mgt",F1)))</formula>
    </cfRule>
    <cfRule type="containsText" dxfId="666" priority="357" operator="containsText" text="Writing">
      <formula>NOT(ISERROR(SEARCH("Writing",F1)))</formula>
    </cfRule>
    <cfRule type="containsText" dxfId="665" priority="358" operator="containsText" text="Pre-RSC">
      <formula>NOT(ISERROR(SEARCH("Pre-RSC",F1)))</formula>
    </cfRule>
  </conditionalFormatting>
  <conditionalFormatting sqref="Y91:AG91">
    <cfRule type="cellIs" dxfId="664" priority="348" operator="lessThan">
      <formula>0</formula>
    </cfRule>
  </conditionalFormatting>
  <conditionalFormatting sqref="H91">
    <cfRule type="cellIs" dxfId="663" priority="347" operator="lessThan">
      <formula>0</formula>
    </cfRule>
  </conditionalFormatting>
  <conditionalFormatting sqref="AI91">
    <cfRule type="expression" dxfId="662" priority="346">
      <formula>$AV$3</formula>
    </cfRule>
  </conditionalFormatting>
  <conditionalFormatting sqref="F91">
    <cfRule type="containsText" dxfId="661" priority="335" operator="containsText" text="With Product">
      <formula>NOT(ISERROR(SEARCH("With Product",F91)))</formula>
    </cfRule>
    <cfRule type="containsText" dxfId="660" priority="336" operator="containsText" text="Rejected">
      <formula>NOT(ISERROR(SEARCH("Rejected",F91)))</formula>
    </cfRule>
    <cfRule type="beginsWith" dxfId="659" priority="337" operator="beginsWith" text="Live">
      <formula>LEFT(F91,LEN("Live"))="Live"</formula>
    </cfRule>
    <cfRule type="containsText" dxfId="658" priority="338" operator="containsText" text="Delivered">
      <formula>NOT(ISERROR(SEARCH("Delivered",F91)))</formula>
    </cfRule>
    <cfRule type="containsText" dxfId="657" priority="339" operator="containsText" text="Ref Product">
      <formula>NOT(ISERROR(SEARCH("Ref Product",F91)))</formula>
    </cfRule>
    <cfRule type="containsText" dxfId="656" priority="340" operator="containsText" text="Approved">
      <formula>NOT(ISERROR(SEARCH("Approved",F91)))</formula>
    </cfRule>
    <cfRule type="containsText" dxfId="655" priority="341" operator="containsText" text="With Client">
      <formula>NOT(ISERROR(SEARCH("With Client",F91)))</formula>
    </cfRule>
    <cfRule type="containsText" dxfId="654" priority="342" operator="containsText" text="With Mgt">
      <formula>NOT(ISERROR(SEARCH("With Mgt",F91)))</formula>
    </cfRule>
    <cfRule type="containsText" dxfId="653" priority="343" operator="containsText" text="Writing">
      <formula>NOT(ISERROR(SEARCH("Writing",F91)))</formula>
    </cfRule>
    <cfRule type="containsText" dxfId="652" priority="344" operator="containsText" text="Pre-RSC">
      <formula>NOT(ISERROR(SEARCH("Pre-RSC",F91)))</formula>
    </cfRule>
  </conditionalFormatting>
  <conditionalFormatting sqref="Y92:AG92">
    <cfRule type="cellIs" dxfId="651" priority="334" operator="lessThan">
      <formula>0</formula>
    </cfRule>
  </conditionalFormatting>
  <conditionalFormatting sqref="H92">
    <cfRule type="cellIs" dxfId="650" priority="333" operator="lessThan">
      <formula>0</formula>
    </cfRule>
  </conditionalFormatting>
  <conditionalFormatting sqref="AI92">
    <cfRule type="expression" dxfId="649" priority="332">
      <formula>$AV$3</formula>
    </cfRule>
  </conditionalFormatting>
  <conditionalFormatting sqref="F92">
    <cfRule type="containsText" dxfId="648" priority="321" operator="containsText" text="With Product">
      <formula>NOT(ISERROR(SEARCH("With Product",F92)))</formula>
    </cfRule>
    <cfRule type="containsText" dxfId="647" priority="322" operator="containsText" text="Rejected">
      <formula>NOT(ISERROR(SEARCH("Rejected",F92)))</formula>
    </cfRule>
    <cfRule type="beginsWith" dxfId="646" priority="323" operator="beginsWith" text="Live">
      <formula>LEFT(F92,LEN("Live"))="Live"</formula>
    </cfRule>
    <cfRule type="containsText" dxfId="645" priority="324" operator="containsText" text="Delivered">
      <formula>NOT(ISERROR(SEARCH("Delivered",F92)))</formula>
    </cfRule>
    <cfRule type="containsText" dxfId="644" priority="325" operator="containsText" text="Ref Product">
      <formula>NOT(ISERROR(SEARCH("Ref Product",F92)))</formula>
    </cfRule>
    <cfRule type="containsText" dxfId="643" priority="326" operator="containsText" text="Approved">
      <formula>NOT(ISERROR(SEARCH("Approved",F92)))</formula>
    </cfRule>
    <cfRule type="containsText" dxfId="642" priority="327" operator="containsText" text="With Client">
      <formula>NOT(ISERROR(SEARCH("With Client",F92)))</formula>
    </cfRule>
    <cfRule type="containsText" dxfId="641" priority="328" operator="containsText" text="With Mgt">
      <formula>NOT(ISERROR(SEARCH("With Mgt",F92)))</formula>
    </cfRule>
    <cfRule type="containsText" dxfId="640" priority="329" operator="containsText" text="Writing">
      <formula>NOT(ISERROR(SEARCH("Writing",F92)))</formula>
    </cfRule>
    <cfRule type="containsText" dxfId="639" priority="330" operator="containsText" text="Pre-RSC">
      <formula>NOT(ISERROR(SEARCH("Pre-RSC",F92)))</formula>
    </cfRule>
  </conditionalFormatting>
  <conditionalFormatting sqref="G2">
    <cfRule type="containsText" dxfId="638" priority="311" operator="containsText" text="With Product">
      <formula>NOT(ISERROR(SEARCH("With Product",G2)))</formula>
    </cfRule>
    <cfRule type="containsText" dxfId="637" priority="312" operator="containsText" text="Rejected">
      <formula>NOT(ISERROR(SEARCH("Rejected",G2)))</formula>
    </cfRule>
    <cfRule type="beginsWith" dxfId="636" priority="313" operator="beginsWith" text="Live">
      <formula>LEFT(G2,LEN("Live"))="Live"</formula>
    </cfRule>
    <cfRule type="containsText" dxfId="635" priority="314" operator="containsText" text="Delivered">
      <formula>NOT(ISERROR(SEARCH("Delivered",G2)))</formula>
    </cfRule>
    <cfRule type="containsText" dxfId="634" priority="315" operator="containsText" text="Ref Product">
      <formula>NOT(ISERROR(SEARCH("Ref Product",G2)))</formula>
    </cfRule>
    <cfRule type="containsText" dxfId="633" priority="316" operator="containsText" text="Approved">
      <formula>NOT(ISERROR(SEARCH("Approved",G2)))</formula>
    </cfRule>
    <cfRule type="containsText" dxfId="632" priority="317" operator="containsText" text="With Client">
      <formula>NOT(ISERROR(SEARCH("With Client",G2)))</formula>
    </cfRule>
    <cfRule type="containsText" dxfId="631" priority="318" operator="containsText" text="With Mgt">
      <formula>NOT(ISERROR(SEARCH("With Mgt",G2)))</formula>
    </cfRule>
    <cfRule type="containsText" dxfId="630" priority="319" operator="containsText" text="Writing">
      <formula>NOT(ISERROR(SEARCH("Writing",G2)))</formula>
    </cfRule>
    <cfRule type="containsText" dxfId="629" priority="320" operator="containsText" text="Pre-RSC">
      <formula>NOT(ISERROR(SEARCH("Pre-RSC",G2)))</formula>
    </cfRule>
  </conditionalFormatting>
  <conditionalFormatting sqref="D2:E2">
    <cfRule type="containsText" dxfId="628" priority="301" operator="containsText" text="With Product">
      <formula>NOT(ISERROR(SEARCH("With Product",D2)))</formula>
    </cfRule>
    <cfRule type="containsText" dxfId="627" priority="302" operator="containsText" text="Rejected">
      <formula>NOT(ISERROR(SEARCH("Rejected",D2)))</formula>
    </cfRule>
    <cfRule type="beginsWith" dxfId="626" priority="303" operator="beginsWith" text="Live">
      <formula>LEFT(D2,LEN("Live"))="Live"</formula>
    </cfRule>
    <cfRule type="containsText" dxfId="625" priority="304" operator="containsText" text="Delivered">
      <formula>NOT(ISERROR(SEARCH("Delivered",D2)))</formula>
    </cfRule>
    <cfRule type="containsText" dxfId="624" priority="305" operator="containsText" text="Ref Product">
      <formula>NOT(ISERROR(SEARCH("Ref Product",D2)))</formula>
    </cfRule>
    <cfRule type="containsText" dxfId="623" priority="306" operator="containsText" text="Approved">
      <formula>NOT(ISERROR(SEARCH("Approved",D2)))</formula>
    </cfRule>
    <cfRule type="containsText" dxfId="622" priority="307" operator="containsText" text="With Client">
      <formula>NOT(ISERROR(SEARCH("With Client",D2)))</formula>
    </cfRule>
    <cfRule type="containsText" dxfId="621" priority="308" operator="containsText" text="With Mgt">
      <formula>NOT(ISERROR(SEARCH("With Mgt",D2)))</formula>
    </cfRule>
    <cfRule type="containsText" dxfId="620" priority="309" operator="containsText" text="Writing">
      <formula>NOT(ISERROR(SEARCH("Writing",D2)))</formula>
    </cfRule>
    <cfRule type="containsText" dxfId="619" priority="310" operator="containsText" text="Pre-RSC">
      <formula>NOT(ISERROR(SEARCH("Pre-RSC",D2)))</formula>
    </cfRule>
  </conditionalFormatting>
  <conditionalFormatting sqref="Y2:AJ2">
    <cfRule type="containsText" dxfId="618" priority="291" operator="containsText" text="With Product">
      <formula>NOT(ISERROR(SEARCH("With Product",Y2)))</formula>
    </cfRule>
    <cfRule type="containsText" dxfId="617" priority="292" operator="containsText" text="Rejected">
      <formula>NOT(ISERROR(SEARCH("Rejected",Y2)))</formula>
    </cfRule>
    <cfRule type="beginsWith" dxfId="616" priority="293" operator="beginsWith" text="Live">
      <formula>LEFT(Y2,LEN("Live"))="Live"</formula>
    </cfRule>
    <cfRule type="containsText" dxfId="615" priority="294" operator="containsText" text="Delivered">
      <formula>NOT(ISERROR(SEARCH("Delivered",Y2)))</formula>
    </cfRule>
    <cfRule type="containsText" dxfId="614" priority="295" operator="containsText" text="Ref Product">
      <formula>NOT(ISERROR(SEARCH("Ref Product",Y2)))</formula>
    </cfRule>
    <cfRule type="containsText" dxfId="613" priority="296" operator="containsText" text="Approved">
      <formula>NOT(ISERROR(SEARCH("Approved",Y2)))</formula>
    </cfRule>
    <cfRule type="containsText" dxfId="612" priority="297" operator="containsText" text="With Client">
      <formula>NOT(ISERROR(SEARCH("With Client",Y2)))</formula>
    </cfRule>
    <cfRule type="containsText" dxfId="611" priority="298" operator="containsText" text="With Mgt">
      <formula>NOT(ISERROR(SEARCH("With Mgt",Y2)))</formula>
    </cfRule>
    <cfRule type="containsText" dxfId="610" priority="299" operator="containsText" text="Writing">
      <formula>NOT(ISERROR(SEARCH("Writing",Y2)))</formula>
    </cfRule>
    <cfRule type="containsText" dxfId="609" priority="300" operator="containsText" text="Pre-RSC">
      <formula>NOT(ISERROR(SEARCH("Pre-RSC",Y2)))</formula>
    </cfRule>
  </conditionalFormatting>
  <conditionalFormatting sqref="Y129:AG129">
    <cfRule type="cellIs" dxfId="608" priority="290" operator="lessThan">
      <formula>0</formula>
    </cfRule>
  </conditionalFormatting>
  <conditionalFormatting sqref="H129">
    <cfRule type="cellIs" dxfId="607" priority="289" operator="lessThan">
      <formula>0</formula>
    </cfRule>
  </conditionalFormatting>
  <conditionalFormatting sqref="AH129:AI129">
    <cfRule type="expression" dxfId="606" priority="288">
      <formula>$AV$3</formula>
    </cfRule>
  </conditionalFormatting>
  <conditionalFormatting sqref="F129">
    <cfRule type="containsText" dxfId="605" priority="277" operator="containsText" text="With Product">
      <formula>NOT(ISERROR(SEARCH("With Product",F129)))</formula>
    </cfRule>
    <cfRule type="containsText" dxfId="604" priority="278" operator="containsText" text="Rejected">
      <formula>NOT(ISERROR(SEARCH("Rejected",F129)))</formula>
    </cfRule>
    <cfRule type="beginsWith" dxfId="603" priority="279" operator="beginsWith" text="Live">
      <formula>LEFT(F129,LEN("Live"))="Live"</formula>
    </cfRule>
    <cfRule type="containsText" dxfId="602" priority="280" operator="containsText" text="Delivered">
      <formula>NOT(ISERROR(SEARCH("Delivered",F129)))</formula>
    </cfRule>
    <cfRule type="containsText" dxfId="601" priority="281" operator="containsText" text="Ref Product">
      <formula>NOT(ISERROR(SEARCH("Ref Product",F129)))</formula>
    </cfRule>
    <cfRule type="containsText" dxfId="600" priority="282" operator="containsText" text="Approved">
      <formula>NOT(ISERROR(SEARCH("Approved",F129)))</formula>
    </cfRule>
    <cfRule type="containsText" dxfId="599" priority="283" operator="containsText" text="With Client">
      <formula>NOT(ISERROR(SEARCH("With Client",F129)))</formula>
    </cfRule>
    <cfRule type="containsText" dxfId="598" priority="284" operator="containsText" text="With Mgt">
      <formula>NOT(ISERROR(SEARCH("With Mgt",F129)))</formula>
    </cfRule>
    <cfRule type="containsText" dxfId="597" priority="285" operator="containsText" text="Writing">
      <formula>NOT(ISERROR(SEARCH("Writing",F129)))</formula>
    </cfRule>
    <cfRule type="containsText" dxfId="596" priority="286" operator="containsText" text="Pre-RSC">
      <formula>NOT(ISERROR(SEARCH("Pre-RSC",F129)))</formula>
    </cfRule>
  </conditionalFormatting>
  <conditionalFormatting sqref="Y130:AG130">
    <cfRule type="cellIs" dxfId="595" priority="276" operator="lessThan">
      <formula>0</formula>
    </cfRule>
  </conditionalFormatting>
  <conditionalFormatting sqref="H130">
    <cfRule type="cellIs" dxfId="594" priority="275" operator="lessThan">
      <formula>0</formula>
    </cfRule>
  </conditionalFormatting>
  <conditionalFormatting sqref="AH130:AI130">
    <cfRule type="expression" dxfId="593" priority="274">
      <formula>$AV$3</formula>
    </cfRule>
  </conditionalFormatting>
  <conditionalFormatting sqref="F130">
    <cfRule type="containsText" dxfId="592" priority="263" operator="containsText" text="With Product">
      <formula>NOT(ISERROR(SEARCH("With Product",F130)))</formula>
    </cfRule>
    <cfRule type="containsText" dxfId="591" priority="264" operator="containsText" text="Rejected">
      <formula>NOT(ISERROR(SEARCH("Rejected",F130)))</formula>
    </cfRule>
    <cfRule type="beginsWith" dxfId="590" priority="265" operator="beginsWith" text="Live">
      <formula>LEFT(F130,LEN("Live"))="Live"</formula>
    </cfRule>
    <cfRule type="containsText" dxfId="589" priority="266" operator="containsText" text="Delivered">
      <formula>NOT(ISERROR(SEARCH("Delivered",F130)))</formula>
    </cfRule>
    <cfRule type="containsText" dxfId="588" priority="267" operator="containsText" text="Ref Product">
      <formula>NOT(ISERROR(SEARCH("Ref Product",F130)))</formula>
    </cfRule>
    <cfRule type="containsText" dxfId="587" priority="268" operator="containsText" text="Approved">
      <formula>NOT(ISERROR(SEARCH("Approved",F130)))</formula>
    </cfRule>
    <cfRule type="containsText" dxfId="586" priority="269" operator="containsText" text="With Client">
      <formula>NOT(ISERROR(SEARCH("With Client",F130)))</formula>
    </cfRule>
    <cfRule type="containsText" dxfId="585" priority="270" operator="containsText" text="With Mgt">
      <formula>NOT(ISERROR(SEARCH("With Mgt",F130)))</formula>
    </cfRule>
    <cfRule type="containsText" dxfId="584" priority="271" operator="containsText" text="Writing">
      <formula>NOT(ISERROR(SEARCH("Writing",F130)))</formula>
    </cfRule>
    <cfRule type="containsText" dxfId="583" priority="272" operator="containsText" text="Pre-RSC">
      <formula>NOT(ISERROR(SEARCH("Pre-RSC",F130)))</formula>
    </cfRule>
  </conditionalFormatting>
  <conditionalFormatting sqref="Y145:AE145">
    <cfRule type="cellIs" dxfId="582" priority="262" operator="lessThan">
      <formula>0</formula>
    </cfRule>
  </conditionalFormatting>
  <conditionalFormatting sqref="H145">
    <cfRule type="cellIs" dxfId="581" priority="261" operator="lessThan">
      <formula>0</formula>
    </cfRule>
  </conditionalFormatting>
  <conditionalFormatting sqref="AH145:AI145">
    <cfRule type="expression" dxfId="580" priority="260">
      <formula>$AV$3</formula>
    </cfRule>
  </conditionalFormatting>
  <conditionalFormatting sqref="F145">
    <cfRule type="containsText" dxfId="579" priority="249" operator="containsText" text="With Product">
      <formula>NOT(ISERROR(SEARCH("With Product",F145)))</formula>
    </cfRule>
    <cfRule type="containsText" dxfId="578" priority="250" operator="containsText" text="Rejected">
      <formula>NOT(ISERROR(SEARCH("Rejected",F145)))</formula>
    </cfRule>
    <cfRule type="beginsWith" dxfId="577" priority="251" operator="beginsWith" text="Live">
      <formula>LEFT(F145,LEN("Live"))="Live"</formula>
    </cfRule>
    <cfRule type="containsText" dxfId="576" priority="252" operator="containsText" text="Delivered">
      <formula>NOT(ISERROR(SEARCH("Delivered",F145)))</formula>
    </cfRule>
    <cfRule type="containsText" dxfId="575" priority="253" operator="containsText" text="Ref Product">
      <formula>NOT(ISERROR(SEARCH("Ref Product",F145)))</formula>
    </cfRule>
    <cfRule type="containsText" dxfId="574" priority="254" operator="containsText" text="Approved">
      <formula>NOT(ISERROR(SEARCH("Approved",F145)))</formula>
    </cfRule>
    <cfRule type="containsText" dxfId="573" priority="255" operator="containsText" text="With Client">
      <formula>NOT(ISERROR(SEARCH("With Client",F145)))</formula>
    </cfRule>
    <cfRule type="containsText" dxfId="572" priority="256" operator="containsText" text="With Mgt">
      <formula>NOT(ISERROR(SEARCH("With Mgt",F145)))</formula>
    </cfRule>
    <cfRule type="containsText" dxfId="571" priority="257" operator="containsText" text="Writing">
      <formula>NOT(ISERROR(SEARCH("Writing",F145)))</formula>
    </cfRule>
    <cfRule type="containsText" dxfId="570" priority="258" operator="containsText" text="Pre-RSC">
      <formula>NOT(ISERROR(SEARCH("Pre-RSC",F145)))</formula>
    </cfRule>
  </conditionalFormatting>
  <conditionalFormatting sqref="F148">
    <cfRule type="containsText" dxfId="569" priority="239" operator="containsText" text="With Product">
      <formula>NOT(ISERROR(SEARCH("With Product",F148)))</formula>
    </cfRule>
    <cfRule type="containsText" dxfId="568" priority="240" operator="containsText" text="Rejected">
      <formula>NOT(ISERROR(SEARCH("Rejected",F148)))</formula>
    </cfRule>
    <cfRule type="beginsWith" dxfId="567" priority="241" operator="beginsWith" text="Live">
      <formula>LEFT(F148,LEN("Live"))="Live"</formula>
    </cfRule>
    <cfRule type="containsText" dxfId="566" priority="242" operator="containsText" text="Delivered">
      <formula>NOT(ISERROR(SEARCH("Delivered",F148)))</formula>
    </cfRule>
    <cfRule type="containsText" dxfId="565" priority="243" operator="containsText" text="Ref Product">
      <formula>NOT(ISERROR(SEARCH("Ref Product",F148)))</formula>
    </cfRule>
    <cfRule type="containsText" dxfId="564" priority="244" operator="containsText" text="Approved">
      <formula>NOT(ISERROR(SEARCH("Approved",F148)))</formula>
    </cfRule>
    <cfRule type="containsText" dxfId="563" priority="245" operator="containsText" text="With Client">
      <formula>NOT(ISERROR(SEARCH("With Client",F148)))</formula>
    </cfRule>
    <cfRule type="containsText" dxfId="562" priority="246" operator="containsText" text="With Mgt">
      <formula>NOT(ISERROR(SEARCH("With Mgt",F148)))</formula>
    </cfRule>
    <cfRule type="containsText" dxfId="561" priority="247" operator="containsText" text="Writing">
      <formula>NOT(ISERROR(SEARCH("Writing",F148)))</formula>
    </cfRule>
    <cfRule type="containsText" dxfId="560" priority="248" operator="containsText" text="Pre-RSC">
      <formula>NOT(ISERROR(SEARCH("Pre-RSC",F148)))</formula>
    </cfRule>
  </conditionalFormatting>
  <conditionalFormatting sqref="Y150:AG150">
    <cfRule type="cellIs" dxfId="559" priority="238" operator="lessThan">
      <formula>0</formula>
    </cfRule>
  </conditionalFormatting>
  <conditionalFormatting sqref="H150">
    <cfRule type="cellIs" dxfId="558" priority="237" operator="lessThan">
      <formula>0</formula>
    </cfRule>
  </conditionalFormatting>
  <conditionalFormatting sqref="AH150:AI150">
    <cfRule type="expression" dxfId="557" priority="236">
      <formula>$AV$3</formula>
    </cfRule>
  </conditionalFormatting>
  <conditionalFormatting sqref="F150">
    <cfRule type="containsText" dxfId="556" priority="225" operator="containsText" text="With Product">
      <formula>NOT(ISERROR(SEARCH("With Product",F150)))</formula>
    </cfRule>
    <cfRule type="containsText" dxfId="555" priority="226" operator="containsText" text="Rejected">
      <formula>NOT(ISERROR(SEARCH("Rejected",F150)))</formula>
    </cfRule>
    <cfRule type="beginsWith" dxfId="554" priority="227" operator="beginsWith" text="Live">
      <formula>LEFT(F150,LEN("Live"))="Live"</formula>
    </cfRule>
    <cfRule type="containsText" dxfId="553" priority="228" operator="containsText" text="Delivered">
      <formula>NOT(ISERROR(SEARCH("Delivered",F150)))</formula>
    </cfRule>
    <cfRule type="containsText" dxfId="552" priority="229" operator="containsText" text="Ref Product">
      <formula>NOT(ISERROR(SEARCH("Ref Product",F150)))</formula>
    </cfRule>
    <cfRule type="containsText" dxfId="551" priority="230" operator="containsText" text="Approved">
      <formula>NOT(ISERROR(SEARCH("Approved",F150)))</formula>
    </cfRule>
    <cfRule type="containsText" dxfId="550" priority="231" operator="containsText" text="With Client">
      <formula>NOT(ISERROR(SEARCH("With Client",F150)))</formula>
    </cfRule>
    <cfRule type="containsText" dxfId="549" priority="232" operator="containsText" text="With Mgt">
      <formula>NOT(ISERROR(SEARCH("With Mgt",F150)))</formula>
    </cfRule>
    <cfRule type="containsText" dxfId="548" priority="233" operator="containsText" text="Writing">
      <formula>NOT(ISERROR(SEARCH("Writing",F150)))</formula>
    </cfRule>
    <cfRule type="containsText" dxfId="547" priority="234" operator="containsText" text="Pre-RSC">
      <formula>NOT(ISERROR(SEARCH("Pre-RSC",F150)))</formula>
    </cfRule>
  </conditionalFormatting>
  <conditionalFormatting sqref="Y151:AG151">
    <cfRule type="cellIs" dxfId="546" priority="224" operator="lessThan">
      <formula>0</formula>
    </cfRule>
  </conditionalFormatting>
  <conditionalFormatting sqref="H151">
    <cfRule type="cellIs" dxfId="545" priority="223" operator="lessThan">
      <formula>0</formula>
    </cfRule>
  </conditionalFormatting>
  <conditionalFormatting sqref="AH151:AI151">
    <cfRule type="expression" dxfId="544" priority="222">
      <formula>$AV$3</formula>
    </cfRule>
  </conditionalFormatting>
  <conditionalFormatting sqref="F151">
    <cfRule type="containsText" dxfId="543" priority="211" operator="containsText" text="With Product">
      <formula>NOT(ISERROR(SEARCH("With Product",F151)))</formula>
    </cfRule>
    <cfRule type="containsText" dxfId="542" priority="212" operator="containsText" text="Rejected">
      <formula>NOT(ISERROR(SEARCH("Rejected",F151)))</formula>
    </cfRule>
    <cfRule type="beginsWith" dxfId="541" priority="213" operator="beginsWith" text="Live">
      <formula>LEFT(F151,LEN("Live"))="Live"</formula>
    </cfRule>
    <cfRule type="containsText" dxfId="540" priority="214" operator="containsText" text="Delivered">
      <formula>NOT(ISERROR(SEARCH("Delivered",F151)))</formula>
    </cfRule>
    <cfRule type="containsText" dxfId="539" priority="215" operator="containsText" text="Ref Product">
      <formula>NOT(ISERROR(SEARCH("Ref Product",F151)))</formula>
    </cfRule>
    <cfRule type="containsText" dxfId="538" priority="216" operator="containsText" text="Approved">
      <formula>NOT(ISERROR(SEARCH("Approved",F151)))</formula>
    </cfRule>
    <cfRule type="containsText" dxfId="537" priority="217" operator="containsText" text="With Client">
      <formula>NOT(ISERROR(SEARCH("With Client",F151)))</formula>
    </cfRule>
    <cfRule type="containsText" dxfId="536" priority="218" operator="containsText" text="With Mgt">
      <formula>NOT(ISERROR(SEARCH("With Mgt",F151)))</formula>
    </cfRule>
    <cfRule type="containsText" dxfId="535" priority="219" operator="containsText" text="Writing">
      <formula>NOT(ISERROR(SEARCH("Writing",F151)))</formula>
    </cfRule>
    <cfRule type="containsText" dxfId="534" priority="220" operator="containsText" text="Pre-RSC">
      <formula>NOT(ISERROR(SEARCH("Pre-RSC",F151)))</formula>
    </cfRule>
  </conditionalFormatting>
  <conditionalFormatting sqref="Y152:AG152">
    <cfRule type="cellIs" dxfId="533" priority="210" operator="lessThan">
      <formula>0</formula>
    </cfRule>
  </conditionalFormatting>
  <conditionalFormatting sqref="H152">
    <cfRule type="cellIs" dxfId="532" priority="209" operator="lessThan">
      <formula>0</formula>
    </cfRule>
  </conditionalFormatting>
  <conditionalFormatting sqref="AH152:AI152">
    <cfRule type="expression" dxfId="531" priority="208">
      <formula>$AV$3</formula>
    </cfRule>
  </conditionalFormatting>
  <conditionalFormatting sqref="F152">
    <cfRule type="containsText" dxfId="530" priority="197" operator="containsText" text="With Product">
      <formula>NOT(ISERROR(SEARCH("With Product",F152)))</formula>
    </cfRule>
    <cfRule type="containsText" dxfId="529" priority="198" operator="containsText" text="Rejected">
      <formula>NOT(ISERROR(SEARCH("Rejected",F152)))</formula>
    </cfRule>
    <cfRule type="beginsWith" dxfId="528" priority="199" operator="beginsWith" text="Live">
      <formula>LEFT(F152,LEN("Live"))="Live"</formula>
    </cfRule>
    <cfRule type="containsText" dxfId="527" priority="200" operator="containsText" text="Delivered">
      <formula>NOT(ISERROR(SEARCH("Delivered",F152)))</formula>
    </cfRule>
    <cfRule type="containsText" dxfId="526" priority="201" operator="containsText" text="Ref Product">
      <formula>NOT(ISERROR(SEARCH("Ref Product",F152)))</formula>
    </cfRule>
    <cfRule type="containsText" dxfId="525" priority="202" operator="containsText" text="Approved">
      <formula>NOT(ISERROR(SEARCH("Approved",F152)))</formula>
    </cfRule>
    <cfRule type="containsText" dxfId="524" priority="203" operator="containsText" text="With Client">
      <formula>NOT(ISERROR(SEARCH("With Client",F152)))</formula>
    </cfRule>
    <cfRule type="containsText" dxfId="523" priority="204" operator="containsText" text="With Mgt">
      <formula>NOT(ISERROR(SEARCH("With Mgt",F152)))</formula>
    </cfRule>
    <cfRule type="containsText" dxfId="522" priority="205" operator="containsText" text="Writing">
      <formula>NOT(ISERROR(SEARCH("Writing",F152)))</formula>
    </cfRule>
    <cfRule type="containsText" dxfId="521" priority="206" operator="containsText" text="Pre-RSC">
      <formula>NOT(ISERROR(SEARCH("Pre-RSC",F152)))</formula>
    </cfRule>
  </conditionalFormatting>
  <conditionalFormatting sqref="Y147:AE147">
    <cfRule type="cellIs" dxfId="520" priority="196" operator="lessThan">
      <formula>0</formula>
    </cfRule>
  </conditionalFormatting>
  <conditionalFormatting sqref="H147">
    <cfRule type="cellIs" dxfId="519" priority="195" operator="lessThan">
      <formula>0</formula>
    </cfRule>
  </conditionalFormatting>
  <conditionalFormatting sqref="AI147">
    <cfRule type="expression" dxfId="518" priority="194">
      <formula>$AV$3</formula>
    </cfRule>
  </conditionalFormatting>
  <conditionalFormatting sqref="F147">
    <cfRule type="containsText" dxfId="517" priority="183" operator="containsText" text="With Product">
      <formula>NOT(ISERROR(SEARCH("With Product",F147)))</formula>
    </cfRule>
    <cfRule type="containsText" dxfId="516" priority="184" operator="containsText" text="Rejected">
      <formula>NOT(ISERROR(SEARCH("Rejected",F147)))</formula>
    </cfRule>
    <cfRule type="beginsWith" dxfId="515" priority="185" operator="beginsWith" text="Live">
      <formula>LEFT(F147,LEN("Live"))="Live"</formula>
    </cfRule>
    <cfRule type="containsText" dxfId="514" priority="186" operator="containsText" text="Delivered">
      <formula>NOT(ISERROR(SEARCH("Delivered",F147)))</formula>
    </cfRule>
    <cfRule type="containsText" dxfId="513" priority="187" operator="containsText" text="Ref Product">
      <formula>NOT(ISERROR(SEARCH("Ref Product",F147)))</formula>
    </cfRule>
    <cfRule type="containsText" dxfId="512" priority="188" operator="containsText" text="Approved">
      <formula>NOT(ISERROR(SEARCH("Approved",F147)))</formula>
    </cfRule>
    <cfRule type="containsText" dxfId="511" priority="189" operator="containsText" text="With Client">
      <formula>NOT(ISERROR(SEARCH("With Client",F147)))</formula>
    </cfRule>
    <cfRule type="containsText" dxfId="510" priority="190" operator="containsText" text="With Mgt">
      <formula>NOT(ISERROR(SEARCH("With Mgt",F147)))</formula>
    </cfRule>
    <cfRule type="containsText" dxfId="509" priority="191" operator="containsText" text="Writing">
      <formula>NOT(ISERROR(SEARCH("Writing",F147)))</formula>
    </cfRule>
    <cfRule type="containsText" dxfId="508" priority="192" operator="containsText" text="Pre-RSC">
      <formula>NOT(ISERROR(SEARCH("Pre-RSC",F147)))</formula>
    </cfRule>
  </conditionalFormatting>
  <conditionalFormatting sqref="Q2:W2 Q1">
    <cfRule type="cellIs" dxfId="507" priority="182" operator="lessThan">
      <formula>0</formula>
    </cfRule>
  </conditionalFormatting>
  <conditionalFormatting sqref="Q1">
    <cfRule type="cellIs" dxfId="506" priority="181" operator="lessThan">
      <formula>0</formula>
    </cfRule>
  </conditionalFormatting>
  <conditionalFormatting sqref="AF147">
    <cfRule type="cellIs" dxfId="505" priority="180" operator="lessThan">
      <formula>0</formula>
    </cfRule>
  </conditionalFormatting>
  <conditionalFormatting sqref="AF145:AG146">
    <cfRule type="cellIs" dxfId="504" priority="179" operator="lessThan">
      <formula>0</formula>
    </cfRule>
  </conditionalFormatting>
  <conditionalFormatting sqref="AG147:AH149">
    <cfRule type="cellIs" dxfId="503" priority="178" operator="lessThan">
      <formula>0</formula>
    </cfRule>
  </conditionalFormatting>
  <conditionalFormatting sqref="AF136:AG137 AF54:AG54">
    <cfRule type="cellIs" dxfId="502" priority="177" operator="lessThan">
      <formula>0</formula>
    </cfRule>
  </conditionalFormatting>
  <conditionalFormatting sqref="Y41:AG41">
    <cfRule type="cellIs" dxfId="501" priority="176" operator="lessThan">
      <formula>0</formula>
    </cfRule>
  </conditionalFormatting>
  <conditionalFormatting sqref="H41">
    <cfRule type="cellIs" dxfId="500" priority="175" operator="lessThan">
      <formula>0</formula>
    </cfRule>
  </conditionalFormatting>
  <conditionalFormatting sqref="AH41:AI41">
    <cfRule type="expression" dxfId="499" priority="174">
      <formula>$AV$3</formula>
    </cfRule>
  </conditionalFormatting>
  <conditionalFormatting sqref="F41">
    <cfRule type="containsText" dxfId="498" priority="163" operator="containsText" text="With Product">
      <formula>NOT(ISERROR(SEARCH("With Product",F41)))</formula>
    </cfRule>
    <cfRule type="containsText" dxfId="497" priority="164" operator="containsText" text="Rejected">
      <formula>NOT(ISERROR(SEARCH("Rejected",F41)))</formula>
    </cfRule>
    <cfRule type="beginsWith" dxfId="496" priority="165" operator="beginsWith" text="Live">
      <formula>LEFT(F41,LEN("Live"))="Live"</formula>
    </cfRule>
    <cfRule type="containsText" dxfId="495" priority="166" operator="containsText" text="Delivered">
      <formula>NOT(ISERROR(SEARCH("Delivered",F41)))</formula>
    </cfRule>
    <cfRule type="containsText" dxfId="494" priority="167" operator="containsText" text="Ref Product">
      <formula>NOT(ISERROR(SEARCH("Ref Product",F41)))</formula>
    </cfRule>
    <cfRule type="containsText" dxfId="493" priority="168" operator="containsText" text="Approved">
      <formula>NOT(ISERROR(SEARCH("Approved",F41)))</formula>
    </cfRule>
    <cfRule type="containsText" dxfId="492" priority="169" operator="containsText" text="With Client">
      <formula>NOT(ISERROR(SEARCH("With Client",F41)))</formula>
    </cfRule>
    <cfRule type="containsText" dxfId="491" priority="170" operator="containsText" text="With Mgt">
      <formula>NOT(ISERROR(SEARCH("With Mgt",F41)))</formula>
    </cfRule>
    <cfRule type="containsText" dxfId="490" priority="171" operator="containsText" text="Writing">
      <formula>NOT(ISERROR(SEARCH("Writing",F41)))</formula>
    </cfRule>
    <cfRule type="containsText" dxfId="489" priority="172" operator="containsText" text="Pre-RSC">
      <formula>NOT(ISERROR(SEARCH("Pre-RSC",F41)))</formula>
    </cfRule>
  </conditionalFormatting>
  <conditionalFormatting sqref="Y42:AG42">
    <cfRule type="cellIs" dxfId="488" priority="162" operator="lessThan">
      <formula>0</formula>
    </cfRule>
  </conditionalFormatting>
  <conditionalFormatting sqref="H42">
    <cfRule type="cellIs" dxfId="487" priority="161" operator="lessThan">
      <formula>0</formula>
    </cfRule>
  </conditionalFormatting>
  <conditionalFormatting sqref="AH42:AI42">
    <cfRule type="expression" dxfId="486" priority="160">
      <formula>$AV$3</formula>
    </cfRule>
  </conditionalFormatting>
  <conditionalFormatting sqref="F42">
    <cfRule type="containsText" dxfId="485" priority="149" operator="containsText" text="With Product">
      <formula>NOT(ISERROR(SEARCH("With Product",F42)))</formula>
    </cfRule>
    <cfRule type="containsText" dxfId="484" priority="150" operator="containsText" text="Rejected">
      <formula>NOT(ISERROR(SEARCH("Rejected",F42)))</formula>
    </cfRule>
    <cfRule type="beginsWith" dxfId="483" priority="151" operator="beginsWith" text="Live">
      <formula>LEFT(F42,LEN("Live"))="Live"</formula>
    </cfRule>
    <cfRule type="containsText" dxfId="482" priority="152" operator="containsText" text="Delivered">
      <formula>NOT(ISERROR(SEARCH("Delivered",F42)))</formula>
    </cfRule>
    <cfRule type="containsText" dxfId="481" priority="153" operator="containsText" text="Ref Product">
      <formula>NOT(ISERROR(SEARCH("Ref Product",F42)))</formula>
    </cfRule>
    <cfRule type="containsText" dxfId="480" priority="154" operator="containsText" text="Approved">
      <formula>NOT(ISERROR(SEARCH("Approved",F42)))</formula>
    </cfRule>
    <cfRule type="containsText" dxfId="479" priority="155" operator="containsText" text="With Client">
      <formula>NOT(ISERROR(SEARCH("With Client",F42)))</formula>
    </cfRule>
    <cfRule type="containsText" dxfId="478" priority="156" operator="containsText" text="With Mgt">
      <formula>NOT(ISERROR(SEARCH("With Mgt",F42)))</formula>
    </cfRule>
    <cfRule type="containsText" dxfId="477" priority="157" operator="containsText" text="Writing">
      <formula>NOT(ISERROR(SEARCH("Writing",F42)))</formula>
    </cfRule>
    <cfRule type="containsText" dxfId="476" priority="158" operator="containsText" text="Pre-RSC">
      <formula>NOT(ISERROR(SEARCH("Pre-RSC",F42)))</formula>
    </cfRule>
  </conditionalFormatting>
  <conditionalFormatting sqref="Y43:AG43">
    <cfRule type="cellIs" dxfId="475" priority="148" operator="lessThan">
      <formula>0</formula>
    </cfRule>
  </conditionalFormatting>
  <conditionalFormatting sqref="H43">
    <cfRule type="cellIs" dxfId="474" priority="147" operator="lessThan">
      <formula>0</formula>
    </cfRule>
  </conditionalFormatting>
  <conditionalFormatting sqref="AH43:AI43">
    <cfRule type="expression" dxfId="473" priority="146">
      <formula>$AV$3</formula>
    </cfRule>
  </conditionalFormatting>
  <conditionalFormatting sqref="F43">
    <cfRule type="containsText" dxfId="472" priority="135" operator="containsText" text="With Product">
      <formula>NOT(ISERROR(SEARCH("With Product",F43)))</formula>
    </cfRule>
    <cfRule type="containsText" dxfId="471" priority="136" operator="containsText" text="Rejected">
      <formula>NOT(ISERROR(SEARCH("Rejected",F43)))</formula>
    </cfRule>
    <cfRule type="beginsWith" dxfId="470" priority="137" operator="beginsWith" text="Live">
      <formula>LEFT(F43,LEN("Live"))="Live"</formula>
    </cfRule>
    <cfRule type="containsText" dxfId="469" priority="138" operator="containsText" text="Delivered">
      <formula>NOT(ISERROR(SEARCH("Delivered",F43)))</formula>
    </cfRule>
    <cfRule type="containsText" dxfId="468" priority="139" operator="containsText" text="Ref Product">
      <formula>NOT(ISERROR(SEARCH("Ref Product",F43)))</formula>
    </cfRule>
    <cfRule type="containsText" dxfId="467" priority="140" operator="containsText" text="Approved">
      <formula>NOT(ISERROR(SEARCH("Approved",F43)))</formula>
    </cfRule>
    <cfRule type="containsText" dxfId="466" priority="141" operator="containsText" text="With Client">
      <formula>NOT(ISERROR(SEARCH("With Client",F43)))</formula>
    </cfRule>
    <cfRule type="containsText" dxfId="465" priority="142" operator="containsText" text="With Mgt">
      <formula>NOT(ISERROR(SEARCH("With Mgt",F43)))</formula>
    </cfRule>
    <cfRule type="containsText" dxfId="464" priority="143" operator="containsText" text="Writing">
      <formula>NOT(ISERROR(SEARCH("Writing",F43)))</formula>
    </cfRule>
    <cfRule type="containsText" dxfId="463" priority="144" operator="containsText" text="Pre-RSC">
      <formula>NOT(ISERROR(SEARCH("Pre-RSC",F43)))</formula>
    </cfRule>
  </conditionalFormatting>
  <conditionalFormatting sqref="Y44:AG44">
    <cfRule type="cellIs" dxfId="462" priority="134" operator="lessThan">
      <formula>0</formula>
    </cfRule>
  </conditionalFormatting>
  <conditionalFormatting sqref="H44">
    <cfRule type="cellIs" dxfId="461" priority="133" operator="lessThan">
      <formula>0</formula>
    </cfRule>
  </conditionalFormatting>
  <conditionalFormatting sqref="AH44:AI44">
    <cfRule type="expression" dxfId="460" priority="132">
      <formula>$AV$3</formula>
    </cfRule>
  </conditionalFormatting>
  <conditionalFormatting sqref="F44">
    <cfRule type="containsText" dxfId="459" priority="121" operator="containsText" text="With Product">
      <formula>NOT(ISERROR(SEARCH("With Product",F44)))</formula>
    </cfRule>
    <cfRule type="containsText" dxfId="458" priority="122" operator="containsText" text="Rejected">
      <formula>NOT(ISERROR(SEARCH("Rejected",F44)))</formula>
    </cfRule>
    <cfRule type="beginsWith" dxfId="457" priority="123" operator="beginsWith" text="Live">
      <formula>LEFT(F44,LEN("Live"))="Live"</formula>
    </cfRule>
    <cfRule type="containsText" dxfId="456" priority="124" operator="containsText" text="Delivered">
      <formula>NOT(ISERROR(SEARCH("Delivered",F44)))</formula>
    </cfRule>
    <cfRule type="containsText" dxfId="455" priority="125" operator="containsText" text="Ref Product">
      <formula>NOT(ISERROR(SEARCH("Ref Product",F44)))</formula>
    </cfRule>
    <cfRule type="containsText" dxfId="454" priority="126" operator="containsText" text="Approved">
      <formula>NOT(ISERROR(SEARCH("Approved",F44)))</formula>
    </cfRule>
    <cfRule type="containsText" dxfId="453" priority="127" operator="containsText" text="With Client">
      <formula>NOT(ISERROR(SEARCH("With Client",F44)))</formula>
    </cfRule>
    <cfRule type="containsText" dxfId="452" priority="128" operator="containsText" text="With Mgt">
      <formula>NOT(ISERROR(SEARCH("With Mgt",F44)))</formula>
    </cfRule>
    <cfRule type="containsText" dxfId="451" priority="129" operator="containsText" text="Writing">
      <formula>NOT(ISERROR(SEARCH("Writing",F44)))</formula>
    </cfRule>
    <cfRule type="containsText" dxfId="450" priority="130" operator="containsText" text="Pre-RSC">
      <formula>NOT(ISERROR(SEARCH("Pre-RSC",F44)))</formula>
    </cfRule>
  </conditionalFormatting>
  <conditionalFormatting sqref="Y45:AG45">
    <cfRule type="cellIs" dxfId="449" priority="120" operator="lessThan">
      <formula>0</formula>
    </cfRule>
  </conditionalFormatting>
  <conditionalFormatting sqref="H45">
    <cfRule type="cellIs" dxfId="448" priority="119" operator="lessThan">
      <formula>0</formula>
    </cfRule>
  </conditionalFormatting>
  <conditionalFormatting sqref="AH45:AI45">
    <cfRule type="expression" dxfId="447" priority="118">
      <formula>$AV$3</formula>
    </cfRule>
  </conditionalFormatting>
  <conditionalFormatting sqref="F45">
    <cfRule type="containsText" dxfId="446" priority="107" operator="containsText" text="With Product">
      <formula>NOT(ISERROR(SEARCH("With Product",F45)))</formula>
    </cfRule>
    <cfRule type="containsText" dxfId="445" priority="108" operator="containsText" text="Rejected">
      <formula>NOT(ISERROR(SEARCH("Rejected",F45)))</formula>
    </cfRule>
    <cfRule type="beginsWith" dxfId="444" priority="109" operator="beginsWith" text="Live">
      <formula>LEFT(F45,LEN("Live"))="Live"</formula>
    </cfRule>
    <cfRule type="containsText" dxfId="443" priority="110" operator="containsText" text="Delivered">
      <formula>NOT(ISERROR(SEARCH("Delivered",F45)))</formula>
    </cfRule>
    <cfRule type="containsText" dxfId="442" priority="111" operator="containsText" text="Ref Product">
      <formula>NOT(ISERROR(SEARCH("Ref Product",F45)))</formula>
    </cfRule>
    <cfRule type="containsText" dxfId="441" priority="112" operator="containsText" text="Approved">
      <formula>NOT(ISERROR(SEARCH("Approved",F45)))</formula>
    </cfRule>
    <cfRule type="containsText" dxfId="440" priority="113" operator="containsText" text="With Client">
      <formula>NOT(ISERROR(SEARCH("With Client",F45)))</formula>
    </cfRule>
    <cfRule type="containsText" dxfId="439" priority="114" operator="containsText" text="With Mgt">
      <formula>NOT(ISERROR(SEARCH("With Mgt",F45)))</formula>
    </cfRule>
    <cfRule type="containsText" dxfId="438" priority="115" operator="containsText" text="Writing">
      <formula>NOT(ISERROR(SEARCH("Writing",F45)))</formula>
    </cfRule>
    <cfRule type="containsText" dxfId="437" priority="116" operator="containsText" text="Pre-RSC">
      <formula>NOT(ISERROR(SEARCH("Pre-RSC",F45)))</formula>
    </cfRule>
  </conditionalFormatting>
  <conditionalFormatting sqref="Y46:AG46">
    <cfRule type="cellIs" dxfId="436" priority="106" operator="lessThan">
      <formula>0</formula>
    </cfRule>
  </conditionalFormatting>
  <conditionalFormatting sqref="H46">
    <cfRule type="cellIs" dxfId="435" priority="105" operator="lessThan">
      <formula>0</formula>
    </cfRule>
  </conditionalFormatting>
  <conditionalFormatting sqref="AH46:AI46">
    <cfRule type="expression" dxfId="434" priority="104">
      <formula>$AV$3</formula>
    </cfRule>
  </conditionalFormatting>
  <conditionalFormatting sqref="F46">
    <cfRule type="containsText" dxfId="433" priority="93" operator="containsText" text="With Product">
      <formula>NOT(ISERROR(SEARCH("With Product",F46)))</formula>
    </cfRule>
    <cfRule type="containsText" dxfId="432" priority="94" operator="containsText" text="Rejected">
      <formula>NOT(ISERROR(SEARCH("Rejected",F46)))</formula>
    </cfRule>
    <cfRule type="beginsWith" dxfId="431" priority="95" operator="beginsWith" text="Live">
      <formula>LEFT(F46,LEN("Live"))="Live"</formula>
    </cfRule>
    <cfRule type="containsText" dxfId="430" priority="96" operator="containsText" text="Delivered">
      <formula>NOT(ISERROR(SEARCH("Delivered",F46)))</formula>
    </cfRule>
    <cfRule type="containsText" dxfId="429" priority="97" operator="containsText" text="Ref Product">
      <formula>NOT(ISERROR(SEARCH("Ref Product",F46)))</formula>
    </cfRule>
    <cfRule type="containsText" dxfId="428" priority="98" operator="containsText" text="Approved">
      <formula>NOT(ISERROR(SEARCH("Approved",F46)))</formula>
    </cfRule>
    <cfRule type="containsText" dxfId="427" priority="99" operator="containsText" text="With Client">
      <formula>NOT(ISERROR(SEARCH("With Client",F46)))</formula>
    </cfRule>
    <cfRule type="containsText" dxfId="426" priority="100" operator="containsText" text="With Mgt">
      <formula>NOT(ISERROR(SEARCH("With Mgt",F46)))</formula>
    </cfRule>
    <cfRule type="containsText" dxfId="425" priority="101" operator="containsText" text="Writing">
      <formula>NOT(ISERROR(SEARCH("Writing",F46)))</formula>
    </cfRule>
    <cfRule type="containsText" dxfId="424" priority="102" operator="containsText" text="Pre-RSC">
      <formula>NOT(ISERROR(SEARCH("Pre-RSC",F46)))</formula>
    </cfRule>
  </conditionalFormatting>
  <conditionalFormatting sqref="Y47:AG47">
    <cfRule type="cellIs" dxfId="423" priority="92" operator="lessThan">
      <formula>0</formula>
    </cfRule>
  </conditionalFormatting>
  <conditionalFormatting sqref="H47">
    <cfRule type="cellIs" dxfId="422" priority="91" operator="lessThan">
      <formula>0</formula>
    </cfRule>
  </conditionalFormatting>
  <conditionalFormatting sqref="AH47:AI47">
    <cfRule type="expression" dxfId="421" priority="90">
      <formula>$AV$3</formula>
    </cfRule>
  </conditionalFormatting>
  <conditionalFormatting sqref="F47">
    <cfRule type="containsText" dxfId="420" priority="79" operator="containsText" text="With Product">
      <formula>NOT(ISERROR(SEARCH("With Product",F47)))</formula>
    </cfRule>
    <cfRule type="containsText" dxfId="419" priority="80" operator="containsText" text="Rejected">
      <formula>NOT(ISERROR(SEARCH("Rejected",F47)))</formula>
    </cfRule>
    <cfRule type="beginsWith" dxfId="418" priority="81" operator="beginsWith" text="Live">
      <formula>LEFT(F47,LEN("Live"))="Live"</formula>
    </cfRule>
    <cfRule type="containsText" dxfId="417" priority="82" operator="containsText" text="Delivered">
      <formula>NOT(ISERROR(SEARCH("Delivered",F47)))</formula>
    </cfRule>
    <cfRule type="containsText" dxfId="416" priority="83" operator="containsText" text="Ref Product">
      <formula>NOT(ISERROR(SEARCH("Ref Product",F47)))</formula>
    </cfRule>
    <cfRule type="containsText" dxfId="415" priority="84" operator="containsText" text="Approved">
      <formula>NOT(ISERROR(SEARCH("Approved",F47)))</formula>
    </cfRule>
    <cfRule type="containsText" dxfId="414" priority="85" operator="containsText" text="With Client">
      <formula>NOT(ISERROR(SEARCH("With Client",F47)))</formula>
    </cfRule>
    <cfRule type="containsText" dxfId="413" priority="86" operator="containsText" text="With Mgt">
      <formula>NOT(ISERROR(SEARCH("With Mgt",F47)))</formula>
    </cfRule>
    <cfRule type="containsText" dxfId="412" priority="87" operator="containsText" text="Writing">
      <formula>NOT(ISERROR(SEARCH("Writing",F47)))</formula>
    </cfRule>
    <cfRule type="containsText" dxfId="411" priority="88" operator="containsText" text="Pre-RSC">
      <formula>NOT(ISERROR(SEARCH("Pre-RSC",F47)))</formula>
    </cfRule>
  </conditionalFormatting>
  <conditionalFormatting sqref="Y51:AG51">
    <cfRule type="cellIs" dxfId="410" priority="78" operator="lessThan">
      <formula>0</formula>
    </cfRule>
  </conditionalFormatting>
  <conditionalFormatting sqref="H51">
    <cfRule type="cellIs" dxfId="409" priority="77" operator="lessThan">
      <formula>0</formula>
    </cfRule>
  </conditionalFormatting>
  <conditionalFormatting sqref="AH51:AI51">
    <cfRule type="expression" dxfId="408" priority="76">
      <formula>$AV$3</formula>
    </cfRule>
  </conditionalFormatting>
  <conditionalFormatting sqref="F51">
    <cfRule type="containsText" dxfId="407" priority="65" operator="containsText" text="With Product">
      <formula>NOT(ISERROR(SEARCH("With Product",F51)))</formula>
    </cfRule>
    <cfRule type="containsText" dxfId="406" priority="66" operator="containsText" text="Rejected">
      <formula>NOT(ISERROR(SEARCH("Rejected",F51)))</formula>
    </cfRule>
    <cfRule type="beginsWith" dxfId="405" priority="67" operator="beginsWith" text="Live">
      <formula>LEFT(F51,LEN("Live"))="Live"</formula>
    </cfRule>
    <cfRule type="containsText" dxfId="404" priority="68" operator="containsText" text="Delivered">
      <formula>NOT(ISERROR(SEARCH("Delivered",F51)))</formula>
    </cfRule>
    <cfRule type="containsText" dxfId="403" priority="69" operator="containsText" text="Ref Product">
      <formula>NOT(ISERROR(SEARCH("Ref Product",F51)))</formula>
    </cfRule>
    <cfRule type="containsText" dxfId="402" priority="70" operator="containsText" text="Approved">
      <formula>NOT(ISERROR(SEARCH("Approved",F51)))</formula>
    </cfRule>
    <cfRule type="containsText" dxfId="401" priority="71" operator="containsText" text="With Client">
      <formula>NOT(ISERROR(SEARCH("With Client",F51)))</formula>
    </cfRule>
    <cfRule type="containsText" dxfId="400" priority="72" operator="containsText" text="With Mgt">
      <formula>NOT(ISERROR(SEARCH("With Mgt",F51)))</formula>
    </cfRule>
    <cfRule type="containsText" dxfId="399" priority="73" operator="containsText" text="Writing">
      <formula>NOT(ISERROR(SEARCH("Writing",F51)))</formula>
    </cfRule>
    <cfRule type="containsText" dxfId="398" priority="74" operator="containsText" text="Pre-RSC">
      <formula>NOT(ISERROR(SEARCH("Pre-RSC",F51)))</formula>
    </cfRule>
  </conditionalFormatting>
  <conditionalFormatting sqref="Y48:AG48">
    <cfRule type="cellIs" dxfId="397" priority="64" operator="lessThan">
      <formula>0</formula>
    </cfRule>
  </conditionalFormatting>
  <conditionalFormatting sqref="H48">
    <cfRule type="cellIs" dxfId="396" priority="63" operator="lessThan">
      <formula>0</formula>
    </cfRule>
  </conditionalFormatting>
  <conditionalFormatting sqref="AH48:AI48">
    <cfRule type="expression" dxfId="395" priority="62">
      <formula>$AV$3</formula>
    </cfRule>
  </conditionalFormatting>
  <conditionalFormatting sqref="F48">
    <cfRule type="containsText" dxfId="394" priority="51" operator="containsText" text="With Product">
      <formula>NOT(ISERROR(SEARCH("With Product",F48)))</formula>
    </cfRule>
    <cfRule type="containsText" dxfId="393" priority="52" operator="containsText" text="Rejected">
      <formula>NOT(ISERROR(SEARCH("Rejected",F48)))</formula>
    </cfRule>
    <cfRule type="beginsWith" dxfId="392" priority="53" operator="beginsWith" text="Live">
      <formula>LEFT(F48,LEN("Live"))="Live"</formula>
    </cfRule>
    <cfRule type="containsText" dxfId="391" priority="54" operator="containsText" text="Delivered">
      <formula>NOT(ISERROR(SEARCH("Delivered",F48)))</formula>
    </cfRule>
    <cfRule type="containsText" dxfId="390" priority="55" operator="containsText" text="Ref Product">
      <formula>NOT(ISERROR(SEARCH("Ref Product",F48)))</formula>
    </cfRule>
    <cfRule type="containsText" dxfId="389" priority="56" operator="containsText" text="Approved">
      <formula>NOT(ISERROR(SEARCH("Approved",F48)))</formula>
    </cfRule>
    <cfRule type="containsText" dxfId="388" priority="57" operator="containsText" text="With Client">
      <formula>NOT(ISERROR(SEARCH("With Client",F48)))</formula>
    </cfRule>
    <cfRule type="containsText" dxfId="387" priority="58" operator="containsText" text="With Mgt">
      <formula>NOT(ISERROR(SEARCH("With Mgt",F48)))</formula>
    </cfRule>
    <cfRule type="containsText" dxfId="386" priority="59" operator="containsText" text="Writing">
      <formula>NOT(ISERROR(SEARCH("Writing",F48)))</formula>
    </cfRule>
    <cfRule type="containsText" dxfId="385" priority="60" operator="containsText" text="Pre-RSC">
      <formula>NOT(ISERROR(SEARCH("Pre-RSC",F48)))</formula>
    </cfRule>
  </conditionalFormatting>
  <conditionalFormatting sqref="Y49:AG50">
    <cfRule type="cellIs" dxfId="384" priority="50" operator="lessThan">
      <formula>0</formula>
    </cfRule>
  </conditionalFormatting>
  <conditionalFormatting sqref="H49:H50">
    <cfRule type="cellIs" dxfId="383" priority="49" operator="lessThan">
      <formula>0</formula>
    </cfRule>
  </conditionalFormatting>
  <conditionalFormatting sqref="AH49:AI50">
    <cfRule type="expression" dxfId="382" priority="48">
      <formula>$AV$3</formula>
    </cfRule>
  </conditionalFormatting>
  <conditionalFormatting sqref="F49:F50">
    <cfRule type="containsText" dxfId="381" priority="37" operator="containsText" text="With Product">
      <formula>NOT(ISERROR(SEARCH("With Product",F49)))</formula>
    </cfRule>
    <cfRule type="containsText" dxfId="380" priority="38" operator="containsText" text="Rejected">
      <formula>NOT(ISERROR(SEARCH("Rejected",F49)))</formula>
    </cfRule>
    <cfRule type="beginsWith" dxfId="379" priority="39" operator="beginsWith" text="Live">
      <formula>LEFT(F49,LEN("Live"))="Live"</formula>
    </cfRule>
    <cfRule type="containsText" dxfId="378" priority="40" operator="containsText" text="Delivered">
      <formula>NOT(ISERROR(SEARCH("Delivered",F49)))</formula>
    </cfRule>
    <cfRule type="containsText" dxfId="377" priority="41" operator="containsText" text="Ref Product">
      <formula>NOT(ISERROR(SEARCH("Ref Product",F49)))</formula>
    </cfRule>
    <cfRule type="containsText" dxfId="376" priority="42" operator="containsText" text="Approved">
      <formula>NOT(ISERROR(SEARCH("Approved",F49)))</formula>
    </cfRule>
    <cfRule type="containsText" dxfId="375" priority="43" operator="containsText" text="With Client">
      <formula>NOT(ISERROR(SEARCH("With Client",F49)))</formula>
    </cfRule>
    <cfRule type="containsText" dxfId="374" priority="44" operator="containsText" text="With Mgt">
      <formula>NOT(ISERROR(SEARCH("With Mgt",F49)))</formula>
    </cfRule>
    <cfRule type="containsText" dxfId="373" priority="45" operator="containsText" text="Writing">
      <formula>NOT(ISERROR(SEARCH("Writing",F49)))</formula>
    </cfRule>
    <cfRule type="containsText" dxfId="372" priority="46" operator="containsText" text="Pre-RSC">
      <formula>NOT(ISERROR(SEARCH("Pre-RSC",F49)))</formula>
    </cfRule>
  </conditionalFormatting>
  <conditionalFormatting sqref="F40">
    <cfRule type="containsText" dxfId="371" priority="27" operator="containsText" text="With Product">
      <formula>NOT(ISERROR(SEARCH("With Product",F40)))</formula>
    </cfRule>
    <cfRule type="containsText" dxfId="370" priority="28" operator="containsText" text="Rejected">
      <formula>NOT(ISERROR(SEARCH("Rejected",F40)))</formula>
    </cfRule>
    <cfRule type="beginsWith" dxfId="369" priority="29" operator="beginsWith" text="Live">
      <formula>LEFT(F40,LEN("Live"))="Live"</formula>
    </cfRule>
    <cfRule type="containsText" dxfId="368" priority="30" operator="containsText" text="Delivered">
      <formula>NOT(ISERROR(SEARCH("Delivered",F40)))</formula>
    </cfRule>
    <cfRule type="containsText" dxfId="367" priority="31" operator="containsText" text="Ref Product">
      <formula>NOT(ISERROR(SEARCH("Ref Product",F40)))</formula>
    </cfRule>
    <cfRule type="containsText" dxfId="366" priority="32" operator="containsText" text="Approved">
      <formula>NOT(ISERROR(SEARCH("Approved",F40)))</formula>
    </cfRule>
    <cfRule type="containsText" dxfId="365" priority="33" operator="containsText" text="With Client">
      <formula>NOT(ISERROR(SEARCH("With Client",F40)))</formula>
    </cfRule>
    <cfRule type="containsText" dxfId="364" priority="34" operator="containsText" text="With Mgt">
      <formula>NOT(ISERROR(SEARCH("With Mgt",F40)))</formula>
    </cfRule>
    <cfRule type="containsText" dxfId="363" priority="35" operator="containsText" text="Writing">
      <formula>NOT(ISERROR(SEARCH("Writing",F40)))</formula>
    </cfRule>
    <cfRule type="containsText" dxfId="362" priority="36" operator="containsText" text="Pre-RSC">
      <formula>NOT(ISERROR(SEARCH("Pre-RSC",F40)))</formula>
    </cfRule>
  </conditionalFormatting>
  <conditionalFormatting sqref="Y25:AG25">
    <cfRule type="cellIs" dxfId="361" priority="26" operator="lessThan">
      <formula>0</formula>
    </cfRule>
  </conditionalFormatting>
  <conditionalFormatting sqref="H25">
    <cfRule type="cellIs" dxfId="360" priority="25" operator="lessThan">
      <formula>0</formula>
    </cfRule>
  </conditionalFormatting>
  <conditionalFormatting sqref="AH25:AI25">
    <cfRule type="expression" dxfId="359" priority="24">
      <formula>$AV$3</formula>
    </cfRule>
  </conditionalFormatting>
  <conditionalFormatting sqref="F25">
    <cfRule type="containsText" dxfId="358" priority="13" operator="containsText" text="With Product">
      <formula>NOT(ISERROR(SEARCH("With Product",F25)))</formula>
    </cfRule>
    <cfRule type="containsText" dxfId="357" priority="14" operator="containsText" text="Rejected">
      <formula>NOT(ISERROR(SEARCH("Rejected",F25)))</formula>
    </cfRule>
    <cfRule type="beginsWith" dxfId="356" priority="15" operator="beginsWith" text="Live">
      <formula>LEFT(F25,LEN("Live"))="Live"</formula>
    </cfRule>
    <cfRule type="containsText" dxfId="355" priority="16" operator="containsText" text="Delivered">
      <formula>NOT(ISERROR(SEARCH("Delivered",F25)))</formula>
    </cfRule>
    <cfRule type="containsText" dxfId="354" priority="17" operator="containsText" text="Ref Product">
      <formula>NOT(ISERROR(SEARCH("Ref Product",F25)))</formula>
    </cfRule>
    <cfRule type="containsText" dxfId="353" priority="18" operator="containsText" text="Approved">
      <formula>NOT(ISERROR(SEARCH("Approved",F25)))</formula>
    </cfRule>
    <cfRule type="containsText" dxfId="352" priority="19" operator="containsText" text="With Client">
      <formula>NOT(ISERROR(SEARCH("With Client",F25)))</formula>
    </cfRule>
    <cfRule type="containsText" dxfId="351" priority="20" operator="containsText" text="With Mgt">
      <formula>NOT(ISERROR(SEARCH("With Mgt",F25)))</formula>
    </cfRule>
    <cfRule type="containsText" dxfId="350" priority="21" operator="containsText" text="Writing">
      <formula>NOT(ISERROR(SEARCH("Writing",F25)))</formula>
    </cfRule>
    <cfRule type="containsText" dxfId="349" priority="22" operator="containsText" text="Pre-RSC">
      <formula>NOT(ISERROR(SEARCH("Pre-RSC",F25)))</formula>
    </cfRule>
  </conditionalFormatting>
  <conditionalFormatting sqref="Y28:AG28">
    <cfRule type="cellIs" dxfId="348" priority="12" operator="lessThan">
      <formula>0</formula>
    </cfRule>
  </conditionalFormatting>
  <conditionalFormatting sqref="AH28:AI28">
    <cfRule type="expression" dxfId="347" priority="11">
      <formula>$AV$3</formula>
    </cfRule>
  </conditionalFormatting>
  <conditionalFormatting sqref="Y27:AG27">
    <cfRule type="cellIs" dxfId="346" priority="10" operator="lessThan">
      <formula>0</formula>
    </cfRule>
  </conditionalFormatting>
  <conditionalFormatting sqref="AH27:AI27">
    <cfRule type="expression" dxfId="345" priority="9">
      <formula>$AV$3</formula>
    </cfRule>
  </conditionalFormatting>
  <conditionalFormatting sqref="H195">
    <cfRule type="cellIs" dxfId="344" priority="8" operator="lessThan">
      <formula>0</formula>
    </cfRule>
  </conditionalFormatting>
  <conditionalFormatting sqref="H210">
    <cfRule type="cellIs" dxfId="343" priority="6" operator="lessThan">
      <formula>0</formula>
    </cfRule>
  </conditionalFormatting>
  <conditionalFormatting sqref="H211">
    <cfRule type="cellIs" dxfId="342" priority="4" operator="lessThan">
      <formula>0</formula>
    </cfRule>
  </conditionalFormatting>
  <conditionalFormatting sqref="Z40:AG40">
    <cfRule type="cellIs" dxfId="341" priority="2" operator="lessThan">
      <formula>0</formula>
    </cfRule>
  </conditionalFormatting>
  <conditionalFormatting sqref="AH40:AI40">
    <cfRule type="expression" dxfId="340" priority="1">
      <formula>$AV$3</formula>
    </cfRule>
  </conditionalFormatting>
  <dataValidations count="2">
    <dataValidation showDropDown="1" showInputMessage="1" showErrorMessage="1" sqref="C214:C1048576 C1:C212 B1:B1048576" xr:uid="{9A1EEE3B-AB8E-4F86-AB0A-354CAF65557E}"/>
    <dataValidation type="date" operator="greaterThanOrEqual" allowBlank="1" showInputMessage="1" showErrorMessage="1" sqref="L38:L52" xr:uid="{4E07E791-E654-4DE3-81B8-497277C72F38}">
      <formula1>29221</formula1>
    </dataValidation>
  </dataValidations>
  <hyperlinks>
    <hyperlink ref="X87" r:id="rId1" xr:uid="{3100E274-B910-45C1-830B-227662A2F8ED}"/>
  </hyperlinks>
  <pageMargins left="0.7" right="0.7" top="0.75" bottom="0.75" header="0.3" footer="0.3"/>
  <pageSetup paperSize="9" scale="10" orientation="portrait" verticalDpi="300"/>
  <rowBreaks count="1" manualBreakCount="1">
    <brk id="33" max="16383" man="1"/>
  </rowBreaks>
  <extLst>
    <ext xmlns:x14="http://schemas.microsoft.com/office/spreadsheetml/2009/9/main" uri="{78C0D931-6437-407d-A8EE-F0AAD7539E65}">
      <x14:conditionalFormattings>
        <x14:conditionalFormatting xmlns:xm="http://schemas.microsoft.com/office/excel/2006/main">
          <x14:cfRule type="iconSet" priority="361" id="{BFFB83F4-6990-45FE-87AD-EC9B7ACC6512}">
            <x14:iconSet custom="1">
              <x14:cfvo type="percent">
                <xm:f>0</xm:f>
              </x14:cfvo>
              <x14:cfvo type="num">
                <xm:f>0</xm:f>
              </x14:cfvo>
              <x14:cfvo type="num">
                <xm:f>20000</xm:f>
              </x14:cfvo>
              <x14:cfIcon iconSet="NoIcons" iconId="0"/>
              <x14:cfIcon iconSet="3Flags" iconId="2"/>
              <x14:cfIcon iconSet="3Flags" iconId="1"/>
            </x14:iconSet>
          </x14:cfRule>
          <xm:sqref>H131:H144 H3:H24 H93:H128 H146 H148:H149 H52:H90 H26:H40 H153:H194 H196:H209 H212:H1048576</xm:sqref>
        </x14:conditionalFormatting>
        <x14:conditionalFormatting xmlns:xm="http://schemas.microsoft.com/office/excel/2006/main">
          <x14:cfRule type="iconSet" priority="345" id="{72BAEBD3-DBBA-48EF-89CF-A17D377F4028}">
            <x14:iconSet custom="1">
              <x14:cfvo type="percent">
                <xm:f>0</xm:f>
              </x14:cfvo>
              <x14:cfvo type="num">
                <xm:f>0</xm:f>
              </x14:cfvo>
              <x14:cfvo type="num">
                <xm:f>20000</xm:f>
              </x14:cfvo>
              <x14:cfIcon iconSet="NoIcons" iconId="0"/>
              <x14:cfIcon iconSet="3Flags" iconId="2"/>
              <x14:cfIcon iconSet="3Flags" iconId="1"/>
            </x14:iconSet>
          </x14:cfRule>
          <xm:sqref>H91</xm:sqref>
        </x14:conditionalFormatting>
        <x14:conditionalFormatting xmlns:xm="http://schemas.microsoft.com/office/excel/2006/main">
          <x14:cfRule type="iconSet" priority="331" id="{F42A51A4-4DBD-4701-AE3A-1358A1546A8E}">
            <x14:iconSet custom="1">
              <x14:cfvo type="percent">
                <xm:f>0</xm:f>
              </x14:cfvo>
              <x14:cfvo type="num">
                <xm:f>0</xm:f>
              </x14:cfvo>
              <x14:cfvo type="num">
                <xm:f>20000</xm:f>
              </x14:cfvo>
              <x14:cfIcon iconSet="NoIcons" iconId="0"/>
              <x14:cfIcon iconSet="3Flags" iconId="2"/>
              <x14:cfIcon iconSet="3Flags" iconId="1"/>
            </x14:iconSet>
          </x14:cfRule>
          <xm:sqref>H92</xm:sqref>
        </x14:conditionalFormatting>
        <x14:conditionalFormatting xmlns:xm="http://schemas.microsoft.com/office/excel/2006/main">
          <x14:cfRule type="iconSet" priority="287" id="{4A556D34-95FA-41D9-A5EF-7044D21EFE77}">
            <x14:iconSet custom="1">
              <x14:cfvo type="percent">
                <xm:f>0</xm:f>
              </x14:cfvo>
              <x14:cfvo type="num">
                <xm:f>0</xm:f>
              </x14:cfvo>
              <x14:cfvo type="num">
                <xm:f>20000</xm:f>
              </x14:cfvo>
              <x14:cfIcon iconSet="NoIcons" iconId="0"/>
              <x14:cfIcon iconSet="3Flags" iconId="2"/>
              <x14:cfIcon iconSet="3Flags" iconId="1"/>
            </x14:iconSet>
          </x14:cfRule>
          <xm:sqref>H129</xm:sqref>
        </x14:conditionalFormatting>
        <x14:conditionalFormatting xmlns:xm="http://schemas.microsoft.com/office/excel/2006/main">
          <x14:cfRule type="iconSet" priority="273" id="{306F98A5-4968-4AD5-B406-BB3989CB0F99}">
            <x14:iconSet custom="1">
              <x14:cfvo type="percent">
                <xm:f>0</xm:f>
              </x14:cfvo>
              <x14:cfvo type="num">
                <xm:f>0</xm:f>
              </x14:cfvo>
              <x14:cfvo type="num">
                <xm:f>20000</xm:f>
              </x14:cfvo>
              <x14:cfIcon iconSet="NoIcons" iconId="0"/>
              <x14:cfIcon iconSet="3Flags" iconId="2"/>
              <x14:cfIcon iconSet="3Flags" iconId="1"/>
            </x14:iconSet>
          </x14:cfRule>
          <xm:sqref>H130</xm:sqref>
        </x14:conditionalFormatting>
        <x14:conditionalFormatting xmlns:xm="http://schemas.microsoft.com/office/excel/2006/main">
          <x14:cfRule type="iconSet" priority="259" id="{A90E4F97-645D-47C4-8C27-ED045222FF73}">
            <x14:iconSet custom="1">
              <x14:cfvo type="percent">
                <xm:f>0</xm:f>
              </x14:cfvo>
              <x14:cfvo type="num">
                <xm:f>0</xm:f>
              </x14:cfvo>
              <x14:cfvo type="num">
                <xm:f>20000</xm:f>
              </x14:cfvo>
              <x14:cfIcon iconSet="NoIcons" iconId="0"/>
              <x14:cfIcon iconSet="3Flags" iconId="2"/>
              <x14:cfIcon iconSet="3Flags" iconId="1"/>
            </x14:iconSet>
          </x14:cfRule>
          <xm:sqref>H145</xm:sqref>
        </x14:conditionalFormatting>
        <x14:conditionalFormatting xmlns:xm="http://schemas.microsoft.com/office/excel/2006/main">
          <x14:cfRule type="iconSet" priority="235" id="{4E48CAA3-9B68-4718-A075-BAF8B46A531D}">
            <x14:iconSet custom="1">
              <x14:cfvo type="percent">
                <xm:f>0</xm:f>
              </x14:cfvo>
              <x14:cfvo type="num">
                <xm:f>0</xm:f>
              </x14:cfvo>
              <x14:cfvo type="num">
                <xm:f>20000</xm:f>
              </x14:cfvo>
              <x14:cfIcon iconSet="NoIcons" iconId="0"/>
              <x14:cfIcon iconSet="3Flags" iconId="2"/>
              <x14:cfIcon iconSet="3Flags" iconId="1"/>
            </x14:iconSet>
          </x14:cfRule>
          <xm:sqref>H150</xm:sqref>
        </x14:conditionalFormatting>
        <x14:conditionalFormatting xmlns:xm="http://schemas.microsoft.com/office/excel/2006/main">
          <x14:cfRule type="iconSet" priority="221" id="{123B1146-66B2-4721-8C60-C11017A1747A}">
            <x14:iconSet custom="1">
              <x14:cfvo type="percent">
                <xm:f>0</xm:f>
              </x14:cfvo>
              <x14:cfvo type="num">
                <xm:f>0</xm:f>
              </x14:cfvo>
              <x14:cfvo type="num">
                <xm:f>20000</xm:f>
              </x14:cfvo>
              <x14:cfIcon iconSet="NoIcons" iconId="0"/>
              <x14:cfIcon iconSet="3Flags" iconId="2"/>
              <x14:cfIcon iconSet="3Flags" iconId="1"/>
            </x14:iconSet>
          </x14:cfRule>
          <xm:sqref>H151</xm:sqref>
        </x14:conditionalFormatting>
        <x14:conditionalFormatting xmlns:xm="http://schemas.microsoft.com/office/excel/2006/main">
          <x14:cfRule type="iconSet" priority="207" id="{8BD89343-D227-4296-8AD6-A41BF6EB1920}">
            <x14:iconSet custom="1">
              <x14:cfvo type="percent">
                <xm:f>0</xm:f>
              </x14:cfvo>
              <x14:cfvo type="num">
                <xm:f>0</xm:f>
              </x14:cfvo>
              <x14:cfvo type="num">
                <xm:f>20000</xm:f>
              </x14:cfvo>
              <x14:cfIcon iconSet="NoIcons" iconId="0"/>
              <x14:cfIcon iconSet="3Flags" iconId="2"/>
              <x14:cfIcon iconSet="3Flags" iconId="1"/>
            </x14:iconSet>
          </x14:cfRule>
          <xm:sqref>H152</xm:sqref>
        </x14:conditionalFormatting>
        <x14:conditionalFormatting xmlns:xm="http://schemas.microsoft.com/office/excel/2006/main">
          <x14:cfRule type="iconSet" priority="193" id="{935B010C-C2DB-4BC7-B6CA-C4237A449555}">
            <x14:iconSet custom="1">
              <x14:cfvo type="percent">
                <xm:f>0</xm:f>
              </x14:cfvo>
              <x14:cfvo type="num">
                <xm:f>0</xm:f>
              </x14:cfvo>
              <x14:cfvo type="num">
                <xm:f>20000</xm:f>
              </x14:cfvo>
              <x14:cfIcon iconSet="NoIcons" iconId="0"/>
              <x14:cfIcon iconSet="3Flags" iconId="2"/>
              <x14:cfIcon iconSet="3Flags" iconId="1"/>
            </x14:iconSet>
          </x14:cfRule>
          <xm:sqref>H147</xm:sqref>
        </x14:conditionalFormatting>
        <x14:conditionalFormatting xmlns:xm="http://schemas.microsoft.com/office/excel/2006/main">
          <x14:cfRule type="iconSet" priority="173" id="{0FD047D7-91F8-4129-BF59-2771B37318A4}">
            <x14:iconSet custom="1">
              <x14:cfvo type="percent">
                <xm:f>0</xm:f>
              </x14:cfvo>
              <x14:cfvo type="num">
                <xm:f>0</xm:f>
              </x14:cfvo>
              <x14:cfvo type="num">
                <xm:f>20000</xm:f>
              </x14:cfvo>
              <x14:cfIcon iconSet="NoIcons" iconId="0"/>
              <x14:cfIcon iconSet="3Flags" iconId="2"/>
              <x14:cfIcon iconSet="3Flags" iconId="1"/>
            </x14:iconSet>
          </x14:cfRule>
          <xm:sqref>H41</xm:sqref>
        </x14:conditionalFormatting>
        <x14:conditionalFormatting xmlns:xm="http://schemas.microsoft.com/office/excel/2006/main">
          <x14:cfRule type="iconSet" priority="159" id="{0DF6A5B2-9146-4DC5-B267-59EE9A2BC75D}">
            <x14:iconSet custom="1">
              <x14:cfvo type="percent">
                <xm:f>0</xm:f>
              </x14:cfvo>
              <x14:cfvo type="num">
                <xm:f>0</xm:f>
              </x14:cfvo>
              <x14:cfvo type="num">
                <xm:f>20000</xm:f>
              </x14:cfvo>
              <x14:cfIcon iconSet="NoIcons" iconId="0"/>
              <x14:cfIcon iconSet="3Flags" iconId="2"/>
              <x14:cfIcon iconSet="3Flags" iconId="1"/>
            </x14:iconSet>
          </x14:cfRule>
          <xm:sqref>H42</xm:sqref>
        </x14:conditionalFormatting>
        <x14:conditionalFormatting xmlns:xm="http://schemas.microsoft.com/office/excel/2006/main">
          <x14:cfRule type="iconSet" priority="145" id="{8D34A68C-B716-4CF3-8362-4E3D04BFB4E6}">
            <x14:iconSet custom="1">
              <x14:cfvo type="percent">
                <xm:f>0</xm:f>
              </x14:cfvo>
              <x14:cfvo type="num">
                <xm:f>0</xm:f>
              </x14:cfvo>
              <x14:cfvo type="num">
                <xm:f>20000</xm:f>
              </x14:cfvo>
              <x14:cfIcon iconSet="NoIcons" iconId="0"/>
              <x14:cfIcon iconSet="3Flags" iconId="2"/>
              <x14:cfIcon iconSet="3Flags" iconId="1"/>
            </x14:iconSet>
          </x14:cfRule>
          <xm:sqref>H43</xm:sqref>
        </x14:conditionalFormatting>
        <x14:conditionalFormatting xmlns:xm="http://schemas.microsoft.com/office/excel/2006/main">
          <x14:cfRule type="iconSet" priority="131" id="{D5327FD7-CD0A-4756-9861-885C1B875397}">
            <x14:iconSet custom="1">
              <x14:cfvo type="percent">
                <xm:f>0</xm:f>
              </x14:cfvo>
              <x14:cfvo type="num">
                <xm:f>0</xm:f>
              </x14:cfvo>
              <x14:cfvo type="num">
                <xm:f>20000</xm:f>
              </x14:cfvo>
              <x14:cfIcon iconSet="NoIcons" iconId="0"/>
              <x14:cfIcon iconSet="3Flags" iconId="2"/>
              <x14:cfIcon iconSet="3Flags" iconId="1"/>
            </x14:iconSet>
          </x14:cfRule>
          <xm:sqref>H44</xm:sqref>
        </x14:conditionalFormatting>
        <x14:conditionalFormatting xmlns:xm="http://schemas.microsoft.com/office/excel/2006/main">
          <x14:cfRule type="iconSet" priority="117" id="{445D15E6-FF99-4285-9D9F-30D3E3CCD4E5}">
            <x14:iconSet custom="1">
              <x14:cfvo type="percent">
                <xm:f>0</xm:f>
              </x14:cfvo>
              <x14:cfvo type="num">
                <xm:f>0</xm:f>
              </x14:cfvo>
              <x14:cfvo type="num">
                <xm:f>20000</xm:f>
              </x14:cfvo>
              <x14:cfIcon iconSet="NoIcons" iconId="0"/>
              <x14:cfIcon iconSet="3Flags" iconId="2"/>
              <x14:cfIcon iconSet="3Flags" iconId="1"/>
            </x14:iconSet>
          </x14:cfRule>
          <xm:sqref>H45</xm:sqref>
        </x14:conditionalFormatting>
        <x14:conditionalFormatting xmlns:xm="http://schemas.microsoft.com/office/excel/2006/main">
          <x14:cfRule type="iconSet" priority="103" id="{967DE1A7-DDB9-4E4D-83D1-68B55A608AB0}">
            <x14:iconSet custom="1">
              <x14:cfvo type="percent">
                <xm:f>0</xm:f>
              </x14:cfvo>
              <x14:cfvo type="num">
                <xm:f>0</xm:f>
              </x14:cfvo>
              <x14:cfvo type="num">
                <xm:f>20000</xm:f>
              </x14:cfvo>
              <x14:cfIcon iconSet="NoIcons" iconId="0"/>
              <x14:cfIcon iconSet="3Flags" iconId="2"/>
              <x14:cfIcon iconSet="3Flags" iconId="1"/>
            </x14:iconSet>
          </x14:cfRule>
          <xm:sqref>H46</xm:sqref>
        </x14:conditionalFormatting>
        <x14:conditionalFormatting xmlns:xm="http://schemas.microsoft.com/office/excel/2006/main">
          <x14:cfRule type="iconSet" priority="89" id="{4337BBA5-112A-4D63-B965-5D077570C31A}">
            <x14:iconSet custom="1">
              <x14:cfvo type="percent">
                <xm:f>0</xm:f>
              </x14:cfvo>
              <x14:cfvo type="num">
                <xm:f>0</xm:f>
              </x14:cfvo>
              <x14:cfvo type="num">
                <xm:f>20000</xm:f>
              </x14:cfvo>
              <x14:cfIcon iconSet="NoIcons" iconId="0"/>
              <x14:cfIcon iconSet="3Flags" iconId="2"/>
              <x14:cfIcon iconSet="3Flags" iconId="1"/>
            </x14:iconSet>
          </x14:cfRule>
          <xm:sqref>H47</xm:sqref>
        </x14:conditionalFormatting>
        <x14:conditionalFormatting xmlns:xm="http://schemas.microsoft.com/office/excel/2006/main">
          <x14:cfRule type="iconSet" priority="75" id="{396729E2-07DE-4E59-A3E7-44D124AE5D96}">
            <x14:iconSet custom="1">
              <x14:cfvo type="percent">
                <xm:f>0</xm:f>
              </x14:cfvo>
              <x14:cfvo type="num">
                <xm:f>0</xm:f>
              </x14:cfvo>
              <x14:cfvo type="num">
                <xm:f>20000</xm:f>
              </x14:cfvo>
              <x14:cfIcon iconSet="NoIcons" iconId="0"/>
              <x14:cfIcon iconSet="3Flags" iconId="2"/>
              <x14:cfIcon iconSet="3Flags" iconId="1"/>
            </x14:iconSet>
          </x14:cfRule>
          <xm:sqref>H51</xm:sqref>
        </x14:conditionalFormatting>
        <x14:conditionalFormatting xmlns:xm="http://schemas.microsoft.com/office/excel/2006/main">
          <x14:cfRule type="iconSet" priority="61" id="{AA72F243-C1C9-434B-B951-1593C4D1B6DD}">
            <x14:iconSet custom="1">
              <x14:cfvo type="percent">
                <xm:f>0</xm:f>
              </x14:cfvo>
              <x14:cfvo type="num">
                <xm:f>0</xm:f>
              </x14:cfvo>
              <x14:cfvo type="num">
                <xm:f>20000</xm:f>
              </x14:cfvo>
              <x14:cfIcon iconSet="NoIcons" iconId="0"/>
              <x14:cfIcon iconSet="3Flags" iconId="2"/>
              <x14:cfIcon iconSet="3Flags" iconId="1"/>
            </x14:iconSet>
          </x14:cfRule>
          <xm:sqref>H48</xm:sqref>
        </x14:conditionalFormatting>
        <x14:conditionalFormatting xmlns:xm="http://schemas.microsoft.com/office/excel/2006/main">
          <x14:cfRule type="iconSet" priority="47" id="{722EDA57-F2CD-40A1-811F-3AD3B975B4CA}">
            <x14:iconSet custom="1">
              <x14:cfvo type="percent">
                <xm:f>0</xm:f>
              </x14:cfvo>
              <x14:cfvo type="num">
                <xm:f>0</xm:f>
              </x14:cfvo>
              <x14:cfvo type="num">
                <xm:f>20000</xm:f>
              </x14:cfvo>
              <x14:cfIcon iconSet="NoIcons" iconId="0"/>
              <x14:cfIcon iconSet="3Flags" iconId="2"/>
              <x14:cfIcon iconSet="3Flags" iconId="1"/>
            </x14:iconSet>
          </x14:cfRule>
          <xm:sqref>H49:H50</xm:sqref>
        </x14:conditionalFormatting>
        <x14:conditionalFormatting xmlns:xm="http://schemas.microsoft.com/office/excel/2006/main">
          <x14:cfRule type="iconSet" priority="23" id="{4B42A234-DFB6-4438-9EAD-F72431C48084}">
            <x14:iconSet custom="1">
              <x14:cfvo type="percent">
                <xm:f>0</xm:f>
              </x14:cfvo>
              <x14:cfvo type="num">
                <xm:f>0</xm:f>
              </x14:cfvo>
              <x14:cfvo type="num">
                <xm:f>20000</xm:f>
              </x14:cfvo>
              <x14:cfIcon iconSet="NoIcons" iconId="0"/>
              <x14:cfIcon iconSet="3Flags" iconId="2"/>
              <x14:cfIcon iconSet="3Flags" iconId="1"/>
            </x14:iconSet>
          </x14:cfRule>
          <xm:sqref>H25</xm:sqref>
        </x14:conditionalFormatting>
        <x14:conditionalFormatting xmlns:xm="http://schemas.microsoft.com/office/excel/2006/main">
          <x14:cfRule type="iconSet" priority="7" id="{0ACFD515-BABB-4427-AD06-29FDC4FC86BB}">
            <x14:iconSet custom="1">
              <x14:cfvo type="percent">
                <xm:f>0</xm:f>
              </x14:cfvo>
              <x14:cfvo type="num">
                <xm:f>0</xm:f>
              </x14:cfvo>
              <x14:cfvo type="num">
                <xm:f>20000</xm:f>
              </x14:cfvo>
              <x14:cfIcon iconSet="NoIcons" iconId="0"/>
              <x14:cfIcon iconSet="3Flags" iconId="2"/>
              <x14:cfIcon iconSet="3Flags" iconId="1"/>
            </x14:iconSet>
          </x14:cfRule>
          <xm:sqref>H195</xm:sqref>
        </x14:conditionalFormatting>
        <x14:conditionalFormatting xmlns:xm="http://schemas.microsoft.com/office/excel/2006/main">
          <x14:cfRule type="iconSet" priority="5" id="{27E70FA9-7C92-4715-93B8-2AAFED5D2224}">
            <x14:iconSet custom="1">
              <x14:cfvo type="percent">
                <xm:f>0</xm:f>
              </x14:cfvo>
              <x14:cfvo type="num">
                <xm:f>0</xm:f>
              </x14:cfvo>
              <x14:cfvo type="num">
                <xm:f>20000</xm:f>
              </x14:cfvo>
              <x14:cfIcon iconSet="NoIcons" iconId="0"/>
              <x14:cfIcon iconSet="3Flags" iconId="2"/>
              <x14:cfIcon iconSet="3Flags" iconId="1"/>
            </x14:iconSet>
          </x14:cfRule>
          <xm:sqref>H210</xm:sqref>
        </x14:conditionalFormatting>
        <x14:conditionalFormatting xmlns:xm="http://schemas.microsoft.com/office/excel/2006/main">
          <x14:cfRule type="iconSet" priority="3" id="{F89F26C8-5CDD-4963-8322-3B886FE77FBD}">
            <x14:iconSet custom="1">
              <x14:cfvo type="percent">
                <xm:f>0</xm:f>
              </x14:cfvo>
              <x14:cfvo type="num">
                <xm:f>0</xm:f>
              </x14:cfvo>
              <x14:cfvo type="num">
                <xm:f>20000</xm:f>
              </x14:cfvo>
              <x14:cfIcon iconSet="NoIcons" iconId="0"/>
              <x14:cfIcon iconSet="3Flags" iconId="2"/>
              <x14:cfIcon iconSet="3Flags" iconId="1"/>
            </x14:iconSet>
          </x14:cfRule>
          <xm:sqref>H211</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AA2A4BA7-8AD2-4B1C-A8E0-944E7F233D0D}">
          <x14:formula1>
            <xm:f>WORKFLOW!$J$2:$J$12</xm:f>
          </x14:formula1>
          <xm:sqref>S2:S1048576</xm:sqref>
        </x14:dataValidation>
        <x14:dataValidation type="list" allowBlank="1" showInputMessage="1" showErrorMessage="1" xr:uid="{62BE6DBA-BD85-4692-A673-7E763C47B617}">
          <x14:formula1>
            <xm:f>WORKFLOW!$H$26:$H$42</xm:f>
          </x14:formula1>
          <xm:sqref>G67:G69 G71 G74:G78 G82 G84 G116:G118 G87:G114 G124:G125 G127:G132 G134 G136:G153 G1:G5 G161:G1048576 G7:G64</xm:sqref>
        </x14:dataValidation>
        <x14:dataValidation type="list" allowBlank="1" showInputMessage="1" showErrorMessage="1" xr:uid="{846FE0A5-D70F-46AA-A6E0-BD6BDAD13068}">
          <x14:formula1>
            <xm:f>CUSTOMERS!$O$2:$O$17</xm:f>
          </x14:formula1>
          <xm:sqref>Q3:Q310</xm:sqref>
        </x14:dataValidation>
        <x14:dataValidation type="list" allowBlank="1" showInputMessage="1" showErrorMessage="1" xr:uid="{0B966D4B-EAE6-408C-AEDB-754ED377063B}">
          <x14:formula1>
            <xm:f>CUSTOMERS!$A$2:$A$51</xm:f>
          </x14:formula1>
          <xm:sqref>A3:A1048576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pageSetUpPr fitToPage="1"/>
  </sheetPr>
  <dimension ref="A1:AX474"/>
  <sheetViews>
    <sheetView showGridLines="0" zoomScale="50" zoomScaleNormal="50" workbookViewId="0">
      <pane xSplit="8" ySplit="2" topLeftCell="I143" activePane="bottomRight" state="frozen"/>
      <selection pane="topRight" activeCell="F1" sqref="F1"/>
      <selection pane="bottomLeft" activeCell="A3" sqref="A3"/>
      <selection pane="bottomRight" activeCell="X165" sqref="X165"/>
    </sheetView>
  </sheetViews>
  <sheetFormatPr defaultColWidth="8.625" defaultRowHeight="22.5" thickTop="1" thickBottom="1" outlineLevelCol="1"/>
  <cols>
    <col min="1" max="1" width="26.125" style="189" bestFit="1" customWidth="1"/>
    <col min="2" max="2" width="13.125" style="127" bestFit="1" customWidth="1"/>
    <col min="3" max="3" width="8.625" style="127" hidden="1" customWidth="1"/>
    <col min="4" max="4" width="18.5" style="128" bestFit="1" customWidth="1"/>
    <col min="5" max="5" width="18.5" style="128" customWidth="1"/>
    <col min="6" max="6" width="29.625" style="129" hidden="1" customWidth="1"/>
    <col min="7" max="7" width="15.5" style="130" bestFit="1" customWidth="1"/>
    <col min="8" max="8" width="53.5" style="206" customWidth="1"/>
    <col min="9" max="9" width="17.625" style="241" bestFit="1" customWidth="1"/>
    <col min="10" max="10" width="16.5" style="82" bestFit="1" customWidth="1"/>
    <col min="11" max="11" width="15.125" style="165" bestFit="1" customWidth="1"/>
    <col min="12" max="12" width="16" style="166" bestFit="1" customWidth="1"/>
    <col min="13" max="13" width="15.5" style="167" bestFit="1" customWidth="1"/>
    <col min="14" max="15" width="17.5" style="168" bestFit="1" customWidth="1"/>
    <col min="16" max="16" width="20.5" style="169" customWidth="1"/>
    <col min="17" max="17" width="15.125" style="203" bestFit="1" customWidth="1"/>
    <col min="18" max="18" width="13.625" style="205" bestFit="1" customWidth="1"/>
    <col min="19" max="19" width="12.625" style="205" customWidth="1"/>
    <col min="20" max="20" width="14.625" style="205" bestFit="1" customWidth="1"/>
    <col min="21" max="21" width="13.5" style="205" bestFit="1" customWidth="1"/>
    <col min="22" max="22" width="14.625" style="205" bestFit="1" customWidth="1"/>
    <col min="23" max="23" width="100.625" style="205" bestFit="1" customWidth="1"/>
    <col min="24" max="24" width="255.625" style="170" bestFit="1" customWidth="1"/>
    <col min="25" max="25" width="17.625" style="174" bestFit="1" customWidth="1"/>
    <col min="26" max="26" width="17.625" style="90" bestFit="1" customWidth="1" outlineLevel="1"/>
    <col min="27" max="27" width="22.125" style="90" bestFit="1" customWidth="1" outlineLevel="1"/>
    <col min="28" max="29" width="17.625" style="90" bestFit="1" customWidth="1" outlineLevel="1"/>
    <col min="30" max="30" width="17.625" style="90" customWidth="1" outlineLevel="1"/>
    <col min="31" max="31" width="17.625" style="90" bestFit="1" customWidth="1" outlineLevel="1"/>
    <col min="32" max="32" width="19.375" style="192" bestFit="1" customWidth="1" outlineLevel="1"/>
    <col min="33" max="33" width="17.625" style="192" bestFit="1" customWidth="1" outlineLevel="1"/>
    <col min="34" max="34" width="13.5" style="91" bestFit="1" customWidth="1" outlineLevel="1" collapsed="1"/>
    <col min="35" max="35" width="13.625" style="92" bestFit="1" customWidth="1" outlineLevel="1"/>
    <col min="36" max="36" width="16.5" style="93" bestFit="1" customWidth="1" outlineLevel="1"/>
    <col min="37" max="37" width="16.5" style="100" bestFit="1" customWidth="1" outlineLevel="1"/>
    <col min="38" max="41" width="16.5" style="101" bestFit="1" customWidth="1" outlineLevel="1"/>
    <col min="42" max="42" width="13.5" style="104" bestFit="1" customWidth="1" outlineLevel="1"/>
    <col min="43" max="43" width="12.375" style="105" bestFit="1" customWidth="1" outlineLevel="1"/>
    <col min="44" max="44" width="22.125" style="77" bestFit="1" customWidth="1"/>
    <col min="45" max="45" width="19.625" style="78" bestFit="1" customWidth="1"/>
    <col min="46" max="46" width="17.625" style="76" bestFit="1" customWidth="1"/>
    <col min="47" max="47" width="19.625" style="79" bestFit="1" customWidth="1"/>
    <col min="48" max="48" width="24.625" style="70" bestFit="1" customWidth="1"/>
    <col min="49" max="49" width="186.625" style="70" bestFit="1" customWidth="1"/>
    <col min="50" max="50" width="152.125" style="70" bestFit="1" customWidth="1"/>
    <col min="51" max="16384" width="8.625" style="70"/>
  </cols>
  <sheetData>
    <row r="1" spans="1:50" s="106" customFormat="1" ht="40.5" customHeight="1">
      <c r="A1" s="310" t="s">
        <v>92</v>
      </c>
      <c r="B1" s="311"/>
      <c r="C1" s="311"/>
      <c r="D1" s="311"/>
      <c r="E1" s="311"/>
      <c r="F1" s="311"/>
      <c r="G1" s="311"/>
      <c r="H1" s="311"/>
      <c r="I1" s="311"/>
      <c r="J1" s="312"/>
      <c r="K1" s="313"/>
      <c r="L1" s="131"/>
      <c r="M1" s="132" t="s">
        <v>310</v>
      </c>
      <c r="N1" s="133" t="s">
        <v>377</v>
      </c>
      <c r="O1" s="134" t="s">
        <v>378</v>
      </c>
      <c r="P1" s="193" t="s">
        <v>379</v>
      </c>
      <c r="Q1" s="314" t="s">
        <v>380</v>
      </c>
      <c r="R1" s="314"/>
      <c r="S1" s="314"/>
      <c r="T1" s="314"/>
      <c r="U1" s="314"/>
      <c r="V1" s="314"/>
      <c r="W1" s="314"/>
      <c r="X1" s="135"/>
      <c r="Y1" s="315" t="s">
        <v>381</v>
      </c>
      <c r="Z1" s="316"/>
      <c r="AA1" s="316"/>
      <c r="AB1" s="316"/>
      <c r="AC1" s="316"/>
      <c r="AD1" s="316"/>
      <c r="AE1" s="316"/>
      <c r="AF1" s="317"/>
      <c r="AG1" s="318"/>
      <c r="AH1" s="319" t="s">
        <v>382</v>
      </c>
      <c r="AI1" s="320"/>
      <c r="AJ1" s="321"/>
      <c r="AK1" s="322" t="s">
        <v>347</v>
      </c>
      <c r="AL1" s="323"/>
      <c r="AM1" s="323"/>
      <c r="AN1" s="323"/>
      <c r="AO1" s="323"/>
      <c r="AP1" s="323"/>
      <c r="AQ1" s="324"/>
      <c r="AR1" s="309" t="s">
        <v>383</v>
      </c>
      <c r="AS1" s="309"/>
      <c r="AT1" s="309"/>
      <c r="AU1" s="309"/>
      <c r="AV1" s="309"/>
    </row>
    <row r="2" spans="1:50" s="114" customFormat="1" ht="37.5" customHeight="1" thickBot="1">
      <c r="A2" s="187" t="s">
        <v>20</v>
      </c>
      <c r="B2" s="118" t="s">
        <v>384</v>
      </c>
      <c r="C2" s="118"/>
      <c r="D2" s="119" t="s">
        <v>385</v>
      </c>
      <c r="E2" s="119" t="s">
        <v>386</v>
      </c>
      <c r="F2" s="119" t="s">
        <v>21</v>
      </c>
      <c r="G2" s="119" t="s">
        <v>22</v>
      </c>
      <c r="H2" s="119" t="s">
        <v>23</v>
      </c>
      <c r="I2" s="238" t="s">
        <v>96</v>
      </c>
      <c r="J2" s="171" t="s">
        <v>24</v>
      </c>
      <c r="K2" s="136" t="s">
        <v>98</v>
      </c>
      <c r="L2" s="136" t="s">
        <v>97</v>
      </c>
      <c r="M2" s="137" t="s">
        <v>387</v>
      </c>
      <c r="N2" s="138" t="s">
        <v>116</v>
      </c>
      <c r="O2" s="139" t="s">
        <v>116</v>
      </c>
      <c r="P2" s="140" t="s">
        <v>388</v>
      </c>
      <c r="Q2" s="198" t="s">
        <v>25</v>
      </c>
      <c r="R2" s="198" t="s">
        <v>26</v>
      </c>
      <c r="S2" s="198" t="s">
        <v>278</v>
      </c>
      <c r="T2" s="198" t="s">
        <v>389</v>
      </c>
      <c r="U2" s="198" t="s">
        <v>390</v>
      </c>
      <c r="V2" s="198" t="s">
        <v>391</v>
      </c>
      <c r="W2" s="198" t="s">
        <v>392</v>
      </c>
      <c r="X2" s="135" t="s">
        <v>393</v>
      </c>
      <c r="Y2" s="172" t="s">
        <v>394</v>
      </c>
      <c r="Z2" s="115" t="s">
        <v>296</v>
      </c>
      <c r="AA2" s="115" t="s">
        <v>348</v>
      </c>
      <c r="AB2" s="115" t="s">
        <v>349</v>
      </c>
      <c r="AC2" s="115" t="s">
        <v>350</v>
      </c>
      <c r="AD2" s="115" t="s">
        <v>395</v>
      </c>
      <c r="AE2" s="115" t="s">
        <v>351</v>
      </c>
      <c r="AF2" s="172" t="s">
        <v>376</v>
      </c>
      <c r="AG2" s="172" t="s">
        <v>353</v>
      </c>
      <c r="AH2" s="116" t="s">
        <v>396</v>
      </c>
      <c r="AI2" s="117" t="s">
        <v>397</v>
      </c>
      <c r="AJ2" s="116" t="s">
        <v>398</v>
      </c>
      <c r="AK2" s="109" t="str">
        <f>Z2</f>
        <v>REQ</v>
      </c>
      <c r="AL2" s="109" t="str">
        <f>AA2</f>
        <v>DEV</v>
      </c>
      <c r="AM2" s="109" t="str">
        <f>AB2</f>
        <v>UAT</v>
      </c>
      <c r="AN2" s="109" t="str">
        <f>AC2</f>
        <v>REL</v>
      </c>
      <c r="AO2" s="110" t="str">
        <f>AE2</f>
        <v>PM</v>
      </c>
      <c r="AP2" s="108" t="s">
        <v>352</v>
      </c>
      <c r="AQ2" s="111" t="s">
        <v>353</v>
      </c>
      <c r="AR2" s="112" t="s">
        <v>399</v>
      </c>
      <c r="AS2" s="112" t="s">
        <v>400</v>
      </c>
      <c r="AT2" s="112" t="s">
        <v>401</v>
      </c>
      <c r="AU2" s="113" t="s">
        <v>402</v>
      </c>
      <c r="AV2" s="112" t="s">
        <v>403</v>
      </c>
      <c r="AW2" s="107" t="s">
        <v>404</v>
      </c>
      <c r="AX2" s="107" t="s">
        <v>405</v>
      </c>
    </row>
    <row r="3" spans="1:50" s="71" customFormat="1" ht="40.5" customHeight="1" thickTop="1" thickBot="1">
      <c r="A3" s="120" t="s">
        <v>99</v>
      </c>
      <c r="B3" s="120" t="str">
        <f t="shared" ref="B3:B19" si="0">AT3</f>
        <v>Y</v>
      </c>
      <c r="C3" s="120"/>
      <c r="D3" s="121">
        <v>42</v>
      </c>
      <c r="E3" s="121"/>
      <c r="F3" s="122" t="str">
        <f t="shared" ref="F3:F68" si="1">IF(AS3&lt;&gt;"",_xlfn.CONCAT(AR3,"-",AS3,"-",IF(L3&lt;&gt;"",TEXT(L3,"yyyy"),"0000"),"-",REPT(0,5-LEN(D3))&amp;D3),"")</f>
        <v>BAC-RSC-2020-00042</v>
      </c>
      <c r="G3" s="123" t="s">
        <v>100</v>
      </c>
      <c r="H3" s="124" t="s">
        <v>101</v>
      </c>
      <c r="I3" s="239"/>
      <c r="J3" s="80">
        <f t="shared" ref="J3:J81" si="2">Y3</f>
        <v>0</v>
      </c>
      <c r="K3" s="177">
        <f t="shared" ref="K3:K23" si="3">MAX(L3:R3)</f>
        <v>44068</v>
      </c>
      <c r="L3" s="141">
        <v>44068</v>
      </c>
      <c r="M3" s="142"/>
      <c r="N3" s="142"/>
      <c r="O3" s="142"/>
      <c r="P3" s="142">
        <v>43637</v>
      </c>
      <c r="Q3" s="199" t="s">
        <v>16</v>
      </c>
      <c r="R3" s="199" t="s">
        <v>4</v>
      </c>
      <c r="S3" s="199"/>
      <c r="T3" s="199"/>
      <c r="U3" s="199"/>
      <c r="V3" s="199"/>
      <c r="W3" s="199"/>
      <c r="X3" s="143" t="s">
        <v>406</v>
      </c>
      <c r="Y3" s="173">
        <f t="shared" ref="Y3:Y33" si="4">IFERROR(AF3+AG3,"")</f>
        <v>0</v>
      </c>
      <c r="Z3" s="83">
        <f t="shared" ref="Z3:Z81" si="5">IFERROR((AK3*AH3)*7.5,"")</f>
        <v>0</v>
      </c>
      <c r="AA3" s="84">
        <f t="shared" ref="AA3:AA17" si="6">IFERROR((AL3*AH3)*7.5,"")</f>
        <v>0</v>
      </c>
      <c r="AB3" s="84">
        <f t="shared" ref="AB3:AB17" si="7">IFERROR((AM3*AH3)*7.5,"")</f>
        <v>0</v>
      </c>
      <c r="AC3" s="84">
        <f t="shared" ref="AC3:AC81" si="8">IFERROR((AN3*AH3)*7.5,"")</f>
        <v>0</v>
      </c>
      <c r="AD3" s="84"/>
      <c r="AE3" s="84">
        <f t="shared" ref="AE3:AE17" si="9">IFERROR((AO3*AH3)*7.5,"")</f>
        <v>0</v>
      </c>
      <c r="AF3" s="84">
        <f t="shared" ref="AF3:AF37" si="10">IFERROR(SUM(Z3:AE3),"")</f>
        <v>0</v>
      </c>
      <c r="AG3" s="94">
        <f t="shared" ref="AG3:AG17" si="11">IFERROR((AQ3*AH3)*7.5,"")</f>
        <v>0</v>
      </c>
      <c r="AH3" s="85">
        <f>IFERROR(VLOOKUP(A3,CUSTOMERS!$A:$E,4),"")</f>
        <v>211.66</v>
      </c>
      <c r="AI3" s="86" t="str">
        <f t="shared" ref="AI3:AI34" si="12">AV3</f>
        <v/>
      </c>
      <c r="AJ3" s="87">
        <f>IFERROR(VLOOKUP(A3,CUSTOMERS!$A:$F,5),"")</f>
        <v>0.2</v>
      </c>
      <c r="AK3" s="96"/>
      <c r="AL3" s="96">
        <v>0</v>
      </c>
      <c r="AM3" s="96">
        <v>0</v>
      </c>
      <c r="AN3" s="96"/>
      <c r="AO3" s="96">
        <v>0</v>
      </c>
      <c r="AP3" s="102">
        <f t="shared" ref="AP3:AP81" si="13">SUM(AK3:AO3)</f>
        <v>0</v>
      </c>
      <c r="AQ3" s="102">
        <f t="shared" ref="AQ3:AQ38" si="14">IFERROR(AP3*AJ3,"")</f>
        <v>0</v>
      </c>
      <c r="AR3" s="68" t="str">
        <f>IFERROR(VLOOKUP(A3,CUSTOMERS!$A:$B,2),"")</f>
        <v>BAC</v>
      </c>
      <c r="AS3" s="68" t="str">
        <f>IFERROR(VLOOKUP(A3,CUSTOMERS!$A:$D,3),"")</f>
        <v>RSC</v>
      </c>
      <c r="AT3" s="68" t="str">
        <f>IFERROR(VLOOKUP(A3,CUSTOMERS!$A:$F,6),"")</f>
        <v>Y</v>
      </c>
      <c r="AU3" s="69">
        <f>IFERROR(VLOOKUP(A3,CUSTOMERS!$A:$E,4),"")</f>
        <v>211.66</v>
      </c>
      <c r="AV3" s="68" t="str">
        <f t="shared" ref="AV3:AV39" si="15">IF(AH3&lt;&gt;AU3,"Y","")</f>
        <v/>
      </c>
      <c r="AW3" s="70" t="str">
        <f t="shared" ref="AW3:AW68" si="16">"descr"&amp;ROW()</f>
        <v>descr3</v>
      </c>
      <c r="AX3" s="71" t="str">
        <f>"reason"&amp;ROW()</f>
        <v>reason3</v>
      </c>
    </row>
    <row r="4" spans="1:50" s="72" customFormat="1" ht="40.5" customHeight="1" thickTop="1" thickBot="1">
      <c r="A4" s="120" t="s">
        <v>99</v>
      </c>
      <c r="B4" s="120" t="str">
        <f t="shared" si="0"/>
        <v>Y</v>
      </c>
      <c r="C4" s="120"/>
      <c r="D4" s="121"/>
      <c r="E4" s="121"/>
      <c r="F4" s="122" t="str">
        <f t="shared" si="1"/>
        <v>BAC-RSC-2020-00000</v>
      </c>
      <c r="G4" s="123" t="s">
        <v>35</v>
      </c>
      <c r="H4" s="124" t="s">
        <v>102</v>
      </c>
      <c r="I4" s="239"/>
      <c r="J4" s="80">
        <f t="shared" si="2"/>
        <v>0</v>
      </c>
      <c r="K4" s="177">
        <f t="shared" si="3"/>
        <v>44083</v>
      </c>
      <c r="L4" s="141">
        <v>44083</v>
      </c>
      <c r="M4" s="142"/>
      <c r="N4" s="142"/>
      <c r="O4" s="142"/>
      <c r="P4" s="142"/>
      <c r="Q4" s="199" t="s">
        <v>15</v>
      </c>
      <c r="R4" s="199" t="s">
        <v>4</v>
      </c>
      <c r="S4" s="199"/>
      <c r="T4" s="199"/>
      <c r="U4" s="199"/>
      <c r="V4" s="199"/>
      <c r="W4" s="199"/>
      <c r="X4" s="144"/>
      <c r="Y4" s="173">
        <f t="shared" si="4"/>
        <v>0</v>
      </c>
      <c r="Z4" s="83">
        <f t="shared" si="5"/>
        <v>0</v>
      </c>
      <c r="AA4" s="84">
        <f t="shared" si="6"/>
        <v>0</v>
      </c>
      <c r="AB4" s="84">
        <f t="shared" si="7"/>
        <v>0</v>
      </c>
      <c r="AC4" s="84">
        <f t="shared" si="8"/>
        <v>0</v>
      </c>
      <c r="AD4" s="84"/>
      <c r="AE4" s="84">
        <f t="shared" si="9"/>
        <v>0</v>
      </c>
      <c r="AF4" s="84">
        <f t="shared" si="10"/>
        <v>0</v>
      </c>
      <c r="AG4" s="94">
        <f t="shared" si="11"/>
        <v>0</v>
      </c>
      <c r="AH4" s="85">
        <f>IFERROR(VLOOKUP(A4,CUSTOMERS!$A:$E,4),"")</f>
        <v>211.66</v>
      </c>
      <c r="AI4" s="86" t="str">
        <f t="shared" si="12"/>
        <v/>
      </c>
      <c r="AJ4" s="87">
        <f>IFERROR(VLOOKUP(A4,CUSTOMERS!$A:$F,5),"")</f>
        <v>0.2</v>
      </c>
      <c r="AK4" s="96"/>
      <c r="AL4" s="96">
        <v>0</v>
      </c>
      <c r="AM4" s="96">
        <v>0</v>
      </c>
      <c r="AN4" s="96"/>
      <c r="AO4" s="96">
        <v>0</v>
      </c>
      <c r="AP4" s="102">
        <f t="shared" si="13"/>
        <v>0</v>
      </c>
      <c r="AQ4" s="102">
        <f t="shared" si="14"/>
        <v>0</v>
      </c>
      <c r="AR4" s="68" t="str">
        <f>IFERROR(VLOOKUP(A4,CUSTOMERS!$A:$B,2),"")</f>
        <v>BAC</v>
      </c>
      <c r="AS4" s="68" t="str">
        <f>IFERROR(VLOOKUP(A4,CUSTOMERS!$A:$D,3),"")</f>
        <v>RSC</v>
      </c>
      <c r="AT4" s="68" t="str">
        <f>IFERROR(VLOOKUP(A4,CUSTOMERS!$A:$F,6),"")</f>
        <v>Y</v>
      </c>
      <c r="AU4" s="69">
        <f>IFERROR(VLOOKUP(A4,CUSTOMERS!$A:$E,4),"")</f>
        <v>211.66</v>
      </c>
      <c r="AV4" s="68" t="str">
        <f t="shared" si="15"/>
        <v/>
      </c>
      <c r="AW4" s="70" t="str">
        <f t="shared" si="16"/>
        <v>descr4</v>
      </c>
      <c r="AX4" s="71" t="str">
        <f t="shared" ref="AX4:AX81" si="17">"reason"&amp;ROW()</f>
        <v>reason4</v>
      </c>
    </row>
    <row r="5" spans="1:50" s="72" customFormat="1" ht="40.5" customHeight="1" thickTop="1" thickBot="1">
      <c r="A5" s="120" t="s">
        <v>99</v>
      </c>
      <c r="B5" s="120" t="str">
        <f t="shared" si="0"/>
        <v>Y</v>
      </c>
      <c r="C5" s="120"/>
      <c r="D5" s="121">
        <v>0</v>
      </c>
      <c r="E5" s="121"/>
      <c r="F5" s="122" t="str">
        <f t="shared" si="1"/>
        <v>BAC-RSC-2020-00000</v>
      </c>
      <c r="G5" s="123" t="s">
        <v>339</v>
      </c>
      <c r="H5" s="124" t="s">
        <v>407</v>
      </c>
      <c r="I5" s="239"/>
      <c r="J5" s="81">
        <f t="shared" si="2"/>
        <v>0</v>
      </c>
      <c r="K5" s="177">
        <f t="shared" si="3"/>
        <v>43926</v>
      </c>
      <c r="L5" s="141">
        <v>43926</v>
      </c>
      <c r="M5" s="142"/>
      <c r="N5" s="142"/>
      <c r="O5" s="142"/>
      <c r="P5" s="142"/>
      <c r="Q5" s="199" t="s">
        <v>18</v>
      </c>
      <c r="R5" s="199" t="s">
        <v>4</v>
      </c>
      <c r="S5" s="199"/>
      <c r="T5" s="199"/>
      <c r="U5" s="199"/>
      <c r="V5" s="199"/>
      <c r="W5" s="199"/>
      <c r="X5" s="143" t="s">
        <v>408</v>
      </c>
      <c r="Y5" s="173">
        <f t="shared" si="4"/>
        <v>0</v>
      </c>
      <c r="Z5" s="83">
        <f t="shared" si="5"/>
        <v>0</v>
      </c>
      <c r="AA5" s="84">
        <f t="shared" si="6"/>
        <v>0</v>
      </c>
      <c r="AB5" s="84">
        <f t="shared" si="7"/>
        <v>0</v>
      </c>
      <c r="AC5" s="84">
        <f t="shared" si="8"/>
        <v>0</v>
      </c>
      <c r="AD5" s="84"/>
      <c r="AE5" s="84">
        <f t="shared" si="9"/>
        <v>0</v>
      </c>
      <c r="AF5" s="89">
        <f t="shared" si="10"/>
        <v>0</v>
      </c>
      <c r="AG5" s="94">
        <f t="shared" si="11"/>
        <v>0</v>
      </c>
      <c r="AH5" s="85">
        <f>IFERROR(VLOOKUP(A5,CUSTOMERS!$A:$E,4),"")</f>
        <v>211.66</v>
      </c>
      <c r="AI5" s="86" t="str">
        <f t="shared" si="12"/>
        <v/>
      </c>
      <c r="AJ5" s="87">
        <f>IFERROR(VLOOKUP(A5,CUSTOMERS!$A:$F,5),"")</f>
        <v>0.2</v>
      </c>
      <c r="AK5" s="96">
        <v>0</v>
      </c>
      <c r="AL5" s="96">
        <v>0</v>
      </c>
      <c r="AM5" s="96">
        <v>0</v>
      </c>
      <c r="AN5" s="96">
        <v>0</v>
      </c>
      <c r="AO5" s="96">
        <v>0</v>
      </c>
      <c r="AP5" s="102">
        <f t="shared" si="13"/>
        <v>0</v>
      </c>
      <c r="AQ5" s="102">
        <f t="shared" si="14"/>
        <v>0</v>
      </c>
      <c r="AR5" s="68" t="str">
        <f>IFERROR(VLOOKUP(A5,CUSTOMERS!$A:$B,2),"")</f>
        <v>BAC</v>
      </c>
      <c r="AS5" s="68" t="str">
        <f>IFERROR(VLOOKUP(A5,CUSTOMERS!$A:$D,3),"")</f>
        <v>RSC</v>
      </c>
      <c r="AT5" s="68" t="str">
        <f>IFERROR(VLOOKUP(A5,CUSTOMERS!$A:$F,6),"")</f>
        <v>Y</v>
      </c>
      <c r="AU5" s="69">
        <f>IFERROR(VLOOKUP(A5,CUSTOMERS!$A:$E,4),"")</f>
        <v>211.66</v>
      </c>
      <c r="AV5" s="68" t="str">
        <f t="shared" si="15"/>
        <v/>
      </c>
      <c r="AW5" s="70" t="str">
        <f t="shared" si="16"/>
        <v>descr5</v>
      </c>
      <c r="AX5" s="71" t="str">
        <f t="shared" si="17"/>
        <v>reason5</v>
      </c>
    </row>
    <row r="6" spans="1:50" s="72" customFormat="1" ht="40.5" customHeight="1" thickTop="1" thickBot="1">
      <c r="A6" s="120" t="s">
        <v>99</v>
      </c>
      <c r="B6" s="120" t="str">
        <f t="shared" si="0"/>
        <v>Y</v>
      </c>
      <c r="C6" s="120"/>
      <c r="D6" s="121"/>
      <c r="E6" s="121"/>
      <c r="F6" s="122" t="str">
        <f t="shared" si="1"/>
        <v>BAC-RSC-2020-00000</v>
      </c>
      <c r="G6" s="207" t="s">
        <v>339</v>
      </c>
      <c r="H6" s="124" t="s">
        <v>409</v>
      </c>
      <c r="I6" s="239"/>
      <c r="J6" s="81">
        <f t="shared" si="2"/>
        <v>0</v>
      </c>
      <c r="K6" s="177">
        <f t="shared" si="3"/>
        <v>43972</v>
      </c>
      <c r="L6" s="141">
        <v>43972</v>
      </c>
      <c r="M6" s="142"/>
      <c r="N6" s="142"/>
      <c r="O6" s="142"/>
      <c r="P6" s="142"/>
      <c r="Q6" s="199" t="s">
        <v>15</v>
      </c>
      <c r="R6" s="199" t="s">
        <v>4</v>
      </c>
      <c r="S6" s="199"/>
      <c r="T6" s="199"/>
      <c r="U6" s="199"/>
      <c r="V6" s="199"/>
      <c r="W6" s="199"/>
      <c r="X6" s="143" t="s">
        <v>410</v>
      </c>
      <c r="Y6" s="173">
        <f t="shared" si="4"/>
        <v>0</v>
      </c>
      <c r="Z6" s="83">
        <f t="shared" si="5"/>
        <v>0</v>
      </c>
      <c r="AA6" s="84">
        <f t="shared" si="6"/>
        <v>0</v>
      </c>
      <c r="AB6" s="84">
        <f t="shared" si="7"/>
        <v>0</v>
      </c>
      <c r="AC6" s="84">
        <f t="shared" si="8"/>
        <v>0</v>
      </c>
      <c r="AD6" s="84"/>
      <c r="AE6" s="84">
        <f t="shared" si="9"/>
        <v>0</v>
      </c>
      <c r="AF6" s="190">
        <f t="shared" si="10"/>
        <v>0</v>
      </c>
      <c r="AG6" s="191">
        <f t="shared" si="11"/>
        <v>0</v>
      </c>
      <c r="AH6" s="85">
        <f>IFERROR(VLOOKUP(A6,CUSTOMERS!$A:$E,4),"")</f>
        <v>211.66</v>
      </c>
      <c r="AI6" s="86" t="str">
        <f t="shared" si="12"/>
        <v/>
      </c>
      <c r="AJ6" s="87">
        <f>IFERROR(VLOOKUP(A6,CUSTOMERS!$A:$F,5),"")</f>
        <v>0.2</v>
      </c>
      <c r="AK6" s="96"/>
      <c r="AL6" s="96">
        <v>0</v>
      </c>
      <c r="AM6" s="96">
        <v>0</v>
      </c>
      <c r="AN6" s="96"/>
      <c r="AO6" s="96">
        <v>0</v>
      </c>
      <c r="AP6" s="102">
        <f t="shared" si="13"/>
        <v>0</v>
      </c>
      <c r="AQ6" s="102">
        <f t="shared" si="14"/>
        <v>0</v>
      </c>
      <c r="AR6" s="68" t="str">
        <f>IFERROR(VLOOKUP(A6,CUSTOMERS!$A:$B,2),"")</f>
        <v>BAC</v>
      </c>
      <c r="AS6" s="68" t="str">
        <f>IFERROR(VLOOKUP(A6,CUSTOMERS!$A:$D,3),"")</f>
        <v>RSC</v>
      </c>
      <c r="AT6" s="68" t="str">
        <f>IFERROR(VLOOKUP(A6,CUSTOMERS!$A:$F,6),"")</f>
        <v>Y</v>
      </c>
      <c r="AU6" s="69">
        <f>IFERROR(VLOOKUP(A6,CUSTOMERS!$A:$E,4),"")</f>
        <v>211.66</v>
      </c>
      <c r="AV6" s="68" t="str">
        <f t="shared" si="15"/>
        <v/>
      </c>
      <c r="AW6" s="70" t="str">
        <f t="shared" si="16"/>
        <v>descr6</v>
      </c>
      <c r="AX6" s="71" t="str">
        <f t="shared" si="17"/>
        <v>reason6</v>
      </c>
    </row>
    <row r="7" spans="1:50" s="72" customFormat="1" ht="40.5" customHeight="1" thickTop="1" thickBot="1">
      <c r="A7" s="120" t="s">
        <v>99</v>
      </c>
      <c r="B7" s="120" t="str">
        <f t="shared" si="0"/>
        <v>Y</v>
      </c>
      <c r="C7" s="120"/>
      <c r="D7" s="121">
        <v>43</v>
      </c>
      <c r="E7" s="121"/>
      <c r="F7" s="122" t="str">
        <f t="shared" si="1"/>
        <v>BAC-RSC-2020-00043</v>
      </c>
      <c r="G7" s="123" t="s">
        <v>103</v>
      </c>
      <c r="H7" s="124" t="s">
        <v>104</v>
      </c>
      <c r="I7" s="239"/>
      <c r="J7" s="81">
        <f t="shared" si="2"/>
        <v>18573.165000000001</v>
      </c>
      <c r="K7" s="177">
        <f t="shared" si="3"/>
        <v>44133</v>
      </c>
      <c r="L7" s="141">
        <v>43975</v>
      </c>
      <c r="M7" s="142">
        <v>44133</v>
      </c>
      <c r="N7" s="142">
        <v>44133</v>
      </c>
      <c r="O7" s="142"/>
      <c r="P7" s="142"/>
      <c r="Q7" s="199" t="s">
        <v>18</v>
      </c>
      <c r="R7" s="199" t="s">
        <v>4</v>
      </c>
      <c r="S7" s="199"/>
      <c r="T7" s="199"/>
      <c r="U7" s="199"/>
      <c r="V7" s="199"/>
      <c r="W7" s="199"/>
      <c r="X7" s="145" t="s">
        <v>411</v>
      </c>
      <c r="Y7" s="173">
        <f t="shared" si="4"/>
        <v>18573.165000000001</v>
      </c>
      <c r="Z7" s="83">
        <f t="shared" si="5"/>
        <v>0</v>
      </c>
      <c r="AA7" s="84">
        <f t="shared" si="6"/>
        <v>12699.6</v>
      </c>
      <c r="AB7" s="84">
        <f t="shared" si="7"/>
        <v>793.72500000000002</v>
      </c>
      <c r="AC7" s="84">
        <f t="shared" si="8"/>
        <v>0</v>
      </c>
      <c r="AD7" s="84"/>
      <c r="AE7" s="84">
        <f t="shared" si="9"/>
        <v>1984.3125</v>
      </c>
      <c r="AF7" s="190">
        <f t="shared" si="10"/>
        <v>15477.637500000001</v>
      </c>
      <c r="AG7" s="191">
        <f t="shared" si="11"/>
        <v>3095.5275000000001</v>
      </c>
      <c r="AH7" s="85">
        <f>IFERROR(VLOOKUP(A7,CUSTOMERS!$A:$E,4),"")</f>
        <v>211.66</v>
      </c>
      <c r="AI7" s="86" t="str">
        <f t="shared" si="12"/>
        <v/>
      </c>
      <c r="AJ7" s="87">
        <f>IFERROR(VLOOKUP(A7,CUSTOMERS!$A:$F,5),"")</f>
        <v>0.2</v>
      </c>
      <c r="AK7" s="96"/>
      <c r="AL7" s="96">
        <v>8</v>
      </c>
      <c r="AM7" s="96">
        <v>0.5</v>
      </c>
      <c r="AN7" s="96"/>
      <c r="AO7" s="96">
        <v>1.25</v>
      </c>
      <c r="AP7" s="102">
        <f t="shared" si="13"/>
        <v>9.75</v>
      </c>
      <c r="AQ7" s="102">
        <f t="shared" si="14"/>
        <v>1.9500000000000002</v>
      </c>
      <c r="AR7" s="68" t="str">
        <f>IFERROR(VLOOKUP(A7,CUSTOMERS!$A:$B,2),"")</f>
        <v>BAC</v>
      </c>
      <c r="AS7" s="68" t="str">
        <f>IFERROR(VLOOKUP(A7,CUSTOMERS!$A:$D,3),"")</f>
        <v>RSC</v>
      </c>
      <c r="AT7" s="68" t="str">
        <f>IFERROR(VLOOKUP(A7,CUSTOMERS!$A:$F,6),"")</f>
        <v>Y</v>
      </c>
      <c r="AU7" s="69">
        <f>IFERROR(VLOOKUP(A7,CUSTOMERS!$A:$E,4),"")</f>
        <v>211.66</v>
      </c>
      <c r="AV7" s="68" t="str">
        <f t="shared" si="15"/>
        <v/>
      </c>
      <c r="AW7" s="70" t="str">
        <f t="shared" si="16"/>
        <v>descr7</v>
      </c>
      <c r="AX7" s="71" t="str">
        <f t="shared" si="17"/>
        <v>reason7</v>
      </c>
    </row>
    <row r="8" spans="1:50" s="73" customFormat="1" ht="40.5" customHeight="1" thickTop="1" thickBot="1">
      <c r="A8" s="120" t="s">
        <v>99</v>
      </c>
      <c r="B8" s="120" t="str">
        <f t="shared" si="0"/>
        <v>Y</v>
      </c>
      <c r="C8" s="120"/>
      <c r="D8" s="121"/>
      <c r="E8" s="121"/>
      <c r="F8" s="122" t="str">
        <f t="shared" si="1"/>
        <v>BAC-RSC-2020-00000</v>
      </c>
      <c r="G8" s="123" t="s">
        <v>100</v>
      </c>
      <c r="H8" s="124" t="s">
        <v>105</v>
      </c>
      <c r="I8" s="239"/>
      <c r="J8" s="80">
        <f t="shared" si="2"/>
        <v>0</v>
      </c>
      <c r="K8" s="177">
        <f t="shared" si="3"/>
        <v>44091</v>
      </c>
      <c r="L8" s="141">
        <v>44091</v>
      </c>
      <c r="M8" s="142"/>
      <c r="N8" s="142"/>
      <c r="O8" s="142"/>
      <c r="P8" s="142"/>
      <c r="Q8" s="199" t="s">
        <v>18</v>
      </c>
      <c r="R8" s="199" t="s">
        <v>4</v>
      </c>
      <c r="S8" s="199"/>
      <c r="T8" s="199"/>
      <c r="U8" s="199"/>
      <c r="V8" s="199"/>
      <c r="W8" s="199"/>
      <c r="X8" s="144" t="s">
        <v>412</v>
      </c>
      <c r="Y8" s="173">
        <f t="shared" si="4"/>
        <v>0</v>
      </c>
      <c r="Z8" s="83">
        <f t="shared" si="5"/>
        <v>0</v>
      </c>
      <c r="AA8" s="84">
        <f t="shared" si="6"/>
        <v>0</v>
      </c>
      <c r="AB8" s="84">
        <f t="shared" si="7"/>
        <v>0</v>
      </c>
      <c r="AC8" s="84">
        <f t="shared" si="8"/>
        <v>0</v>
      </c>
      <c r="AD8" s="84"/>
      <c r="AE8" s="84">
        <f t="shared" si="9"/>
        <v>0</v>
      </c>
      <c r="AF8" s="179">
        <f t="shared" si="10"/>
        <v>0</v>
      </c>
      <c r="AG8" s="191">
        <f t="shared" si="11"/>
        <v>0</v>
      </c>
      <c r="AH8" s="85">
        <f>IFERROR(VLOOKUP(A8,CUSTOMERS!$A:$E,4),"")</f>
        <v>211.66</v>
      </c>
      <c r="AI8" s="86" t="str">
        <f t="shared" si="12"/>
        <v/>
      </c>
      <c r="AJ8" s="87">
        <f>IFERROR(VLOOKUP(A8,CUSTOMERS!$A:$F,5),"")</f>
        <v>0.2</v>
      </c>
      <c r="AK8" s="96"/>
      <c r="AL8" s="96">
        <v>0</v>
      </c>
      <c r="AM8" s="96">
        <v>0</v>
      </c>
      <c r="AN8" s="96"/>
      <c r="AO8" s="96">
        <v>0</v>
      </c>
      <c r="AP8" s="102">
        <f t="shared" si="13"/>
        <v>0</v>
      </c>
      <c r="AQ8" s="102">
        <f t="shared" si="14"/>
        <v>0</v>
      </c>
      <c r="AR8" s="68" t="str">
        <f>IFERROR(VLOOKUP(A8,CUSTOMERS!$A:$B,2),"")</f>
        <v>BAC</v>
      </c>
      <c r="AS8" s="68" t="str">
        <f>IFERROR(VLOOKUP(A8,CUSTOMERS!$A:$D,3),"")</f>
        <v>RSC</v>
      </c>
      <c r="AT8" s="68" t="str">
        <f>IFERROR(VLOOKUP(A8,CUSTOMERS!$A:$F,6),"")</f>
        <v>Y</v>
      </c>
      <c r="AU8" s="69">
        <f>IFERROR(VLOOKUP(A8,CUSTOMERS!$A:$E,4),"")</f>
        <v>211.66</v>
      </c>
      <c r="AV8" s="68" t="str">
        <f t="shared" si="15"/>
        <v/>
      </c>
      <c r="AW8" s="70" t="str">
        <f t="shared" si="16"/>
        <v>descr8</v>
      </c>
      <c r="AX8" s="71" t="str">
        <f t="shared" si="17"/>
        <v>reason8</v>
      </c>
    </row>
    <row r="9" spans="1:50" s="73" customFormat="1" ht="40.5" customHeight="1" thickTop="1" thickBot="1">
      <c r="A9" s="120" t="s">
        <v>99</v>
      </c>
      <c r="B9" s="120" t="str">
        <f t="shared" si="0"/>
        <v>Y</v>
      </c>
      <c r="C9" s="120"/>
      <c r="D9" s="121"/>
      <c r="E9" s="121"/>
      <c r="F9" s="122" t="str">
        <f t="shared" si="1"/>
        <v>BAC-RSC-2020-00000</v>
      </c>
      <c r="G9" s="123" t="s">
        <v>106</v>
      </c>
      <c r="H9" s="124" t="s">
        <v>107</v>
      </c>
      <c r="I9" s="239"/>
      <c r="J9" s="80">
        <f t="shared" si="2"/>
        <v>0</v>
      </c>
      <c r="K9" s="177">
        <f t="shared" si="3"/>
        <v>44091</v>
      </c>
      <c r="L9" s="141">
        <v>44091</v>
      </c>
      <c r="M9" s="142"/>
      <c r="N9" s="142"/>
      <c r="O9" s="142"/>
      <c r="P9" s="142"/>
      <c r="Q9" s="199" t="s">
        <v>15</v>
      </c>
      <c r="R9" s="199" t="s">
        <v>4</v>
      </c>
      <c r="S9" s="199"/>
      <c r="T9" s="199"/>
      <c r="U9" s="199"/>
      <c r="V9" s="199"/>
      <c r="W9" s="199"/>
      <c r="X9" s="144"/>
      <c r="Y9" s="173">
        <f t="shared" si="4"/>
        <v>0</v>
      </c>
      <c r="Z9" s="83">
        <f t="shared" si="5"/>
        <v>0</v>
      </c>
      <c r="AA9" s="84">
        <f t="shared" si="6"/>
        <v>0</v>
      </c>
      <c r="AB9" s="84">
        <f t="shared" si="7"/>
        <v>0</v>
      </c>
      <c r="AC9" s="84">
        <f t="shared" si="8"/>
        <v>0</v>
      </c>
      <c r="AD9" s="84"/>
      <c r="AE9" s="84">
        <f t="shared" si="9"/>
        <v>0</v>
      </c>
      <c r="AF9" s="179">
        <f t="shared" si="10"/>
        <v>0</v>
      </c>
      <c r="AG9" s="191">
        <f t="shared" si="11"/>
        <v>0</v>
      </c>
      <c r="AH9" s="85">
        <f>IFERROR(VLOOKUP(A9,CUSTOMERS!$A:$E,4),"")</f>
        <v>211.66</v>
      </c>
      <c r="AI9" s="86" t="str">
        <f t="shared" si="12"/>
        <v/>
      </c>
      <c r="AJ9" s="87">
        <f>IFERROR(VLOOKUP(A9,CUSTOMERS!$A:$F,5),"")</f>
        <v>0.2</v>
      </c>
      <c r="AK9" s="96"/>
      <c r="AL9" s="96"/>
      <c r="AM9" s="96"/>
      <c r="AN9" s="96"/>
      <c r="AO9" s="96"/>
      <c r="AP9" s="102">
        <f t="shared" si="13"/>
        <v>0</v>
      </c>
      <c r="AQ9" s="102">
        <f t="shared" si="14"/>
        <v>0</v>
      </c>
      <c r="AR9" s="68" t="str">
        <f>IFERROR(VLOOKUP(A9,CUSTOMERS!$A:$B,2),"")</f>
        <v>BAC</v>
      </c>
      <c r="AS9" s="68" t="str">
        <f>IFERROR(VLOOKUP(A9,CUSTOMERS!$A:$D,3),"")</f>
        <v>RSC</v>
      </c>
      <c r="AT9" s="68" t="str">
        <f>IFERROR(VLOOKUP(A9,CUSTOMERS!$A:$F,6),"")</f>
        <v>Y</v>
      </c>
      <c r="AU9" s="69">
        <f>IFERROR(VLOOKUP(A9,CUSTOMERS!$A:$E,4),"")</f>
        <v>211.66</v>
      </c>
      <c r="AV9" s="68" t="str">
        <f t="shared" si="15"/>
        <v/>
      </c>
      <c r="AW9" s="70" t="str">
        <f t="shared" si="16"/>
        <v>descr9</v>
      </c>
      <c r="AX9" s="71" t="str">
        <f t="shared" si="17"/>
        <v>reason9</v>
      </c>
    </row>
    <row r="10" spans="1:50" s="73" customFormat="1" ht="40.5" customHeight="1" thickTop="1" thickBot="1">
      <c r="A10" s="120" t="s">
        <v>99</v>
      </c>
      <c r="B10" s="120" t="str">
        <f t="shared" si="0"/>
        <v>Y</v>
      </c>
      <c r="C10" s="120"/>
      <c r="D10" s="121">
        <v>9999</v>
      </c>
      <c r="E10" s="121"/>
      <c r="F10" s="122" t="str">
        <f t="shared" si="1"/>
        <v>BAC-RSC-2020-09999</v>
      </c>
      <c r="G10" s="123" t="s">
        <v>109</v>
      </c>
      <c r="H10" s="124" t="s">
        <v>110</v>
      </c>
      <c r="I10" s="239"/>
      <c r="J10" s="80">
        <f t="shared" si="2"/>
        <v>47623.5</v>
      </c>
      <c r="K10" s="177">
        <f t="shared" si="3"/>
        <v>44144</v>
      </c>
      <c r="L10" s="141">
        <v>44129</v>
      </c>
      <c r="M10" s="142"/>
      <c r="N10" s="142"/>
      <c r="O10" s="142">
        <v>44143</v>
      </c>
      <c r="P10" s="142">
        <v>44144</v>
      </c>
      <c r="Q10" s="199" t="s">
        <v>6</v>
      </c>
      <c r="R10" s="199" t="s">
        <v>4</v>
      </c>
      <c r="S10" s="199"/>
      <c r="T10" s="199"/>
      <c r="U10" s="199"/>
      <c r="V10" s="199"/>
      <c r="W10" s="199"/>
      <c r="X10" s="144" t="s">
        <v>413</v>
      </c>
      <c r="Y10" s="173">
        <f t="shared" si="4"/>
        <v>47623.5</v>
      </c>
      <c r="Z10" s="83">
        <f t="shared" si="5"/>
        <v>7937.25</v>
      </c>
      <c r="AA10" s="84">
        <f t="shared" si="6"/>
        <v>7937.25</v>
      </c>
      <c r="AB10" s="84">
        <f t="shared" si="7"/>
        <v>12699.6</v>
      </c>
      <c r="AC10" s="84">
        <f t="shared" si="8"/>
        <v>4762.3500000000004</v>
      </c>
      <c r="AD10" s="84"/>
      <c r="AE10" s="84">
        <f t="shared" si="9"/>
        <v>6349.8</v>
      </c>
      <c r="AF10" s="179">
        <f t="shared" si="10"/>
        <v>39686.25</v>
      </c>
      <c r="AG10" s="191">
        <f t="shared" si="11"/>
        <v>7937.25</v>
      </c>
      <c r="AH10" s="85">
        <f>IFERROR(VLOOKUP(A10,CUSTOMERS!$A:$E,4),"")</f>
        <v>211.66</v>
      </c>
      <c r="AI10" s="86" t="str">
        <f t="shared" si="12"/>
        <v/>
      </c>
      <c r="AJ10" s="87">
        <f>IFERROR(VLOOKUP(A10,CUSTOMERS!$A:$F,5),"")</f>
        <v>0.2</v>
      </c>
      <c r="AK10" s="96">
        <v>5</v>
      </c>
      <c r="AL10" s="96">
        <v>5</v>
      </c>
      <c r="AM10" s="96">
        <v>8</v>
      </c>
      <c r="AN10" s="96">
        <v>3</v>
      </c>
      <c r="AO10" s="96">
        <v>4</v>
      </c>
      <c r="AP10" s="102">
        <f t="shared" si="13"/>
        <v>25</v>
      </c>
      <c r="AQ10" s="102">
        <f t="shared" si="14"/>
        <v>5</v>
      </c>
      <c r="AR10" s="68" t="str">
        <f>IFERROR(VLOOKUP(A10,CUSTOMERS!$A:$B,2),"")</f>
        <v>BAC</v>
      </c>
      <c r="AS10" s="68" t="str">
        <f>IFERROR(VLOOKUP(A10,CUSTOMERS!$A:$D,3),"")</f>
        <v>RSC</v>
      </c>
      <c r="AT10" s="68" t="str">
        <f>IFERROR(VLOOKUP(A10,CUSTOMERS!$A:$F,6),"")</f>
        <v>Y</v>
      </c>
      <c r="AU10" s="69">
        <f>IFERROR(VLOOKUP(A10,CUSTOMERS!$A:$E,4),"")</f>
        <v>211.66</v>
      </c>
      <c r="AV10" s="68" t="str">
        <f t="shared" si="15"/>
        <v/>
      </c>
      <c r="AW10" s="70" t="str">
        <f t="shared" si="16"/>
        <v>descr10</v>
      </c>
      <c r="AX10" s="71" t="str">
        <f t="shared" si="17"/>
        <v>reason10</v>
      </c>
    </row>
    <row r="11" spans="1:50" s="73" customFormat="1" ht="40.5" customHeight="1" thickTop="1" thickBot="1">
      <c r="A11" s="120" t="s">
        <v>111</v>
      </c>
      <c r="B11" s="120" t="str">
        <f t="shared" si="0"/>
        <v>Y</v>
      </c>
      <c r="C11" s="120"/>
      <c r="D11" s="121">
        <v>5</v>
      </c>
      <c r="E11" s="121"/>
      <c r="F11" s="122" t="str">
        <f t="shared" si="1"/>
        <v>LEU-RSC-2020-00005</v>
      </c>
      <c r="G11" s="123" t="s">
        <v>109</v>
      </c>
      <c r="H11" s="124" t="s">
        <v>112</v>
      </c>
      <c r="I11" s="239"/>
      <c r="J11" s="80">
        <f t="shared" si="2"/>
        <v>9492.119999999999</v>
      </c>
      <c r="K11" s="177">
        <f t="shared" si="3"/>
        <v>44110</v>
      </c>
      <c r="L11" s="141">
        <v>44110</v>
      </c>
      <c r="M11" s="142">
        <v>44110</v>
      </c>
      <c r="N11" s="142">
        <v>44110</v>
      </c>
      <c r="O11" s="142"/>
      <c r="P11" s="142">
        <v>44110</v>
      </c>
      <c r="Q11" s="199" t="s">
        <v>18</v>
      </c>
      <c r="R11" s="199" t="s">
        <v>4</v>
      </c>
      <c r="S11" s="199"/>
      <c r="T11" s="199"/>
      <c r="U11" s="199"/>
      <c r="V11" s="199"/>
      <c r="W11" s="199"/>
      <c r="X11" s="144" t="s">
        <v>414</v>
      </c>
      <c r="Y11" s="173">
        <f t="shared" si="4"/>
        <v>9492.119999999999</v>
      </c>
      <c r="Z11" s="83">
        <f t="shared" si="5"/>
        <v>0</v>
      </c>
      <c r="AA11" s="84">
        <f t="shared" si="6"/>
        <v>4314.5999999999995</v>
      </c>
      <c r="AB11" s="84">
        <f t="shared" si="7"/>
        <v>719.09999999999991</v>
      </c>
      <c r="AC11" s="84">
        <f t="shared" si="8"/>
        <v>1438.1999999999998</v>
      </c>
      <c r="AD11" s="84"/>
      <c r="AE11" s="84">
        <f t="shared" si="9"/>
        <v>1438.1999999999998</v>
      </c>
      <c r="AF11" s="179">
        <f t="shared" si="10"/>
        <v>7910.0999999999985</v>
      </c>
      <c r="AG11" s="191">
        <f t="shared" si="11"/>
        <v>1582.02</v>
      </c>
      <c r="AH11" s="85">
        <f>IFERROR(VLOOKUP(A11,CUSTOMERS!$A:$E,4),"")</f>
        <v>191.76</v>
      </c>
      <c r="AI11" s="86" t="str">
        <f t="shared" si="12"/>
        <v/>
      </c>
      <c r="AJ11" s="87">
        <f>IFERROR(VLOOKUP(A11,CUSTOMERS!$A:$F,5),"")</f>
        <v>0.2</v>
      </c>
      <c r="AK11" s="96"/>
      <c r="AL11" s="96">
        <v>3</v>
      </c>
      <c r="AM11" s="96">
        <v>0.5</v>
      </c>
      <c r="AN11" s="96">
        <v>1</v>
      </c>
      <c r="AO11" s="96">
        <v>1</v>
      </c>
      <c r="AP11" s="102">
        <f t="shared" si="13"/>
        <v>5.5</v>
      </c>
      <c r="AQ11" s="102">
        <f t="shared" si="14"/>
        <v>1.1000000000000001</v>
      </c>
      <c r="AR11" s="68" t="str">
        <f>IFERROR(VLOOKUP(A11,CUSTOMERS!$A:$B,2),"")</f>
        <v>LEU</v>
      </c>
      <c r="AS11" s="68" t="str">
        <f>IFERROR(VLOOKUP(A11,CUSTOMERS!$A:$D,3),"")</f>
        <v>RSC</v>
      </c>
      <c r="AT11" s="68" t="str">
        <f>IFERROR(VLOOKUP(A11,CUSTOMERS!$A:$F,6),"")</f>
        <v>Y</v>
      </c>
      <c r="AU11" s="69">
        <f>IFERROR(VLOOKUP(A11,CUSTOMERS!$A:$E,4),"")</f>
        <v>191.76</v>
      </c>
      <c r="AV11" s="68" t="str">
        <f t="shared" si="15"/>
        <v/>
      </c>
      <c r="AW11" s="70" t="str">
        <f t="shared" si="16"/>
        <v>descr11</v>
      </c>
      <c r="AX11" s="71" t="str">
        <f t="shared" si="17"/>
        <v>reason11</v>
      </c>
    </row>
    <row r="12" spans="1:50" s="73" customFormat="1" ht="40.5" customHeight="1" thickTop="1" thickBot="1">
      <c r="A12" s="120" t="s">
        <v>111</v>
      </c>
      <c r="B12" s="120" t="str">
        <f t="shared" si="0"/>
        <v>Y</v>
      </c>
      <c r="C12" s="120"/>
      <c r="D12" s="121">
        <v>6</v>
      </c>
      <c r="E12" s="121"/>
      <c r="F12" s="122" t="str">
        <f t="shared" si="1"/>
        <v>LEU-RSC-2020-00006</v>
      </c>
      <c r="G12" s="123" t="s">
        <v>109</v>
      </c>
      <c r="H12" s="124" t="s">
        <v>113</v>
      </c>
      <c r="I12" s="239"/>
      <c r="J12" s="80">
        <f t="shared" si="2"/>
        <v>7766.28</v>
      </c>
      <c r="K12" s="177">
        <f t="shared" si="3"/>
        <v>44111</v>
      </c>
      <c r="L12" s="141">
        <v>44111</v>
      </c>
      <c r="M12" s="142">
        <v>44111</v>
      </c>
      <c r="N12" s="142">
        <v>44111</v>
      </c>
      <c r="O12" s="142"/>
      <c r="P12" s="142"/>
      <c r="Q12" s="199" t="s">
        <v>6</v>
      </c>
      <c r="R12" s="199" t="s">
        <v>4</v>
      </c>
      <c r="S12" s="199"/>
      <c r="T12" s="199"/>
      <c r="U12" s="199"/>
      <c r="V12" s="199"/>
      <c r="W12" s="199"/>
      <c r="X12" s="144" t="s">
        <v>414</v>
      </c>
      <c r="Y12" s="173">
        <f t="shared" si="4"/>
        <v>7766.28</v>
      </c>
      <c r="Z12" s="83">
        <f t="shared" si="5"/>
        <v>0</v>
      </c>
      <c r="AA12" s="84">
        <f t="shared" si="6"/>
        <v>2516.85</v>
      </c>
      <c r="AB12" s="84">
        <f t="shared" si="7"/>
        <v>1438.1999999999998</v>
      </c>
      <c r="AC12" s="84">
        <f t="shared" si="8"/>
        <v>1438.1999999999998</v>
      </c>
      <c r="AD12" s="84"/>
      <c r="AE12" s="84">
        <f t="shared" si="9"/>
        <v>1078.6499999999999</v>
      </c>
      <c r="AF12" s="179">
        <f t="shared" si="10"/>
        <v>6471.9</v>
      </c>
      <c r="AG12" s="191">
        <f t="shared" si="11"/>
        <v>1294.3800000000001</v>
      </c>
      <c r="AH12" s="85">
        <f>IFERROR(VLOOKUP(A12,CUSTOMERS!$A:$E,4),"")</f>
        <v>191.76</v>
      </c>
      <c r="AI12" s="86" t="str">
        <f t="shared" si="12"/>
        <v/>
      </c>
      <c r="AJ12" s="87">
        <f>IFERROR(VLOOKUP(A12,CUSTOMERS!$A:$F,5),"")</f>
        <v>0.2</v>
      </c>
      <c r="AK12" s="96"/>
      <c r="AL12" s="96">
        <v>1.75</v>
      </c>
      <c r="AM12" s="96">
        <v>1</v>
      </c>
      <c r="AN12" s="96">
        <v>1</v>
      </c>
      <c r="AO12" s="96">
        <v>0.75</v>
      </c>
      <c r="AP12" s="102">
        <f t="shared" si="13"/>
        <v>4.5</v>
      </c>
      <c r="AQ12" s="102">
        <f t="shared" si="14"/>
        <v>0.9</v>
      </c>
      <c r="AR12" s="68" t="str">
        <f>IFERROR(VLOOKUP(A12,CUSTOMERS!$A:$B,2),"")</f>
        <v>LEU</v>
      </c>
      <c r="AS12" s="68" t="str">
        <f>IFERROR(VLOOKUP(A12,CUSTOMERS!$A:$D,3),"")</f>
        <v>RSC</v>
      </c>
      <c r="AT12" s="68" t="str">
        <f>IFERROR(VLOOKUP(A12,CUSTOMERS!$A:$F,6),"")</f>
        <v>Y</v>
      </c>
      <c r="AU12" s="69">
        <f>IFERROR(VLOOKUP(A12,CUSTOMERS!$A:$E,4),"")</f>
        <v>191.76</v>
      </c>
      <c r="AV12" s="68" t="str">
        <f t="shared" si="15"/>
        <v/>
      </c>
      <c r="AW12" s="70" t="str">
        <f t="shared" si="16"/>
        <v>descr12</v>
      </c>
      <c r="AX12" s="71" t="str">
        <f t="shared" si="17"/>
        <v>reason12</v>
      </c>
    </row>
    <row r="13" spans="1:50" s="73" customFormat="1" ht="40.5" customHeight="1" thickTop="1" thickBot="1">
      <c r="A13" s="120" t="s">
        <v>114</v>
      </c>
      <c r="B13" s="120" t="str">
        <f t="shared" si="0"/>
        <v>Y</v>
      </c>
      <c r="C13" s="120"/>
      <c r="D13" s="121">
        <v>639</v>
      </c>
      <c r="E13" s="121"/>
      <c r="F13" s="122" t="str">
        <f t="shared" si="1"/>
        <v>BOI-RSC-2020-00639</v>
      </c>
      <c r="G13" s="123" t="s">
        <v>100</v>
      </c>
      <c r="H13" s="124" t="s">
        <v>115</v>
      </c>
      <c r="I13" s="239"/>
      <c r="J13" s="81">
        <f t="shared" si="2"/>
        <v>0</v>
      </c>
      <c r="K13" s="177">
        <f t="shared" si="3"/>
        <v>43972</v>
      </c>
      <c r="L13" s="141">
        <v>43972</v>
      </c>
      <c r="M13" s="142"/>
      <c r="N13" s="142"/>
      <c r="O13" s="142"/>
      <c r="P13" s="142">
        <v>43950</v>
      </c>
      <c r="Q13" s="199" t="s">
        <v>13</v>
      </c>
      <c r="R13" s="199" t="s">
        <v>4</v>
      </c>
      <c r="S13" s="199"/>
      <c r="T13" s="199"/>
      <c r="U13" s="199"/>
      <c r="V13" s="199"/>
      <c r="W13" s="199"/>
      <c r="X13" s="143" t="s">
        <v>415</v>
      </c>
      <c r="Y13" s="173">
        <f t="shared" si="4"/>
        <v>0</v>
      </c>
      <c r="Z13" s="83">
        <f t="shared" si="5"/>
        <v>0</v>
      </c>
      <c r="AA13" s="84">
        <f t="shared" si="6"/>
        <v>0</v>
      </c>
      <c r="AB13" s="84">
        <f t="shared" si="7"/>
        <v>0</v>
      </c>
      <c r="AC13" s="84">
        <f t="shared" si="8"/>
        <v>0</v>
      </c>
      <c r="AD13" s="84"/>
      <c r="AE13" s="84">
        <f t="shared" si="9"/>
        <v>0</v>
      </c>
      <c r="AF13" s="89">
        <f t="shared" si="10"/>
        <v>0</v>
      </c>
      <c r="AG13" s="94">
        <f t="shared" si="11"/>
        <v>0</v>
      </c>
      <c r="AH13" s="85">
        <f>IFERROR(VLOOKUP(A13,CUSTOMERS!$A:$E,4),"")</f>
        <v>197.7</v>
      </c>
      <c r="AI13" s="86" t="str">
        <f t="shared" si="12"/>
        <v/>
      </c>
      <c r="AJ13" s="87">
        <f>IFERROR(VLOOKUP(A13,CUSTOMERS!$A:$F,5),"")</f>
        <v>0.2</v>
      </c>
      <c r="AK13" s="96"/>
      <c r="AL13" s="96">
        <v>0</v>
      </c>
      <c r="AM13" s="96">
        <v>0</v>
      </c>
      <c r="AN13" s="96"/>
      <c r="AO13" s="96">
        <v>0</v>
      </c>
      <c r="AP13" s="102">
        <f t="shared" si="13"/>
        <v>0</v>
      </c>
      <c r="AQ13" s="102">
        <f t="shared" si="14"/>
        <v>0</v>
      </c>
      <c r="AR13" s="68" t="str">
        <f>IFERROR(VLOOKUP(A13,CUSTOMERS!$A:$B,2),"")</f>
        <v>BOI</v>
      </c>
      <c r="AS13" s="68" t="str">
        <f>IFERROR(VLOOKUP(A13,CUSTOMERS!$A:$D,3),"")</f>
        <v>RSC</v>
      </c>
      <c r="AT13" s="68" t="str">
        <f>IFERROR(VLOOKUP(A13,CUSTOMERS!$A:$F,6),"")</f>
        <v>Y</v>
      </c>
      <c r="AU13" s="69">
        <f>IFERROR(VLOOKUP(A13,CUSTOMERS!$A:$E,4),"")</f>
        <v>197.7</v>
      </c>
      <c r="AV13" s="68" t="str">
        <f t="shared" si="15"/>
        <v/>
      </c>
      <c r="AW13" s="70" t="str">
        <f t="shared" si="16"/>
        <v>descr13</v>
      </c>
      <c r="AX13" s="71" t="str">
        <f t="shared" si="17"/>
        <v>reason13</v>
      </c>
    </row>
    <row r="14" spans="1:50" s="73" customFormat="1" ht="40.5" customHeight="1" thickTop="1" thickBot="1">
      <c r="A14" s="120" t="s">
        <v>114</v>
      </c>
      <c r="B14" s="120" t="str">
        <f t="shared" si="0"/>
        <v>Y</v>
      </c>
      <c r="C14" s="120"/>
      <c r="D14" s="121">
        <v>636</v>
      </c>
      <c r="E14" s="121"/>
      <c r="F14" s="122" t="str">
        <f t="shared" si="1"/>
        <v>BOI-RSC-2020-00636</v>
      </c>
      <c r="G14" s="123" t="s">
        <v>116</v>
      </c>
      <c r="H14" s="124" t="s">
        <v>117</v>
      </c>
      <c r="I14" s="239"/>
      <c r="J14" s="81">
        <f t="shared" si="2"/>
        <v>0</v>
      </c>
      <c r="K14" s="177">
        <f t="shared" si="3"/>
        <v>43966</v>
      </c>
      <c r="L14" s="141">
        <v>43966</v>
      </c>
      <c r="M14" s="142"/>
      <c r="N14" s="142"/>
      <c r="O14" s="142"/>
      <c r="P14" s="142"/>
      <c r="Q14" s="199" t="s">
        <v>13</v>
      </c>
      <c r="R14" s="199" t="s">
        <v>4</v>
      </c>
      <c r="S14" s="199"/>
      <c r="T14" s="199"/>
      <c r="U14" s="199"/>
      <c r="V14" s="199"/>
      <c r="W14" s="199"/>
      <c r="X14" s="145" t="s">
        <v>416</v>
      </c>
      <c r="Y14" s="173">
        <f t="shared" si="4"/>
        <v>0</v>
      </c>
      <c r="Z14" s="83">
        <f t="shared" si="5"/>
        <v>0</v>
      </c>
      <c r="AA14" s="84">
        <f t="shared" si="6"/>
        <v>0</v>
      </c>
      <c r="AB14" s="84">
        <f t="shared" si="7"/>
        <v>0</v>
      </c>
      <c r="AC14" s="84">
        <f t="shared" si="8"/>
        <v>0</v>
      </c>
      <c r="AD14" s="84"/>
      <c r="AE14" s="84">
        <f t="shared" si="9"/>
        <v>0</v>
      </c>
      <c r="AF14" s="190">
        <f t="shared" si="10"/>
        <v>0</v>
      </c>
      <c r="AG14" s="191">
        <f t="shared" si="11"/>
        <v>0</v>
      </c>
      <c r="AH14" s="85">
        <f>IFERROR(VLOOKUP(A14,CUSTOMERS!$A:$E,4),"")</f>
        <v>197.7</v>
      </c>
      <c r="AI14" s="86" t="str">
        <f t="shared" si="12"/>
        <v/>
      </c>
      <c r="AJ14" s="87">
        <f>IFERROR(VLOOKUP(A14,CUSTOMERS!$A:$F,5),"")</f>
        <v>0.2</v>
      </c>
      <c r="AK14" s="96"/>
      <c r="AL14" s="96">
        <v>0</v>
      </c>
      <c r="AM14" s="96">
        <v>0</v>
      </c>
      <c r="AN14" s="96"/>
      <c r="AO14" s="96">
        <v>0</v>
      </c>
      <c r="AP14" s="102">
        <f t="shared" si="13"/>
        <v>0</v>
      </c>
      <c r="AQ14" s="102">
        <f t="shared" si="14"/>
        <v>0</v>
      </c>
      <c r="AR14" s="68" t="str">
        <f>IFERROR(VLOOKUP(A14,CUSTOMERS!$A:$B,2),"")</f>
        <v>BOI</v>
      </c>
      <c r="AS14" s="68" t="str">
        <f>IFERROR(VLOOKUP(A14,CUSTOMERS!$A:$D,3),"")</f>
        <v>RSC</v>
      </c>
      <c r="AT14" s="68" t="str">
        <f>IFERROR(VLOOKUP(A14,CUSTOMERS!$A:$F,6),"")</f>
        <v>Y</v>
      </c>
      <c r="AU14" s="69">
        <f>IFERROR(VLOOKUP(A14,CUSTOMERS!$A:$E,4),"")</f>
        <v>197.7</v>
      </c>
      <c r="AV14" s="68" t="str">
        <f t="shared" si="15"/>
        <v/>
      </c>
      <c r="AW14" s="70" t="str">
        <f t="shared" si="16"/>
        <v>descr14</v>
      </c>
      <c r="AX14" s="71" t="str">
        <f t="shared" si="17"/>
        <v>reason14</v>
      </c>
    </row>
    <row r="15" spans="1:50" s="73" customFormat="1" ht="40.5" customHeight="1" thickTop="1" thickBot="1">
      <c r="A15" s="120" t="s">
        <v>114</v>
      </c>
      <c r="B15" s="120" t="str">
        <f t="shared" si="0"/>
        <v>Y</v>
      </c>
      <c r="C15" s="120"/>
      <c r="D15" s="121"/>
      <c r="E15" s="121"/>
      <c r="F15" s="122" t="str">
        <f t="shared" si="1"/>
        <v>BOI-RSC-2020-00000</v>
      </c>
      <c r="G15" s="123" t="s">
        <v>339</v>
      </c>
      <c r="H15" s="124" t="s">
        <v>417</v>
      </c>
      <c r="I15" s="239"/>
      <c r="J15" s="81">
        <f t="shared" si="2"/>
        <v>0</v>
      </c>
      <c r="K15" s="177">
        <f t="shared" si="3"/>
        <v>43966</v>
      </c>
      <c r="L15" s="141">
        <v>43966</v>
      </c>
      <c r="M15" s="142"/>
      <c r="N15" s="142"/>
      <c r="O15" s="142"/>
      <c r="P15" s="142"/>
      <c r="Q15" s="199" t="s">
        <v>15</v>
      </c>
      <c r="R15" s="199" t="s">
        <v>4</v>
      </c>
      <c r="S15" s="199"/>
      <c r="T15" s="199"/>
      <c r="U15" s="199"/>
      <c r="V15" s="199"/>
      <c r="W15" s="199"/>
      <c r="X15" s="143" t="s">
        <v>418</v>
      </c>
      <c r="Y15" s="173">
        <f t="shared" si="4"/>
        <v>0</v>
      </c>
      <c r="Z15" s="83">
        <f t="shared" si="5"/>
        <v>0</v>
      </c>
      <c r="AA15" s="84">
        <f t="shared" si="6"/>
        <v>0</v>
      </c>
      <c r="AB15" s="84">
        <f t="shared" si="7"/>
        <v>0</v>
      </c>
      <c r="AC15" s="84">
        <f t="shared" si="8"/>
        <v>0</v>
      </c>
      <c r="AD15" s="84"/>
      <c r="AE15" s="84">
        <f t="shared" si="9"/>
        <v>0</v>
      </c>
      <c r="AF15" s="89">
        <f t="shared" si="10"/>
        <v>0</v>
      </c>
      <c r="AG15" s="94">
        <f t="shared" si="11"/>
        <v>0</v>
      </c>
      <c r="AH15" s="85">
        <f>IFERROR(VLOOKUP(A15,CUSTOMERS!$A:$E,4),"")</f>
        <v>197.7</v>
      </c>
      <c r="AI15" s="86" t="str">
        <f t="shared" si="12"/>
        <v/>
      </c>
      <c r="AJ15" s="87">
        <f>IFERROR(VLOOKUP(A15,CUSTOMERS!$A:$F,5),"")</f>
        <v>0.2</v>
      </c>
      <c r="AK15" s="96"/>
      <c r="AL15" s="96">
        <v>0</v>
      </c>
      <c r="AM15" s="96">
        <v>0</v>
      </c>
      <c r="AN15" s="96"/>
      <c r="AO15" s="96">
        <v>0</v>
      </c>
      <c r="AP15" s="102">
        <f t="shared" si="13"/>
        <v>0</v>
      </c>
      <c r="AQ15" s="102">
        <f t="shared" si="14"/>
        <v>0</v>
      </c>
      <c r="AR15" s="68" t="str">
        <f>IFERROR(VLOOKUP(A15,CUSTOMERS!$A:$B,2),"")</f>
        <v>BOI</v>
      </c>
      <c r="AS15" s="68" t="str">
        <f>IFERROR(VLOOKUP(A15,CUSTOMERS!$A:$D,3),"")</f>
        <v>RSC</v>
      </c>
      <c r="AT15" s="68" t="str">
        <f>IFERROR(VLOOKUP(A15,CUSTOMERS!$A:$F,6),"")</f>
        <v>Y</v>
      </c>
      <c r="AU15" s="69">
        <f>IFERROR(VLOOKUP(A15,CUSTOMERS!$A:$E,4),"")</f>
        <v>197.7</v>
      </c>
      <c r="AV15" s="68" t="str">
        <f t="shared" si="15"/>
        <v/>
      </c>
      <c r="AW15" s="70" t="str">
        <f t="shared" si="16"/>
        <v>descr15</v>
      </c>
      <c r="AX15" s="71" t="str">
        <f t="shared" si="17"/>
        <v>reason15</v>
      </c>
    </row>
    <row r="16" spans="1:50" s="73" customFormat="1" ht="40.5" customHeight="1" thickTop="1" thickBot="1">
      <c r="A16" s="120" t="s">
        <v>114</v>
      </c>
      <c r="B16" s="120" t="str">
        <f t="shared" si="0"/>
        <v>Y</v>
      </c>
      <c r="C16" s="120"/>
      <c r="D16" s="121">
        <v>646</v>
      </c>
      <c r="E16" s="121"/>
      <c r="F16" s="122" t="str">
        <f t="shared" si="1"/>
        <v>BOI-RSC-2020-00646</v>
      </c>
      <c r="G16" s="123" t="s">
        <v>106</v>
      </c>
      <c r="H16" s="124" t="s">
        <v>118</v>
      </c>
      <c r="I16" s="239"/>
      <c r="J16" s="81">
        <f t="shared" si="2"/>
        <v>0</v>
      </c>
      <c r="K16" s="177">
        <f t="shared" si="3"/>
        <v>43966</v>
      </c>
      <c r="L16" s="141">
        <v>43966</v>
      </c>
      <c r="M16" s="142"/>
      <c r="N16" s="142"/>
      <c r="O16" s="142"/>
      <c r="P16" s="142"/>
      <c r="Q16" s="199" t="s">
        <v>6</v>
      </c>
      <c r="R16" s="199" t="s">
        <v>4</v>
      </c>
      <c r="S16" s="199"/>
      <c r="T16" s="199"/>
      <c r="U16" s="199"/>
      <c r="V16" s="199"/>
      <c r="W16" s="199"/>
      <c r="X16" s="143" t="s">
        <v>418</v>
      </c>
      <c r="Y16" s="173">
        <f t="shared" si="4"/>
        <v>0</v>
      </c>
      <c r="Z16" s="83">
        <f t="shared" si="5"/>
        <v>0</v>
      </c>
      <c r="AA16" s="84">
        <f t="shared" si="6"/>
        <v>0</v>
      </c>
      <c r="AB16" s="84">
        <f t="shared" si="7"/>
        <v>0</v>
      </c>
      <c r="AC16" s="84">
        <f t="shared" si="8"/>
        <v>0</v>
      </c>
      <c r="AD16" s="84"/>
      <c r="AE16" s="84">
        <f t="shared" si="9"/>
        <v>0</v>
      </c>
      <c r="AF16" s="190">
        <f t="shared" si="10"/>
        <v>0</v>
      </c>
      <c r="AG16" s="191">
        <f t="shared" si="11"/>
        <v>0</v>
      </c>
      <c r="AH16" s="85">
        <f>IFERROR(VLOOKUP(A16,CUSTOMERS!$A:$E,4),"")</f>
        <v>197.7</v>
      </c>
      <c r="AI16" s="86" t="str">
        <f t="shared" si="12"/>
        <v/>
      </c>
      <c r="AJ16" s="87">
        <f>IFERROR(VLOOKUP(A16,CUSTOMERS!$A:$F,5),"")</f>
        <v>0.2</v>
      </c>
      <c r="AK16" s="96"/>
      <c r="AL16" s="96">
        <v>0</v>
      </c>
      <c r="AM16" s="96">
        <v>0</v>
      </c>
      <c r="AN16" s="96"/>
      <c r="AO16" s="96">
        <v>0</v>
      </c>
      <c r="AP16" s="102">
        <f t="shared" si="13"/>
        <v>0</v>
      </c>
      <c r="AQ16" s="102">
        <f t="shared" si="14"/>
        <v>0</v>
      </c>
      <c r="AR16" s="68" t="str">
        <f>IFERROR(VLOOKUP(A16,CUSTOMERS!$A:$B,2),"")</f>
        <v>BOI</v>
      </c>
      <c r="AS16" s="68" t="str">
        <f>IFERROR(VLOOKUP(A16,CUSTOMERS!$A:$D,3),"")</f>
        <v>RSC</v>
      </c>
      <c r="AT16" s="68" t="str">
        <f>IFERROR(VLOOKUP(A16,CUSTOMERS!$A:$F,6),"")</f>
        <v>Y</v>
      </c>
      <c r="AU16" s="69">
        <f>IFERROR(VLOOKUP(A16,CUSTOMERS!$A:$E,4),"")</f>
        <v>197.7</v>
      </c>
      <c r="AV16" s="68" t="str">
        <f t="shared" si="15"/>
        <v/>
      </c>
      <c r="AW16" s="70" t="str">
        <f t="shared" si="16"/>
        <v>descr16</v>
      </c>
      <c r="AX16" s="71" t="str">
        <f t="shared" si="17"/>
        <v>reason16</v>
      </c>
    </row>
    <row r="17" spans="1:50" s="73" customFormat="1" ht="40.5" customHeight="1" thickTop="1" thickBot="1">
      <c r="A17" s="120" t="s">
        <v>114</v>
      </c>
      <c r="B17" s="120" t="str">
        <f t="shared" si="0"/>
        <v>Y</v>
      </c>
      <c r="C17" s="120"/>
      <c r="D17" s="121"/>
      <c r="E17" s="121"/>
      <c r="F17" s="122" t="str">
        <f t="shared" si="1"/>
        <v>BOI-RSC-2020-00000</v>
      </c>
      <c r="G17" s="123" t="s">
        <v>339</v>
      </c>
      <c r="H17" s="124" t="s">
        <v>419</v>
      </c>
      <c r="I17" s="239"/>
      <c r="J17" s="81">
        <f t="shared" si="2"/>
        <v>0</v>
      </c>
      <c r="K17" s="177">
        <f t="shared" si="3"/>
        <v>43966</v>
      </c>
      <c r="L17" s="141">
        <v>43966</v>
      </c>
      <c r="M17" s="142"/>
      <c r="N17" s="142"/>
      <c r="O17" s="142"/>
      <c r="P17" s="142"/>
      <c r="Q17" s="199" t="s">
        <v>15</v>
      </c>
      <c r="R17" s="199" t="s">
        <v>4</v>
      </c>
      <c r="S17" s="199"/>
      <c r="T17" s="199"/>
      <c r="U17" s="199"/>
      <c r="V17" s="199"/>
      <c r="W17" s="199"/>
      <c r="X17" s="143" t="s">
        <v>418</v>
      </c>
      <c r="Y17" s="173">
        <f t="shared" si="4"/>
        <v>0</v>
      </c>
      <c r="Z17" s="83">
        <f t="shared" si="5"/>
        <v>0</v>
      </c>
      <c r="AA17" s="84">
        <f t="shared" si="6"/>
        <v>0</v>
      </c>
      <c r="AB17" s="84">
        <f t="shared" si="7"/>
        <v>0</v>
      </c>
      <c r="AC17" s="84">
        <f t="shared" si="8"/>
        <v>0</v>
      </c>
      <c r="AD17" s="84"/>
      <c r="AE17" s="84">
        <f t="shared" si="9"/>
        <v>0</v>
      </c>
      <c r="AF17" s="89">
        <f t="shared" si="10"/>
        <v>0</v>
      </c>
      <c r="AG17" s="94">
        <f t="shared" si="11"/>
        <v>0</v>
      </c>
      <c r="AH17" s="85">
        <f>IFERROR(VLOOKUP(A17,CUSTOMERS!$A:$E,4),"")</f>
        <v>197.7</v>
      </c>
      <c r="AI17" s="86" t="str">
        <f t="shared" si="12"/>
        <v/>
      </c>
      <c r="AJ17" s="87">
        <f>IFERROR(VLOOKUP(A17,CUSTOMERS!$A:$F,5),"")</f>
        <v>0.2</v>
      </c>
      <c r="AK17" s="96"/>
      <c r="AL17" s="96">
        <v>0</v>
      </c>
      <c r="AM17" s="96">
        <v>0</v>
      </c>
      <c r="AN17" s="96"/>
      <c r="AO17" s="96">
        <v>0</v>
      </c>
      <c r="AP17" s="102">
        <f t="shared" si="13"/>
        <v>0</v>
      </c>
      <c r="AQ17" s="102">
        <f t="shared" si="14"/>
        <v>0</v>
      </c>
      <c r="AR17" s="68" t="str">
        <f>IFERROR(VLOOKUP(A17,CUSTOMERS!$A:$B,2),"")</f>
        <v>BOI</v>
      </c>
      <c r="AS17" s="68" t="str">
        <f>IFERROR(VLOOKUP(A17,CUSTOMERS!$A:$D,3),"")</f>
        <v>RSC</v>
      </c>
      <c r="AT17" s="68" t="str">
        <f>IFERROR(VLOOKUP(A17,CUSTOMERS!$A:$F,6),"")</f>
        <v>Y</v>
      </c>
      <c r="AU17" s="69">
        <f>IFERROR(VLOOKUP(A17,CUSTOMERS!$A:$E,4),"")</f>
        <v>197.7</v>
      </c>
      <c r="AV17" s="68" t="str">
        <f t="shared" si="15"/>
        <v/>
      </c>
      <c r="AW17" s="70" t="str">
        <f t="shared" si="16"/>
        <v>descr17</v>
      </c>
      <c r="AX17" s="71" t="str">
        <f t="shared" si="17"/>
        <v>reason17</v>
      </c>
    </row>
    <row r="18" spans="1:50" s="73" customFormat="1" ht="40.5" customHeight="1" thickTop="1" thickBot="1">
      <c r="A18" s="120" t="s">
        <v>114</v>
      </c>
      <c r="B18" s="120" t="str">
        <f t="shared" si="0"/>
        <v>Y</v>
      </c>
      <c r="C18" s="120"/>
      <c r="D18" s="121">
        <v>641</v>
      </c>
      <c r="E18" s="121"/>
      <c r="F18" s="122" t="str">
        <f t="shared" si="1"/>
        <v>BOI-RSC-2020-00641</v>
      </c>
      <c r="G18" s="123" t="s">
        <v>103</v>
      </c>
      <c r="H18" s="124" t="s">
        <v>119</v>
      </c>
      <c r="I18" s="239"/>
      <c r="J18" s="80">
        <f t="shared" si="2"/>
        <v>4447</v>
      </c>
      <c r="K18" s="177">
        <f t="shared" si="3"/>
        <v>44115</v>
      </c>
      <c r="L18" s="141">
        <v>44113</v>
      </c>
      <c r="M18" s="142">
        <v>44113</v>
      </c>
      <c r="N18" s="142">
        <v>44115</v>
      </c>
      <c r="O18" s="142"/>
      <c r="P18" s="142"/>
      <c r="Q18" s="199" t="s">
        <v>15</v>
      </c>
      <c r="R18" s="199" t="s">
        <v>4</v>
      </c>
      <c r="S18" s="199"/>
      <c r="T18" s="199"/>
      <c r="U18" s="199"/>
      <c r="V18" s="199"/>
      <c r="W18" s="199"/>
      <c r="X18" s="144" t="s">
        <v>420</v>
      </c>
      <c r="Y18" s="173">
        <f t="shared" si="4"/>
        <v>4447</v>
      </c>
      <c r="Z18" s="88">
        <f t="shared" si="5"/>
        <v>0</v>
      </c>
      <c r="AA18" s="84">
        <f>IFERROR(ROUND((AL18*AH18)*7.5,0),"")</f>
        <v>2224</v>
      </c>
      <c r="AB18" s="84">
        <f>IFERROR(ROUND((AM18*AH18)*7.5,0),"")</f>
        <v>741</v>
      </c>
      <c r="AC18" s="84">
        <f t="shared" si="8"/>
        <v>0</v>
      </c>
      <c r="AD18" s="84"/>
      <c r="AE18" s="84">
        <f>IFERROR(ROUND((AO18*AH18)*7.5,0),"")</f>
        <v>741</v>
      </c>
      <c r="AF18" s="89">
        <f t="shared" si="10"/>
        <v>3706</v>
      </c>
      <c r="AG18" s="94">
        <f>IFERROR(ROUND((AQ18*AH18)*7.5,0),"")</f>
        <v>741</v>
      </c>
      <c r="AH18" s="85">
        <f>IFERROR(VLOOKUP(A18,CUSTOMERS!$A:$E,4),"")</f>
        <v>197.7</v>
      </c>
      <c r="AI18" s="86" t="str">
        <f t="shared" si="12"/>
        <v/>
      </c>
      <c r="AJ18" s="87">
        <f>IFERROR(VLOOKUP(A18,CUSTOMERS!$A:$F,5),"")</f>
        <v>0.2</v>
      </c>
      <c r="AK18" s="96"/>
      <c r="AL18" s="96">
        <v>1.5</v>
      </c>
      <c r="AM18" s="96">
        <v>0.5</v>
      </c>
      <c r="AN18" s="96"/>
      <c r="AO18" s="96">
        <v>0.5</v>
      </c>
      <c r="AP18" s="102">
        <f t="shared" si="13"/>
        <v>2.5</v>
      </c>
      <c r="AQ18" s="102">
        <f t="shared" si="14"/>
        <v>0.5</v>
      </c>
      <c r="AR18" s="68" t="str">
        <f>IFERROR(VLOOKUP(A18,CUSTOMERS!$A:$B,2),"")</f>
        <v>BOI</v>
      </c>
      <c r="AS18" s="68" t="str">
        <f>IFERROR(VLOOKUP(A18,CUSTOMERS!$A:$D,3),"")</f>
        <v>RSC</v>
      </c>
      <c r="AT18" s="68" t="str">
        <f>IFERROR(VLOOKUP(A18,CUSTOMERS!$A:$F,6),"")</f>
        <v>Y</v>
      </c>
      <c r="AU18" s="69">
        <f>IFERROR(VLOOKUP(A18,CUSTOMERS!$A:$E,4),"")</f>
        <v>197.7</v>
      </c>
      <c r="AV18" s="68" t="str">
        <f t="shared" si="15"/>
        <v/>
      </c>
      <c r="AW18" s="70" t="str">
        <f t="shared" si="16"/>
        <v>descr18</v>
      </c>
      <c r="AX18" s="71" t="str">
        <f t="shared" si="17"/>
        <v>reason18</v>
      </c>
    </row>
    <row r="19" spans="1:50" s="73" customFormat="1" ht="40.5" customHeight="1" thickTop="1" thickBot="1">
      <c r="A19" s="120" t="s">
        <v>114</v>
      </c>
      <c r="B19" s="120" t="str">
        <f t="shared" si="0"/>
        <v>Y</v>
      </c>
      <c r="C19" s="120"/>
      <c r="D19" s="121">
        <v>642</v>
      </c>
      <c r="E19" s="121"/>
      <c r="F19" s="122" t="str">
        <f t="shared" si="1"/>
        <v>BOI-RSC-2020-00642</v>
      </c>
      <c r="G19" s="123" t="s">
        <v>103</v>
      </c>
      <c r="H19" s="124" t="s">
        <v>120</v>
      </c>
      <c r="I19" s="239"/>
      <c r="J19" s="80">
        <f t="shared" si="2"/>
        <v>5337.9</v>
      </c>
      <c r="K19" s="177">
        <f t="shared" si="3"/>
        <v>44118</v>
      </c>
      <c r="L19" s="141">
        <v>44116</v>
      </c>
      <c r="M19" s="142"/>
      <c r="N19" s="142"/>
      <c r="O19" s="142"/>
      <c r="P19" s="142">
        <v>44118</v>
      </c>
      <c r="Q19" s="199" t="s">
        <v>13</v>
      </c>
      <c r="R19" s="199" t="s">
        <v>4</v>
      </c>
      <c r="S19" s="199"/>
      <c r="T19" s="199"/>
      <c r="U19" s="199"/>
      <c r="V19" s="199"/>
      <c r="W19" s="199"/>
      <c r="X19" s="144"/>
      <c r="Y19" s="173">
        <f t="shared" si="4"/>
        <v>5337.9</v>
      </c>
      <c r="Z19" s="83">
        <f t="shared" si="5"/>
        <v>0</v>
      </c>
      <c r="AA19" s="84">
        <f t="shared" ref="AA19:AA31" si="18">IFERROR((AL19*AH19)*7.5,"")</f>
        <v>2965.5</v>
      </c>
      <c r="AB19" s="84">
        <f t="shared" ref="AB19:AB32" si="19">IFERROR((AM19*AH19)*7.5,"")</f>
        <v>741.375</v>
      </c>
      <c r="AC19" s="84">
        <f t="shared" si="8"/>
        <v>0</v>
      </c>
      <c r="AD19" s="84"/>
      <c r="AE19" s="84">
        <f t="shared" ref="AE19:AE97" si="20">IFERROR((AO19*AH19)*7.5,"")</f>
        <v>741.375</v>
      </c>
      <c r="AF19" s="84">
        <f t="shared" si="10"/>
        <v>4448.25</v>
      </c>
      <c r="AG19" s="94">
        <f t="shared" ref="AG19:AG97" si="21">IFERROR((AQ19*AH19)*7.5,"")</f>
        <v>889.65000000000009</v>
      </c>
      <c r="AH19" s="85">
        <f>IFERROR(VLOOKUP(A19,CUSTOMERS!$A:$E,4),"")</f>
        <v>197.7</v>
      </c>
      <c r="AI19" s="86" t="str">
        <f t="shared" si="12"/>
        <v/>
      </c>
      <c r="AJ19" s="87">
        <f>IFERROR(VLOOKUP(A19,CUSTOMERS!$A:$F,5),"")</f>
        <v>0.2</v>
      </c>
      <c r="AK19" s="96"/>
      <c r="AL19" s="96">
        <v>2</v>
      </c>
      <c r="AM19" s="96">
        <v>0.5</v>
      </c>
      <c r="AN19" s="96"/>
      <c r="AO19" s="96">
        <v>0.5</v>
      </c>
      <c r="AP19" s="103">
        <f t="shared" si="13"/>
        <v>3</v>
      </c>
      <c r="AQ19" s="103">
        <f t="shared" si="14"/>
        <v>0.60000000000000009</v>
      </c>
      <c r="AR19" s="68" t="str">
        <f>IFERROR(VLOOKUP(A19,CUSTOMERS!$A:$B,2),"")</f>
        <v>BOI</v>
      </c>
      <c r="AS19" s="68" t="str">
        <f>IFERROR(VLOOKUP(A19,CUSTOMERS!$A:$D,3),"")</f>
        <v>RSC</v>
      </c>
      <c r="AT19" s="68" t="str">
        <f>IFERROR(VLOOKUP(A19,CUSTOMERS!$A:$F,6),"")</f>
        <v>Y</v>
      </c>
      <c r="AU19" s="69">
        <f>IFERROR(VLOOKUP(A19,CUSTOMERS!$A:$E,4),"")</f>
        <v>197.7</v>
      </c>
      <c r="AV19" s="68" t="str">
        <f t="shared" si="15"/>
        <v/>
      </c>
      <c r="AW19" s="70" t="str">
        <f t="shared" si="16"/>
        <v>descr19</v>
      </c>
      <c r="AX19" s="71" t="str">
        <f t="shared" si="17"/>
        <v>reason19</v>
      </c>
    </row>
    <row r="20" spans="1:50" s="73" customFormat="1" ht="40.5" customHeight="1" thickTop="1" thickBot="1">
      <c r="A20" s="120" t="s">
        <v>114</v>
      </c>
      <c r="B20" s="120" t="s">
        <v>283</v>
      </c>
      <c r="C20" s="120"/>
      <c r="D20" s="121">
        <v>647</v>
      </c>
      <c r="E20" s="121"/>
      <c r="F20" s="122" t="str">
        <f t="shared" si="1"/>
        <v>BOI-RSC-2021-00647</v>
      </c>
      <c r="G20" s="123" t="s">
        <v>100</v>
      </c>
      <c r="H20" s="124" t="s">
        <v>121</v>
      </c>
      <c r="I20" s="239"/>
      <c r="J20" s="80">
        <f t="shared" si="2"/>
        <v>0</v>
      </c>
      <c r="K20" s="177">
        <f t="shared" si="3"/>
        <v>44223</v>
      </c>
      <c r="L20" s="146">
        <v>44223</v>
      </c>
      <c r="M20" s="147"/>
      <c r="N20" s="147"/>
      <c r="O20" s="147"/>
      <c r="P20" s="147"/>
      <c r="Q20" s="199" t="s">
        <v>13</v>
      </c>
      <c r="R20" s="199" t="s">
        <v>4</v>
      </c>
      <c r="S20" s="199"/>
      <c r="T20" s="199"/>
      <c r="U20" s="199"/>
      <c r="V20" s="199"/>
      <c r="W20" s="199"/>
      <c r="X20" s="144"/>
      <c r="Y20" s="173">
        <f t="shared" si="4"/>
        <v>0</v>
      </c>
      <c r="Z20" s="83">
        <f t="shared" si="5"/>
        <v>0</v>
      </c>
      <c r="AA20" s="84">
        <f t="shared" si="18"/>
        <v>0</v>
      </c>
      <c r="AB20" s="84">
        <f t="shared" si="19"/>
        <v>0</v>
      </c>
      <c r="AC20" s="84">
        <f t="shared" si="8"/>
        <v>0</v>
      </c>
      <c r="AD20" s="84"/>
      <c r="AE20" s="84">
        <f t="shared" si="20"/>
        <v>0</v>
      </c>
      <c r="AF20" s="84">
        <f t="shared" si="10"/>
        <v>0</v>
      </c>
      <c r="AG20" s="94">
        <f t="shared" si="21"/>
        <v>0</v>
      </c>
      <c r="AH20" s="85">
        <f>IFERROR(VLOOKUP(A20,CUSTOMERS!$A:$E,4),"")</f>
        <v>197.7</v>
      </c>
      <c r="AI20" s="86" t="str">
        <f t="shared" si="12"/>
        <v/>
      </c>
      <c r="AJ20" s="87">
        <f>IFERROR(VLOOKUP(A20,CUSTOMERS!$A:$F,5),"")</f>
        <v>0.2</v>
      </c>
      <c r="AK20" s="96"/>
      <c r="AL20" s="96">
        <v>0</v>
      </c>
      <c r="AM20" s="96">
        <v>0</v>
      </c>
      <c r="AN20" s="96">
        <v>0</v>
      </c>
      <c r="AO20" s="96">
        <v>0</v>
      </c>
      <c r="AP20" s="103">
        <f t="shared" si="13"/>
        <v>0</v>
      </c>
      <c r="AQ20" s="103">
        <f t="shared" si="14"/>
        <v>0</v>
      </c>
      <c r="AR20" s="68" t="str">
        <f>IFERROR(VLOOKUP(A20,CUSTOMERS!$A:$B,2),"")</f>
        <v>BOI</v>
      </c>
      <c r="AS20" s="68" t="str">
        <f>IFERROR(VLOOKUP(A20,CUSTOMERS!$A:$D,3),"")</f>
        <v>RSC</v>
      </c>
      <c r="AT20" s="68" t="str">
        <f>IFERROR(VLOOKUP(A20,CUSTOMERS!$A:$F,6),"")</f>
        <v>Y</v>
      </c>
      <c r="AU20" s="69">
        <f>IFERROR(VLOOKUP(A20,CUSTOMERS!$A:$E,4),"")</f>
        <v>197.7</v>
      </c>
      <c r="AV20" s="68" t="str">
        <f t="shared" si="15"/>
        <v/>
      </c>
      <c r="AW20" s="70" t="str">
        <f t="shared" si="16"/>
        <v>descr20</v>
      </c>
      <c r="AX20" s="71" t="str">
        <f t="shared" si="17"/>
        <v>reason20</v>
      </c>
    </row>
    <row r="21" spans="1:50" s="73" customFormat="1" ht="40.5" customHeight="1" thickTop="1" thickBot="1">
      <c r="A21" s="120" t="s">
        <v>114</v>
      </c>
      <c r="B21" s="120" t="str">
        <f t="shared" ref="B21:B67" si="22">AT21</f>
        <v>Y</v>
      </c>
      <c r="C21" s="120"/>
      <c r="D21" s="121">
        <v>648</v>
      </c>
      <c r="E21" s="121"/>
      <c r="F21" s="122" t="str">
        <f t="shared" si="1"/>
        <v>BOI-RSC-2021-00648</v>
      </c>
      <c r="G21" s="123" t="s">
        <v>103</v>
      </c>
      <c r="H21" s="124" t="s">
        <v>122</v>
      </c>
      <c r="I21" s="239"/>
      <c r="J21" s="80">
        <f t="shared" si="2"/>
        <v>12010.275</v>
      </c>
      <c r="K21" s="177">
        <f t="shared" si="3"/>
        <v>44222</v>
      </c>
      <c r="L21" s="146">
        <v>44222</v>
      </c>
      <c r="M21" s="147">
        <v>44222</v>
      </c>
      <c r="N21" s="147">
        <v>44222</v>
      </c>
      <c r="O21" s="147"/>
      <c r="P21" s="147">
        <v>44222</v>
      </c>
      <c r="Q21" s="199" t="s">
        <v>13</v>
      </c>
      <c r="R21" s="199" t="s">
        <v>4</v>
      </c>
      <c r="S21" s="199"/>
      <c r="T21" s="199"/>
      <c r="U21" s="199"/>
      <c r="V21" s="199"/>
      <c r="W21" s="199"/>
      <c r="X21" s="144"/>
      <c r="Y21" s="173">
        <f t="shared" si="4"/>
        <v>12010.275</v>
      </c>
      <c r="Z21" s="83">
        <f t="shared" si="5"/>
        <v>0</v>
      </c>
      <c r="AA21" s="84">
        <f t="shared" si="18"/>
        <v>7043.0624999999991</v>
      </c>
      <c r="AB21" s="84">
        <f t="shared" si="19"/>
        <v>1482.75</v>
      </c>
      <c r="AC21" s="84">
        <f t="shared" si="8"/>
        <v>1482.75</v>
      </c>
      <c r="AD21" s="84"/>
      <c r="AE21" s="84">
        <f t="shared" si="20"/>
        <v>0</v>
      </c>
      <c r="AF21" s="179">
        <f t="shared" si="10"/>
        <v>10008.5625</v>
      </c>
      <c r="AG21" s="191">
        <f t="shared" si="21"/>
        <v>2001.7124999999999</v>
      </c>
      <c r="AH21" s="85">
        <f>IFERROR(VLOOKUP(A21,CUSTOMERS!$A:$E,4),"")</f>
        <v>197.7</v>
      </c>
      <c r="AI21" s="86" t="str">
        <f t="shared" si="12"/>
        <v/>
      </c>
      <c r="AJ21" s="87">
        <f>IFERROR(VLOOKUP(A21,CUSTOMERS!$A:$F,5),"")</f>
        <v>0.2</v>
      </c>
      <c r="AK21" s="96"/>
      <c r="AL21" s="96">
        <v>4.75</v>
      </c>
      <c r="AM21" s="96">
        <v>1</v>
      </c>
      <c r="AN21" s="96">
        <v>1</v>
      </c>
      <c r="AO21" s="96">
        <v>0</v>
      </c>
      <c r="AP21" s="103">
        <f t="shared" si="13"/>
        <v>6.75</v>
      </c>
      <c r="AQ21" s="103">
        <f t="shared" si="14"/>
        <v>1.35</v>
      </c>
      <c r="AR21" s="68" t="str">
        <f>IFERROR(VLOOKUP(A21,CUSTOMERS!$A:$B,2),"")</f>
        <v>BOI</v>
      </c>
      <c r="AS21" s="68" t="str">
        <f>IFERROR(VLOOKUP(A21,CUSTOMERS!$A:$D,3),"")</f>
        <v>RSC</v>
      </c>
      <c r="AT21" s="68" t="str">
        <f>IFERROR(VLOOKUP(A21,CUSTOMERS!$A:$F,6),"")</f>
        <v>Y</v>
      </c>
      <c r="AU21" s="69">
        <f>IFERROR(VLOOKUP(A21,CUSTOMERS!$A:$E,4),"")</f>
        <v>197.7</v>
      </c>
      <c r="AV21" s="68" t="str">
        <f t="shared" si="15"/>
        <v/>
      </c>
      <c r="AW21" s="70" t="str">
        <f t="shared" si="16"/>
        <v>descr21</v>
      </c>
      <c r="AX21" s="71" t="str">
        <f t="shared" si="17"/>
        <v>reason21</v>
      </c>
    </row>
    <row r="22" spans="1:50" s="73" customFormat="1" ht="40.5" customHeight="1" thickTop="1" thickBot="1">
      <c r="A22" s="120" t="s">
        <v>114</v>
      </c>
      <c r="B22" s="120" t="str">
        <f t="shared" si="22"/>
        <v>Y</v>
      </c>
      <c r="C22" s="120"/>
      <c r="D22" s="121">
        <v>644</v>
      </c>
      <c r="E22" s="121"/>
      <c r="F22" s="122" t="str">
        <f t="shared" si="1"/>
        <v>BOI-RSC-2021-00644</v>
      </c>
      <c r="G22" s="123" t="s">
        <v>103</v>
      </c>
      <c r="H22" s="124" t="s">
        <v>123</v>
      </c>
      <c r="I22" s="239"/>
      <c r="J22" s="80">
        <f t="shared" si="2"/>
        <v>42258.375</v>
      </c>
      <c r="K22" s="177">
        <f t="shared" si="3"/>
        <v>44223</v>
      </c>
      <c r="L22" s="146">
        <v>44223</v>
      </c>
      <c r="M22" s="147">
        <v>44223</v>
      </c>
      <c r="N22" s="147">
        <v>44223</v>
      </c>
      <c r="O22" s="147"/>
      <c r="P22" s="147"/>
      <c r="Q22" s="199" t="s">
        <v>13</v>
      </c>
      <c r="R22" s="199" t="s">
        <v>4</v>
      </c>
      <c r="S22" s="199"/>
      <c r="T22" s="199"/>
      <c r="U22" s="199"/>
      <c r="V22" s="199"/>
      <c r="W22" s="199"/>
      <c r="X22" s="144" t="s">
        <v>421</v>
      </c>
      <c r="Y22" s="173">
        <f t="shared" si="4"/>
        <v>42258.375</v>
      </c>
      <c r="Z22" s="83">
        <f t="shared" si="5"/>
        <v>0</v>
      </c>
      <c r="AA22" s="84">
        <f t="shared" si="18"/>
        <v>27801.5625</v>
      </c>
      <c r="AB22" s="84">
        <f t="shared" si="19"/>
        <v>1482.75</v>
      </c>
      <c r="AC22" s="84">
        <f t="shared" si="8"/>
        <v>5931</v>
      </c>
      <c r="AD22" s="84"/>
      <c r="AE22" s="84">
        <f t="shared" si="20"/>
        <v>0</v>
      </c>
      <c r="AF22" s="179">
        <f t="shared" si="10"/>
        <v>35215.3125</v>
      </c>
      <c r="AG22" s="191">
        <f t="shared" si="21"/>
        <v>7043.0624999999991</v>
      </c>
      <c r="AH22" s="85">
        <f>IFERROR(VLOOKUP(A22,CUSTOMERS!$A:$E,4),"")</f>
        <v>197.7</v>
      </c>
      <c r="AI22" s="86" t="str">
        <f t="shared" si="12"/>
        <v/>
      </c>
      <c r="AJ22" s="87">
        <f>IFERROR(VLOOKUP(A22,CUSTOMERS!$A:$F,5),"")</f>
        <v>0.2</v>
      </c>
      <c r="AK22" s="96"/>
      <c r="AL22" s="96">
        <v>18.75</v>
      </c>
      <c r="AM22" s="96">
        <v>1</v>
      </c>
      <c r="AN22" s="96">
        <v>4</v>
      </c>
      <c r="AO22" s="96">
        <v>0</v>
      </c>
      <c r="AP22" s="103">
        <f t="shared" si="13"/>
        <v>23.75</v>
      </c>
      <c r="AQ22" s="103">
        <f t="shared" si="14"/>
        <v>4.75</v>
      </c>
      <c r="AR22" s="68" t="str">
        <f>IFERROR(VLOOKUP(A22,CUSTOMERS!$A:$B,2),"")</f>
        <v>BOI</v>
      </c>
      <c r="AS22" s="68" t="str">
        <f>IFERROR(VLOOKUP(A22,CUSTOMERS!$A:$D,3),"")</f>
        <v>RSC</v>
      </c>
      <c r="AT22" s="68" t="str">
        <f>IFERROR(VLOOKUP(A22,CUSTOMERS!$A:$F,6),"")</f>
        <v>Y</v>
      </c>
      <c r="AU22" s="69">
        <f>IFERROR(VLOOKUP(A22,CUSTOMERS!$A:$E,4),"")</f>
        <v>197.7</v>
      </c>
      <c r="AV22" s="68" t="str">
        <f t="shared" si="15"/>
        <v/>
      </c>
      <c r="AW22" s="70" t="str">
        <f t="shared" si="16"/>
        <v>descr22</v>
      </c>
      <c r="AX22" s="71" t="str">
        <f t="shared" si="17"/>
        <v>reason22</v>
      </c>
    </row>
    <row r="23" spans="1:50" s="73" customFormat="1" ht="40.5" customHeight="1" thickTop="1" thickBot="1">
      <c r="A23" s="120" t="s">
        <v>114</v>
      </c>
      <c r="B23" s="120" t="str">
        <f t="shared" si="22"/>
        <v>Y</v>
      </c>
      <c r="C23" s="120"/>
      <c r="D23" s="121">
        <v>649</v>
      </c>
      <c r="E23" s="121"/>
      <c r="F23" s="122" t="str">
        <f t="shared" si="1"/>
        <v>BOI-RSC-2021-00649</v>
      </c>
      <c r="G23" s="123" t="s">
        <v>109</v>
      </c>
      <c r="H23" s="124" t="s">
        <v>124</v>
      </c>
      <c r="I23" s="239"/>
      <c r="J23" s="80">
        <f t="shared" si="2"/>
        <v>0</v>
      </c>
      <c r="K23" s="177">
        <f t="shared" si="3"/>
        <v>44223</v>
      </c>
      <c r="L23" s="146">
        <v>44223</v>
      </c>
      <c r="M23" s="147">
        <v>44223</v>
      </c>
      <c r="N23" s="147">
        <v>44223</v>
      </c>
      <c r="O23" s="147"/>
      <c r="P23" s="147"/>
      <c r="Q23" s="199" t="s">
        <v>15</v>
      </c>
      <c r="R23" s="199" t="s">
        <v>4</v>
      </c>
      <c r="S23" s="199"/>
      <c r="T23" s="199"/>
      <c r="U23" s="199"/>
      <c r="V23" s="199"/>
      <c r="W23" s="199"/>
      <c r="X23" s="144"/>
      <c r="Y23" s="173">
        <f t="shared" si="4"/>
        <v>0</v>
      </c>
      <c r="Z23" s="83">
        <f t="shared" si="5"/>
        <v>0</v>
      </c>
      <c r="AA23" s="84">
        <f t="shared" si="18"/>
        <v>0</v>
      </c>
      <c r="AB23" s="84">
        <f t="shared" si="19"/>
        <v>0</v>
      </c>
      <c r="AC23" s="84">
        <f t="shared" si="8"/>
        <v>0</v>
      </c>
      <c r="AD23" s="84"/>
      <c r="AE23" s="84">
        <f t="shared" si="20"/>
        <v>0</v>
      </c>
      <c r="AF23" s="179">
        <f t="shared" si="10"/>
        <v>0</v>
      </c>
      <c r="AG23" s="191">
        <f t="shared" si="21"/>
        <v>0</v>
      </c>
      <c r="AH23" s="85">
        <f>IFERROR(VLOOKUP(A23,CUSTOMERS!$A:$E,4),"")</f>
        <v>197.7</v>
      </c>
      <c r="AI23" s="86" t="str">
        <f t="shared" si="12"/>
        <v/>
      </c>
      <c r="AJ23" s="87">
        <f>IFERROR(VLOOKUP(A23,CUSTOMERS!$A:$F,5),"")</f>
        <v>0.2</v>
      </c>
      <c r="AK23" s="96"/>
      <c r="AL23" s="96">
        <v>0</v>
      </c>
      <c r="AM23" s="96">
        <v>0</v>
      </c>
      <c r="AN23" s="96">
        <v>0</v>
      </c>
      <c r="AO23" s="96">
        <v>0</v>
      </c>
      <c r="AP23" s="103">
        <f t="shared" si="13"/>
        <v>0</v>
      </c>
      <c r="AQ23" s="103">
        <f t="shared" si="14"/>
        <v>0</v>
      </c>
      <c r="AR23" s="68" t="str">
        <f>IFERROR(VLOOKUP(A23,CUSTOMERS!$A:$B,2),"")</f>
        <v>BOI</v>
      </c>
      <c r="AS23" s="68" t="str">
        <f>IFERROR(VLOOKUP(A23,CUSTOMERS!$A:$D,3),"")</f>
        <v>RSC</v>
      </c>
      <c r="AT23" s="68" t="str">
        <f>IFERROR(VLOOKUP(A23,CUSTOMERS!$A:$F,6),"")</f>
        <v>Y</v>
      </c>
      <c r="AU23" s="69">
        <f>IFERROR(VLOOKUP(A23,CUSTOMERS!$A:$E,4),"")</f>
        <v>197.7</v>
      </c>
      <c r="AV23" s="68" t="str">
        <f t="shared" si="15"/>
        <v/>
      </c>
      <c r="AW23" s="70" t="str">
        <f t="shared" si="16"/>
        <v>descr23</v>
      </c>
      <c r="AX23" s="71" t="str">
        <f t="shared" si="17"/>
        <v>reason23</v>
      </c>
    </row>
    <row r="24" spans="1:50" s="73" customFormat="1" ht="40.5" customHeight="1" thickTop="1" thickBot="1">
      <c r="A24" s="120" t="s">
        <v>114</v>
      </c>
      <c r="B24" s="120" t="str">
        <f t="shared" si="22"/>
        <v>Y</v>
      </c>
      <c r="C24" s="120"/>
      <c r="D24" s="120">
        <v>650</v>
      </c>
      <c r="E24" s="120"/>
      <c r="F24" s="122" t="str">
        <f t="shared" si="1"/>
        <v>BOI-RSC-2021-00650</v>
      </c>
      <c r="G24" s="123" t="s">
        <v>109</v>
      </c>
      <c r="H24" s="124" t="s">
        <v>125</v>
      </c>
      <c r="I24" s="239"/>
      <c r="J24" s="184">
        <f t="shared" si="2"/>
        <v>0</v>
      </c>
      <c r="K24" s="177">
        <v>44282</v>
      </c>
      <c r="L24" s="141">
        <v>44273</v>
      </c>
      <c r="M24" s="147"/>
      <c r="N24" s="147"/>
      <c r="O24" s="147"/>
      <c r="P24" s="147"/>
      <c r="Q24" s="199" t="s">
        <v>15</v>
      </c>
      <c r="R24" s="199" t="s">
        <v>4</v>
      </c>
      <c r="S24" s="199"/>
      <c r="T24" s="199"/>
      <c r="U24" s="199"/>
      <c r="V24" s="199"/>
      <c r="W24" s="199"/>
      <c r="X24" s="144"/>
      <c r="Y24" s="173">
        <f t="shared" si="4"/>
        <v>0</v>
      </c>
      <c r="Z24" s="178">
        <f t="shared" si="5"/>
        <v>0</v>
      </c>
      <c r="AA24" s="179">
        <f t="shared" si="18"/>
        <v>0</v>
      </c>
      <c r="AB24" s="179">
        <f t="shared" si="19"/>
        <v>0</v>
      </c>
      <c r="AC24" s="179">
        <f t="shared" si="8"/>
        <v>0</v>
      </c>
      <c r="AD24" s="179"/>
      <c r="AE24" s="179">
        <f t="shared" si="20"/>
        <v>0</v>
      </c>
      <c r="AF24" s="179">
        <f t="shared" si="10"/>
        <v>0</v>
      </c>
      <c r="AG24" s="191">
        <f t="shared" si="21"/>
        <v>0</v>
      </c>
      <c r="AH24" s="180">
        <f>IFERROR(VLOOKUP(A24,CUSTOMERS!$A:$E,4),"")</f>
        <v>197.7</v>
      </c>
      <c r="AI24" s="181" t="str">
        <f t="shared" si="12"/>
        <v/>
      </c>
      <c r="AJ24" s="182">
        <f>IFERROR(VLOOKUP(A24,CUSTOMERS!$A:$F,5),"")</f>
        <v>0.2</v>
      </c>
      <c r="AK24" s="183"/>
      <c r="AL24" s="183">
        <v>0</v>
      </c>
      <c r="AM24" s="183">
        <v>0</v>
      </c>
      <c r="AN24" s="183">
        <v>0</v>
      </c>
      <c r="AO24" s="183">
        <v>0</v>
      </c>
      <c r="AP24" s="103">
        <f t="shared" si="13"/>
        <v>0</v>
      </c>
      <c r="AQ24" s="103">
        <f t="shared" si="14"/>
        <v>0</v>
      </c>
      <c r="AR24" s="68" t="str">
        <f>IFERROR(VLOOKUP(A24,CUSTOMERS!$A:$B,2),"")</f>
        <v>BOI</v>
      </c>
      <c r="AS24" s="68" t="str">
        <f>IFERROR(VLOOKUP(A24,CUSTOMERS!$A:$D,3),"")</f>
        <v>RSC</v>
      </c>
      <c r="AT24" s="68" t="str">
        <f>IFERROR(VLOOKUP(A24,CUSTOMERS!$A:$F,6),"")</f>
        <v>Y</v>
      </c>
      <c r="AU24" s="69">
        <f>IFERROR(VLOOKUP(A24,CUSTOMERS!$A:$E,4),"")</f>
        <v>197.7</v>
      </c>
      <c r="AV24" s="68" t="str">
        <f t="shared" si="15"/>
        <v/>
      </c>
      <c r="AW24" s="70" t="str">
        <f t="shared" si="16"/>
        <v>descr24</v>
      </c>
      <c r="AX24" s="71" t="str">
        <f t="shared" si="17"/>
        <v>reason24</v>
      </c>
    </row>
    <row r="25" spans="1:50" s="73" customFormat="1" ht="40.5" customHeight="1" thickTop="1" thickBot="1">
      <c r="A25" s="120" t="s">
        <v>114</v>
      </c>
      <c r="B25" s="120" t="str">
        <f t="shared" ref="B25" si="23">AT25</f>
        <v>Y</v>
      </c>
      <c r="C25" s="120"/>
      <c r="D25" s="120">
        <v>651</v>
      </c>
      <c r="E25" s="120"/>
      <c r="F25" s="122" t="str">
        <f t="shared" si="1"/>
        <v>BOI-RSC-2021-00651</v>
      </c>
      <c r="G25" s="123" t="s">
        <v>106</v>
      </c>
      <c r="H25" s="124" t="s">
        <v>126</v>
      </c>
      <c r="I25" s="239"/>
      <c r="J25" s="184">
        <f t="shared" ref="J25" si="24">Y25</f>
        <v>0</v>
      </c>
      <c r="K25" s="177">
        <v>44282</v>
      </c>
      <c r="L25" s="146">
        <v>44273</v>
      </c>
      <c r="M25" s="147"/>
      <c r="N25" s="147"/>
      <c r="O25" s="147"/>
      <c r="P25" s="147"/>
      <c r="Q25" s="199" t="s">
        <v>15</v>
      </c>
      <c r="R25" s="199" t="s">
        <v>4</v>
      </c>
      <c r="S25" s="199"/>
      <c r="T25" s="199"/>
      <c r="U25" s="199"/>
      <c r="V25" s="199"/>
      <c r="W25" s="199"/>
      <c r="X25" s="144" t="s">
        <v>422</v>
      </c>
      <c r="Y25" s="173">
        <f t="shared" ref="Y25" si="25">IFERROR(AF25+AG25,"")</f>
        <v>0</v>
      </c>
      <c r="Z25" s="178">
        <f t="shared" ref="Z25" si="26">IFERROR((AK25*AH25)*7.5,"")</f>
        <v>0</v>
      </c>
      <c r="AA25" s="179">
        <f t="shared" ref="AA25" si="27">IFERROR((AL25*AH25)*7.5,"")</f>
        <v>0</v>
      </c>
      <c r="AB25" s="179">
        <f t="shared" ref="AB25" si="28">IFERROR((AM25*AH25)*7.5,"")</f>
        <v>0</v>
      </c>
      <c r="AC25" s="179">
        <f t="shared" ref="AC25" si="29">IFERROR((AN25*AH25)*7.5,"")</f>
        <v>0</v>
      </c>
      <c r="AD25" s="179"/>
      <c r="AE25" s="179">
        <f t="shared" ref="AE25" si="30">IFERROR((AO25*AH25)*7.5,"")</f>
        <v>0</v>
      </c>
      <c r="AF25" s="179">
        <f t="shared" ref="AF25" si="31">IFERROR(SUM(Z25:AE25),"")</f>
        <v>0</v>
      </c>
      <c r="AG25" s="191">
        <f t="shared" ref="AG25" si="32">IFERROR((AQ25*AH25)*7.5,"")</f>
        <v>0</v>
      </c>
      <c r="AH25" s="180">
        <f>IFERROR(VLOOKUP(A25,CUSTOMERS!$A:$E,4),"")</f>
        <v>197.7</v>
      </c>
      <c r="AI25" s="181" t="str">
        <f t="shared" ref="AI25" si="33">AV25</f>
        <v/>
      </c>
      <c r="AJ25" s="182">
        <f>IFERROR(VLOOKUP(A25,CUSTOMERS!$A:$F,5),"")</f>
        <v>0.2</v>
      </c>
      <c r="AK25" s="183"/>
      <c r="AL25" s="183">
        <v>0</v>
      </c>
      <c r="AM25" s="183">
        <v>0</v>
      </c>
      <c r="AN25" s="183">
        <v>0</v>
      </c>
      <c r="AO25" s="183">
        <v>0</v>
      </c>
      <c r="AP25" s="103">
        <f t="shared" ref="AP25" si="34">SUM(AK25:AO25)</f>
        <v>0</v>
      </c>
      <c r="AQ25" s="103">
        <f t="shared" ref="AQ25" si="35">IFERROR(AP25*AJ25,"")</f>
        <v>0</v>
      </c>
      <c r="AR25" s="68" t="str">
        <f>IFERROR(VLOOKUP(A25,CUSTOMERS!$A:$B,2),"")</f>
        <v>BOI</v>
      </c>
      <c r="AS25" s="68" t="str">
        <f>IFERROR(VLOOKUP(A25,CUSTOMERS!$A:$D,3),"")</f>
        <v>RSC</v>
      </c>
      <c r="AT25" s="68" t="str">
        <f>IFERROR(VLOOKUP(A25,CUSTOMERS!$A:$F,6),"")</f>
        <v>Y</v>
      </c>
      <c r="AU25" s="69">
        <f>IFERROR(VLOOKUP(A25,CUSTOMERS!$A:$E,4),"")</f>
        <v>197.7</v>
      </c>
      <c r="AV25" s="68" t="str">
        <f t="shared" si="15"/>
        <v/>
      </c>
      <c r="AW25" s="70" t="str">
        <f t="shared" si="16"/>
        <v>descr25</v>
      </c>
      <c r="AX25" s="71" t="str">
        <f t="shared" si="17"/>
        <v>reason25</v>
      </c>
    </row>
    <row r="26" spans="1:50" s="73" customFormat="1" ht="40.5" customHeight="1" thickTop="1" thickBot="1">
      <c r="A26" s="120" t="s">
        <v>114</v>
      </c>
      <c r="B26" s="120" t="str">
        <f t="shared" si="22"/>
        <v>Y</v>
      </c>
      <c r="C26" s="120"/>
      <c r="D26" s="120">
        <v>654</v>
      </c>
      <c r="E26" s="120"/>
      <c r="F26" s="122" t="str">
        <f t="shared" si="1"/>
        <v>BOI-RSC-2021-00654</v>
      </c>
      <c r="G26" s="123" t="s">
        <v>103</v>
      </c>
      <c r="H26" s="124" t="s">
        <v>127</v>
      </c>
      <c r="I26" s="239"/>
      <c r="J26" s="184">
        <f t="shared" si="2"/>
        <v>5034</v>
      </c>
      <c r="K26" s="177">
        <v>44341</v>
      </c>
      <c r="L26" s="146">
        <v>44341</v>
      </c>
      <c r="M26" s="147"/>
      <c r="N26" s="147"/>
      <c r="O26" s="147"/>
      <c r="P26" s="147"/>
      <c r="Q26" s="199" t="s">
        <v>423</v>
      </c>
      <c r="R26" s="199" t="s">
        <v>4</v>
      </c>
      <c r="S26" s="199"/>
      <c r="T26" s="199"/>
      <c r="U26" s="199"/>
      <c r="V26" s="199"/>
      <c r="W26" s="199"/>
      <c r="X26" s="144"/>
      <c r="Y26" s="173">
        <f t="shared" si="4"/>
        <v>5034</v>
      </c>
      <c r="Z26" s="178">
        <f t="shared" si="5"/>
        <v>0</v>
      </c>
      <c r="AA26" s="179">
        <f t="shared" si="18"/>
        <v>0</v>
      </c>
      <c r="AB26" s="179">
        <f t="shared" si="19"/>
        <v>0</v>
      </c>
      <c r="AC26" s="179">
        <f t="shared" si="8"/>
        <v>0</v>
      </c>
      <c r="AD26" s="179"/>
      <c r="AE26" s="179">
        <f t="shared" si="20"/>
        <v>0</v>
      </c>
      <c r="AF26" s="179">
        <v>5034</v>
      </c>
      <c r="AG26" s="191">
        <f t="shared" si="21"/>
        <v>0</v>
      </c>
      <c r="AH26" s="180">
        <f>IFERROR(VLOOKUP(A26,CUSTOMERS!$A:$E,4),"")</f>
        <v>197.7</v>
      </c>
      <c r="AI26" s="181" t="str">
        <f t="shared" si="12"/>
        <v/>
      </c>
      <c r="AJ26" s="182">
        <f>IFERROR(VLOOKUP(A26,CUSTOMERS!$A:$F,5),"")</f>
        <v>0.2</v>
      </c>
      <c r="AK26" s="183"/>
      <c r="AL26" s="183">
        <v>0</v>
      </c>
      <c r="AM26" s="183">
        <v>0</v>
      </c>
      <c r="AN26" s="183">
        <v>0</v>
      </c>
      <c r="AO26" s="183">
        <v>0</v>
      </c>
      <c r="AP26" s="103">
        <f t="shared" si="13"/>
        <v>0</v>
      </c>
      <c r="AQ26" s="103">
        <f t="shared" si="14"/>
        <v>0</v>
      </c>
      <c r="AR26" s="68" t="str">
        <f>IFERROR(VLOOKUP(A26,CUSTOMERS!$A:$B,2),"")</f>
        <v>BOI</v>
      </c>
      <c r="AS26" s="68" t="str">
        <f>IFERROR(VLOOKUP(A26,CUSTOMERS!$A:$D,3),"")</f>
        <v>RSC</v>
      </c>
      <c r="AT26" s="68" t="str">
        <f>IFERROR(VLOOKUP(A26,CUSTOMERS!$A:$F,6),"")</f>
        <v>Y</v>
      </c>
      <c r="AU26" s="69">
        <f>IFERROR(VLOOKUP(A26,CUSTOMERS!$A:$E,4),"")</f>
        <v>197.7</v>
      </c>
      <c r="AV26" s="68" t="str">
        <f t="shared" si="15"/>
        <v/>
      </c>
      <c r="AW26" s="70" t="str">
        <f t="shared" si="16"/>
        <v>descr26</v>
      </c>
      <c r="AX26" s="71" t="str">
        <f t="shared" si="17"/>
        <v>reason26</v>
      </c>
    </row>
    <row r="27" spans="1:50" s="73" customFormat="1" ht="40.5" customHeight="1" thickTop="1" thickBot="1">
      <c r="A27" s="120" t="s">
        <v>114</v>
      </c>
      <c r="B27" s="120" t="s">
        <v>283</v>
      </c>
      <c r="C27" s="120"/>
      <c r="D27" s="120">
        <v>655</v>
      </c>
      <c r="E27" s="120"/>
      <c r="F27" s="122" t="str">
        <f t="shared" si="1"/>
        <v>BOI-RSC-0000-00655</v>
      </c>
      <c r="G27" s="123" t="s">
        <v>180</v>
      </c>
      <c r="H27" s="124"/>
      <c r="I27" s="239"/>
      <c r="J27" s="184">
        <f t="shared" si="2"/>
        <v>0</v>
      </c>
      <c r="K27" s="177"/>
      <c r="L27" s="146"/>
      <c r="M27" s="147"/>
      <c r="N27" s="147"/>
      <c r="O27" s="147"/>
      <c r="P27" s="147"/>
      <c r="Q27" s="199"/>
      <c r="R27" s="199" t="s">
        <v>4</v>
      </c>
      <c r="S27" s="199"/>
      <c r="T27" s="199"/>
      <c r="U27" s="199"/>
      <c r="V27" s="199"/>
      <c r="W27" s="199"/>
      <c r="X27" s="144"/>
      <c r="Y27" s="173">
        <f t="shared" ref="Y27" si="36">IFERROR(AF27+AG27,"")</f>
        <v>0</v>
      </c>
      <c r="Z27" s="83">
        <f t="shared" ref="Z27" si="37">IFERROR((AK27*AH27)*7.5,"")</f>
        <v>0</v>
      </c>
      <c r="AA27" s="84">
        <f t="shared" ref="AA27" si="38">IFERROR((AL27*AH27)*7.5,"")</f>
        <v>0</v>
      </c>
      <c r="AB27" s="84">
        <f t="shared" ref="AB27" si="39">IFERROR((AM27*AH27)*7.5,"")</f>
        <v>0</v>
      </c>
      <c r="AC27" s="84">
        <f t="shared" ref="AC27" si="40">IFERROR((AN27*AH27)*7.5,"")</f>
        <v>0</v>
      </c>
      <c r="AD27" s="84"/>
      <c r="AE27" s="84">
        <f t="shared" ref="AE27" si="41">IFERROR((AO27*AH27)*7.5,"")</f>
        <v>0</v>
      </c>
      <c r="AF27" s="84">
        <f t="shared" ref="AF27" si="42">IFERROR(SUM(Z27:AE27),"")</f>
        <v>0</v>
      </c>
      <c r="AG27" s="94">
        <f t="shared" ref="AG27" si="43">IFERROR((AQ27*AH27)*7.5,"")</f>
        <v>0</v>
      </c>
      <c r="AH27" s="85">
        <f>IFERROR(VLOOKUP(A27,CUSTOMERS!$A:$E,4),"")</f>
        <v>197.7</v>
      </c>
      <c r="AI27" s="86">
        <f t="shared" ref="AI27" si="44">AV27</f>
        <v>0</v>
      </c>
      <c r="AJ27" s="87">
        <f>IFERROR(VLOOKUP(A27,CUSTOMERS!$A:$F,5),"")</f>
        <v>0.2</v>
      </c>
      <c r="AK27" s="96"/>
      <c r="AL27" s="96">
        <v>0</v>
      </c>
      <c r="AM27" s="96">
        <v>0</v>
      </c>
      <c r="AN27" s="96"/>
      <c r="AO27" s="96">
        <v>0</v>
      </c>
      <c r="AP27" s="102">
        <f t="shared" ref="AP27" si="45">SUM(AK27:AO27)</f>
        <v>0</v>
      </c>
      <c r="AQ27" s="102">
        <f t="shared" ref="AQ27" si="46">IFERROR(AP27*AJ27,"")</f>
        <v>0</v>
      </c>
      <c r="AR27" s="68" t="str">
        <f>IFERROR(VLOOKUP(A27,CUSTOMERS!$A:$B,2),"")</f>
        <v>BOI</v>
      </c>
      <c r="AS27" s="68" t="str">
        <f>IFERROR(VLOOKUP(A27,CUSTOMERS!$A:$D,3),"")</f>
        <v>RSC</v>
      </c>
      <c r="AT27" s="68" t="str">
        <f>IFERROR(VLOOKUP(A27,CUSTOMERS!$A:$F,6),"")</f>
        <v>Y</v>
      </c>
      <c r="AU27" s="69">
        <f>IFERROR(VLOOKUP(A27,CUSTOMERS!$A:$E,4),"")</f>
        <v>197.7</v>
      </c>
      <c r="AV27" s="68"/>
      <c r="AW27" s="70"/>
      <c r="AX27" s="71"/>
    </row>
    <row r="28" spans="1:50" s="73" customFormat="1" ht="40.5" customHeight="1" thickTop="1" thickBot="1">
      <c r="A28" s="120" t="s">
        <v>114</v>
      </c>
      <c r="B28" s="120" t="s">
        <v>283</v>
      </c>
      <c r="C28" s="120"/>
      <c r="D28" s="120">
        <v>656</v>
      </c>
      <c r="E28" s="120"/>
      <c r="F28" s="235" t="str">
        <f t="shared" si="1"/>
        <v>BOI-RSC-2021-00656</v>
      </c>
      <c r="G28" s="123" t="s">
        <v>129</v>
      </c>
      <c r="H28" s="124" t="s">
        <v>130</v>
      </c>
      <c r="I28" s="239"/>
      <c r="J28" s="184">
        <f t="shared" si="2"/>
        <v>37365.300000000003</v>
      </c>
      <c r="K28" s="177">
        <f t="shared" ref="K28" si="47">MAX(L28:R28)</f>
        <v>44361</v>
      </c>
      <c r="L28" s="146">
        <v>44361</v>
      </c>
      <c r="M28" s="147"/>
      <c r="N28" s="147"/>
      <c r="O28" s="147"/>
      <c r="P28" s="147"/>
      <c r="Q28" s="199" t="s">
        <v>13</v>
      </c>
      <c r="R28" s="199" t="s">
        <v>4</v>
      </c>
      <c r="S28" s="199"/>
      <c r="T28" s="199"/>
      <c r="U28" s="199"/>
      <c r="V28" s="199"/>
      <c r="W28" s="199"/>
      <c r="X28" s="144"/>
      <c r="Y28" s="173">
        <f t="shared" ref="Y28" si="48">IFERROR(AF28+AG28,"")</f>
        <v>37365.300000000003</v>
      </c>
      <c r="Z28" s="83">
        <f t="shared" ref="Z28" si="49">IFERROR((AK28*AH28)*7.5,"")</f>
        <v>26689.5</v>
      </c>
      <c r="AA28" s="84">
        <f t="shared" ref="AA28" si="50">IFERROR((AL28*AH28)*7.5,"")</f>
        <v>0</v>
      </c>
      <c r="AB28" s="84">
        <f t="shared" ref="AB28" si="51">IFERROR((AM28*AH28)*7.5,"")</f>
        <v>0</v>
      </c>
      <c r="AC28" s="84">
        <f t="shared" ref="AC28" si="52">IFERROR((AN28*AH28)*7.5,"")</f>
        <v>0</v>
      </c>
      <c r="AD28" s="84"/>
      <c r="AE28" s="84">
        <f t="shared" ref="AE28" si="53">IFERROR((AO28*AH28)*7.5,"")</f>
        <v>4448.2499999999991</v>
      </c>
      <c r="AF28" s="84">
        <f t="shared" ref="AF28" si="54">IFERROR(SUM(Z28:AE28),"")</f>
        <v>31137.75</v>
      </c>
      <c r="AG28" s="94">
        <f t="shared" ref="AG28" si="55">IFERROR((AQ28*AH28)*7.5,"")</f>
        <v>6227.55</v>
      </c>
      <c r="AH28" s="85">
        <f>IFERROR(VLOOKUP(A28,CUSTOMERS!$A:$E,4),"")</f>
        <v>197.7</v>
      </c>
      <c r="AI28" s="86">
        <f t="shared" ref="AI28" si="56">AV28</f>
        <v>0</v>
      </c>
      <c r="AJ28" s="87">
        <f>IFERROR(VLOOKUP(A28,CUSTOMERS!$A:$F,5),"")</f>
        <v>0.2</v>
      </c>
      <c r="AK28" s="96">
        <v>18</v>
      </c>
      <c r="AL28" s="96">
        <v>0</v>
      </c>
      <c r="AM28" s="96">
        <v>0</v>
      </c>
      <c r="AN28" s="96"/>
      <c r="AO28" s="96">
        <v>3</v>
      </c>
      <c r="AP28" s="102">
        <f t="shared" ref="AP28" si="57">SUM(AK28:AO28)</f>
        <v>21</v>
      </c>
      <c r="AQ28" s="102">
        <f t="shared" ref="AQ28" si="58">IFERROR(AP28*AJ28,"")</f>
        <v>4.2</v>
      </c>
      <c r="AR28" s="68" t="str">
        <f>IFERROR(VLOOKUP(A28,CUSTOMERS!$A:$B,2),"")</f>
        <v>BOI</v>
      </c>
      <c r="AS28" s="68" t="str">
        <f>IFERROR(VLOOKUP(A28,CUSTOMERS!$A:$D,3),"")</f>
        <v>RSC</v>
      </c>
      <c r="AT28" s="68" t="str">
        <f>IFERROR(VLOOKUP(A28,CUSTOMERS!$A:$F,6),"")</f>
        <v>Y</v>
      </c>
      <c r="AU28" s="69">
        <f>IFERROR(VLOOKUP(A28,CUSTOMERS!$A:$E,4),"")</f>
        <v>197.7</v>
      </c>
      <c r="AV28" s="68"/>
      <c r="AW28" s="70"/>
      <c r="AX28" s="71"/>
    </row>
    <row r="29" spans="1:50" s="73" customFormat="1" ht="40.5" customHeight="1" thickTop="1" thickBot="1">
      <c r="A29" s="120" t="s">
        <v>131</v>
      </c>
      <c r="B29" s="120" t="str">
        <f t="shared" si="22"/>
        <v>Y</v>
      </c>
      <c r="C29" s="120"/>
      <c r="D29" s="121">
        <v>87</v>
      </c>
      <c r="E29" s="121"/>
      <c r="F29" s="122" t="str">
        <f t="shared" si="1"/>
        <v>BDB-RSC-2020-00087</v>
      </c>
      <c r="G29" s="123" t="s">
        <v>100</v>
      </c>
      <c r="H29" s="124" t="s">
        <v>132</v>
      </c>
      <c r="I29" s="239"/>
      <c r="J29" s="80">
        <f t="shared" si="2"/>
        <v>0</v>
      </c>
      <c r="K29" s="177">
        <f>MAX(L29:R29)</f>
        <v>44061</v>
      </c>
      <c r="L29" s="141">
        <v>44061</v>
      </c>
      <c r="M29" s="142"/>
      <c r="N29" s="142"/>
      <c r="O29" s="142"/>
      <c r="P29" s="142"/>
      <c r="Q29" s="199" t="s">
        <v>6</v>
      </c>
      <c r="R29" s="199" t="s">
        <v>4</v>
      </c>
      <c r="S29" s="199"/>
      <c r="T29" s="199"/>
      <c r="U29" s="199"/>
      <c r="V29" s="199"/>
      <c r="W29" s="199"/>
      <c r="X29" s="143"/>
      <c r="Y29" s="173">
        <f t="shared" si="4"/>
        <v>0</v>
      </c>
      <c r="Z29" s="83">
        <f t="shared" si="5"/>
        <v>0</v>
      </c>
      <c r="AA29" s="84">
        <f t="shared" si="18"/>
        <v>0</v>
      </c>
      <c r="AB29" s="84">
        <f t="shared" si="19"/>
        <v>0</v>
      </c>
      <c r="AC29" s="84">
        <f t="shared" si="8"/>
        <v>0</v>
      </c>
      <c r="AD29" s="84"/>
      <c r="AE29" s="84">
        <f t="shared" si="20"/>
        <v>0</v>
      </c>
      <c r="AF29" s="84">
        <f t="shared" si="10"/>
        <v>0</v>
      </c>
      <c r="AG29" s="94">
        <f t="shared" si="21"/>
        <v>0</v>
      </c>
      <c r="AH29" s="85">
        <f>IFERROR(VLOOKUP(A29,CUSTOMERS!$A:$E,4),"")</f>
        <v>215.76</v>
      </c>
      <c r="AI29" s="86" t="str">
        <f t="shared" si="12"/>
        <v/>
      </c>
      <c r="AJ29" s="87">
        <f>IFERROR(VLOOKUP(A29,CUSTOMERS!$A:$F,5),"")</f>
        <v>0.2</v>
      </c>
      <c r="AK29" s="96"/>
      <c r="AL29" s="96">
        <v>0</v>
      </c>
      <c r="AM29" s="96">
        <v>0</v>
      </c>
      <c r="AN29" s="96"/>
      <c r="AO29" s="96">
        <v>0</v>
      </c>
      <c r="AP29" s="102">
        <f t="shared" si="13"/>
        <v>0</v>
      </c>
      <c r="AQ29" s="102">
        <f t="shared" si="14"/>
        <v>0</v>
      </c>
      <c r="AR29" s="68" t="str">
        <f>IFERROR(VLOOKUP(A29,CUSTOMERS!$A:$B,2),"")</f>
        <v>BDB</v>
      </c>
      <c r="AS29" s="68" t="str">
        <f>IFERROR(VLOOKUP(A29,CUSTOMERS!$A:$D,3),"")</f>
        <v>RSC</v>
      </c>
      <c r="AT29" s="68" t="str">
        <f>IFERROR(VLOOKUP(A29,CUSTOMERS!$A:$F,6),"")</f>
        <v>Y</v>
      </c>
      <c r="AU29" s="69">
        <f>IFERROR(VLOOKUP(A29,CUSTOMERS!$A:$E,4),"")</f>
        <v>215.76</v>
      </c>
      <c r="AV29" s="68" t="str">
        <f t="shared" si="15"/>
        <v/>
      </c>
      <c r="AW29" s="70" t="str">
        <f t="shared" si="16"/>
        <v>descr29</v>
      </c>
      <c r="AX29" s="71" t="str">
        <f t="shared" si="17"/>
        <v>reason29</v>
      </c>
    </row>
    <row r="30" spans="1:50" s="73" customFormat="1" ht="40.5" customHeight="1" thickTop="1" thickBot="1">
      <c r="A30" s="120" t="s">
        <v>131</v>
      </c>
      <c r="B30" s="120" t="str">
        <f t="shared" si="22"/>
        <v>Y</v>
      </c>
      <c r="C30" s="120"/>
      <c r="D30" s="121">
        <v>84</v>
      </c>
      <c r="E30" s="121"/>
      <c r="F30" s="122" t="str">
        <f t="shared" si="1"/>
        <v>BDB-RSC-2020-00084</v>
      </c>
      <c r="G30" s="123" t="s">
        <v>103</v>
      </c>
      <c r="H30" s="124" t="s">
        <v>133</v>
      </c>
      <c r="I30" s="239"/>
      <c r="J30" s="81">
        <f t="shared" si="2"/>
        <v>9709.1999999999989</v>
      </c>
      <c r="K30" s="177">
        <f>MAX(L30:R30)</f>
        <v>44033</v>
      </c>
      <c r="L30" s="141">
        <v>44028</v>
      </c>
      <c r="M30" s="142">
        <v>44033</v>
      </c>
      <c r="N30" s="142">
        <v>44033</v>
      </c>
      <c r="O30" s="142"/>
      <c r="P30" s="142"/>
      <c r="Q30" s="199" t="s">
        <v>6</v>
      </c>
      <c r="R30" s="199" t="s">
        <v>4</v>
      </c>
      <c r="S30" s="199"/>
      <c r="T30" s="199"/>
      <c r="U30" s="199"/>
      <c r="V30" s="199"/>
      <c r="W30" s="199"/>
      <c r="X30" s="144" t="s">
        <v>424</v>
      </c>
      <c r="Y30" s="173">
        <f t="shared" si="4"/>
        <v>9709.1999999999989</v>
      </c>
      <c r="Z30" s="83">
        <f t="shared" si="5"/>
        <v>0</v>
      </c>
      <c r="AA30" s="84">
        <f t="shared" si="18"/>
        <v>1618.1999999999998</v>
      </c>
      <c r="AB30" s="84">
        <f t="shared" si="19"/>
        <v>4854.5999999999995</v>
      </c>
      <c r="AC30" s="84">
        <f t="shared" si="8"/>
        <v>0</v>
      </c>
      <c r="AD30" s="84"/>
      <c r="AE30" s="84">
        <f t="shared" si="20"/>
        <v>1618.1999999999998</v>
      </c>
      <c r="AF30" s="89">
        <f t="shared" si="10"/>
        <v>8090.9999999999991</v>
      </c>
      <c r="AG30" s="94">
        <f t="shared" si="21"/>
        <v>1618.1999999999998</v>
      </c>
      <c r="AH30" s="85">
        <f>IFERROR(VLOOKUP(A30,CUSTOMERS!$A:$E,4),"")</f>
        <v>215.76</v>
      </c>
      <c r="AI30" s="86" t="str">
        <f t="shared" si="12"/>
        <v/>
      </c>
      <c r="AJ30" s="87">
        <f>IFERROR(VLOOKUP(A30,CUSTOMERS!$A:$F,5),"")</f>
        <v>0.2</v>
      </c>
      <c r="AK30" s="96"/>
      <c r="AL30" s="96">
        <v>1</v>
      </c>
      <c r="AM30" s="96">
        <v>3</v>
      </c>
      <c r="AN30" s="96"/>
      <c r="AO30" s="96">
        <v>1</v>
      </c>
      <c r="AP30" s="102">
        <f t="shared" si="13"/>
        <v>5</v>
      </c>
      <c r="AQ30" s="102">
        <f t="shared" si="14"/>
        <v>1</v>
      </c>
      <c r="AR30" s="68" t="str">
        <f>IFERROR(VLOOKUP(A30,CUSTOMERS!$A:$B,2),"")</f>
        <v>BDB</v>
      </c>
      <c r="AS30" s="68" t="str">
        <f>IFERROR(VLOOKUP(A30,CUSTOMERS!$A:$D,3),"")</f>
        <v>RSC</v>
      </c>
      <c r="AT30" s="68" t="str">
        <f>IFERROR(VLOOKUP(A30,CUSTOMERS!$A:$F,6),"")</f>
        <v>Y</v>
      </c>
      <c r="AU30" s="69">
        <f>IFERROR(VLOOKUP(A30,CUSTOMERS!$A:$E,4),"")</f>
        <v>215.76</v>
      </c>
      <c r="AV30" s="68" t="str">
        <f t="shared" si="15"/>
        <v/>
      </c>
      <c r="AW30" s="70" t="str">
        <f t="shared" si="16"/>
        <v>descr30</v>
      </c>
      <c r="AX30" s="71" t="str">
        <f t="shared" si="17"/>
        <v>reason30</v>
      </c>
    </row>
    <row r="31" spans="1:50" s="73" customFormat="1" ht="40.5" customHeight="1" thickTop="1" thickBot="1">
      <c r="A31" s="120" t="s">
        <v>131</v>
      </c>
      <c r="B31" s="120" t="str">
        <f t="shared" si="22"/>
        <v>Y</v>
      </c>
      <c r="C31" s="120"/>
      <c r="D31" s="121">
        <v>9999</v>
      </c>
      <c r="E31" s="121"/>
      <c r="F31" s="122" t="str">
        <f t="shared" si="1"/>
        <v>BDB-RSC-2020-09999</v>
      </c>
      <c r="G31" s="123" t="s">
        <v>109</v>
      </c>
      <c r="H31" s="124" t="s">
        <v>110</v>
      </c>
      <c r="I31" s="239"/>
      <c r="J31" s="81">
        <f t="shared" si="2"/>
        <v>48546</v>
      </c>
      <c r="K31" s="177">
        <f>MAX(L31:R31)</f>
        <v>44151</v>
      </c>
      <c r="L31" s="141">
        <v>43929</v>
      </c>
      <c r="M31" s="142"/>
      <c r="N31" s="142"/>
      <c r="O31" s="142">
        <v>44151</v>
      </c>
      <c r="P31" s="142">
        <v>44151</v>
      </c>
      <c r="Q31" s="199" t="s">
        <v>6</v>
      </c>
      <c r="R31" s="199" t="s">
        <v>4</v>
      </c>
      <c r="S31" s="199"/>
      <c r="T31" s="199"/>
      <c r="U31" s="199"/>
      <c r="V31" s="199"/>
      <c r="W31" s="199"/>
      <c r="X31" s="144" t="s">
        <v>425</v>
      </c>
      <c r="Y31" s="173">
        <f t="shared" si="4"/>
        <v>48546</v>
      </c>
      <c r="Z31" s="83">
        <f t="shared" si="5"/>
        <v>8091</v>
      </c>
      <c r="AA31" s="84">
        <f t="shared" si="18"/>
        <v>8091</v>
      </c>
      <c r="AB31" s="84">
        <f t="shared" si="19"/>
        <v>12945.599999999999</v>
      </c>
      <c r="AC31" s="84">
        <f t="shared" si="8"/>
        <v>4854.5999999999995</v>
      </c>
      <c r="AD31" s="84"/>
      <c r="AE31" s="84">
        <f t="shared" si="20"/>
        <v>6472.7999999999993</v>
      </c>
      <c r="AF31" s="190">
        <f t="shared" si="10"/>
        <v>40455</v>
      </c>
      <c r="AG31" s="191">
        <f t="shared" si="21"/>
        <v>8091</v>
      </c>
      <c r="AH31" s="85">
        <f>IFERROR(VLOOKUP(A31,CUSTOMERS!$A:$E,4),"")</f>
        <v>215.76</v>
      </c>
      <c r="AI31" s="86" t="str">
        <f t="shared" si="12"/>
        <v/>
      </c>
      <c r="AJ31" s="87">
        <f>IFERROR(VLOOKUP(A31,CUSTOMERS!$A:$F,5),"")</f>
        <v>0.2</v>
      </c>
      <c r="AK31" s="96">
        <v>5</v>
      </c>
      <c r="AL31" s="96">
        <v>5</v>
      </c>
      <c r="AM31" s="96">
        <v>8</v>
      </c>
      <c r="AN31" s="96">
        <v>3</v>
      </c>
      <c r="AO31" s="96">
        <v>4</v>
      </c>
      <c r="AP31" s="102">
        <f t="shared" si="13"/>
        <v>25</v>
      </c>
      <c r="AQ31" s="102">
        <f t="shared" si="14"/>
        <v>5</v>
      </c>
      <c r="AR31" s="68" t="str">
        <f>IFERROR(VLOOKUP(A31,CUSTOMERS!$A:$B,2),"")</f>
        <v>BDB</v>
      </c>
      <c r="AS31" s="68" t="str">
        <f>IFERROR(VLOOKUP(A31,CUSTOMERS!$A:$D,3),"")</f>
        <v>RSC</v>
      </c>
      <c r="AT31" s="68" t="str">
        <f>IFERROR(VLOOKUP(A31,CUSTOMERS!$A:$F,6),"")</f>
        <v>Y</v>
      </c>
      <c r="AU31" s="69">
        <f>IFERROR(VLOOKUP(A31,CUSTOMERS!$A:$E,4),"")</f>
        <v>215.76</v>
      </c>
      <c r="AV31" s="68" t="str">
        <f t="shared" si="15"/>
        <v/>
      </c>
      <c r="AW31" s="70" t="str">
        <f t="shared" si="16"/>
        <v>descr31</v>
      </c>
      <c r="AX31" s="71" t="str">
        <f t="shared" si="17"/>
        <v>reason31</v>
      </c>
    </row>
    <row r="32" spans="1:50" s="73" customFormat="1" ht="40.5" customHeight="1" thickTop="1" thickBot="1">
      <c r="A32" s="120" t="s">
        <v>131</v>
      </c>
      <c r="B32" s="120" t="str">
        <f t="shared" si="22"/>
        <v>Y</v>
      </c>
      <c r="C32" s="120"/>
      <c r="D32" s="121"/>
      <c r="E32" s="121"/>
      <c r="F32" s="122" t="str">
        <f t="shared" si="1"/>
        <v>BDB-RSC-2020-00000</v>
      </c>
      <c r="G32" s="123" t="s">
        <v>109</v>
      </c>
      <c r="H32" s="124" t="s">
        <v>134</v>
      </c>
      <c r="I32" s="239"/>
      <c r="J32" s="80">
        <f t="shared" si="2"/>
        <v>2500</v>
      </c>
      <c r="K32" s="177">
        <f>MAX(L32:R32)</f>
        <v>44151</v>
      </c>
      <c r="L32" s="141">
        <v>44151</v>
      </c>
      <c r="M32" s="142"/>
      <c r="N32" s="142"/>
      <c r="O32" s="142">
        <v>44151</v>
      </c>
      <c r="P32" s="142">
        <v>44151</v>
      </c>
      <c r="Q32" s="199" t="s">
        <v>18</v>
      </c>
      <c r="R32" s="199" t="s">
        <v>4</v>
      </c>
      <c r="S32" s="199"/>
      <c r="T32" s="199"/>
      <c r="U32" s="199"/>
      <c r="V32" s="199"/>
      <c r="W32" s="199"/>
      <c r="X32" s="144" t="s">
        <v>425</v>
      </c>
      <c r="Y32" s="173">
        <f t="shared" si="4"/>
        <v>2500</v>
      </c>
      <c r="Z32" s="83">
        <f t="shared" si="5"/>
        <v>0</v>
      </c>
      <c r="AA32" s="84">
        <v>2500</v>
      </c>
      <c r="AB32" s="84">
        <f t="shared" si="19"/>
        <v>0</v>
      </c>
      <c r="AC32" s="84">
        <f t="shared" si="8"/>
        <v>0</v>
      </c>
      <c r="AD32" s="84"/>
      <c r="AE32" s="84">
        <f t="shared" si="20"/>
        <v>0</v>
      </c>
      <c r="AF32" s="179">
        <f t="shared" si="10"/>
        <v>2500</v>
      </c>
      <c r="AG32" s="191">
        <f t="shared" si="21"/>
        <v>0</v>
      </c>
      <c r="AH32" s="85">
        <f>IFERROR(VLOOKUP(A32,CUSTOMERS!$A:$E,4),"")</f>
        <v>215.76</v>
      </c>
      <c r="AI32" s="86" t="str">
        <f t="shared" si="12"/>
        <v/>
      </c>
      <c r="AJ32" s="87">
        <f>IFERROR(VLOOKUP(A32,CUSTOMERS!$A:$F,5),"")</f>
        <v>0.2</v>
      </c>
      <c r="AK32" s="96"/>
      <c r="AL32" s="96">
        <v>0</v>
      </c>
      <c r="AM32" s="96">
        <v>0</v>
      </c>
      <c r="AN32" s="96"/>
      <c r="AO32" s="96">
        <v>0</v>
      </c>
      <c r="AP32" s="103">
        <f t="shared" si="13"/>
        <v>0</v>
      </c>
      <c r="AQ32" s="103">
        <f t="shared" si="14"/>
        <v>0</v>
      </c>
      <c r="AR32" s="68" t="str">
        <f>IFERROR(VLOOKUP(A32,CUSTOMERS!$A:$B,2),"")</f>
        <v>BDB</v>
      </c>
      <c r="AS32" s="68" t="str">
        <f>IFERROR(VLOOKUP(A32,CUSTOMERS!$A:$D,3),"")</f>
        <v>RSC</v>
      </c>
      <c r="AT32" s="68" t="str">
        <f>IFERROR(VLOOKUP(A32,CUSTOMERS!$A:$F,6),"")</f>
        <v>Y</v>
      </c>
      <c r="AU32" s="69">
        <f>IFERROR(VLOOKUP(A32,CUSTOMERS!$A:$E,4),"")</f>
        <v>215.76</v>
      </c>
      <c r="AV32" s="68" t="str">
        <f t="shared" si="15"/>
        <v/>
      </c>
      <c r="AW32" s="70" t="str">
        <f t="shared" si="16"/>
        <v>descr32</v>
      </c>
      <c r="AX32" s="71" t="str">
        <f t="shared" si="17"/>
        <v>reason32</v>
      </c>
    </row>
    <row r="33" spans="1:50" s="73" customFormat="1" ht="40.5" customHeight="1" thickTop="1" thickBot="1">
      <c r="A33" s="120" t="s">
        <v>131</v>
      </c>
      <c r="B33" s="120" t="str">
        <f t="shared" si="22"/>
        <v>Y</v>
      </c>
      <c r="C33" s="120"/>
      <c r="D33" s="121"/>
      <c r="E33" s="121"/>
      <c r="F33" s="122" t="str">
        <f t="shared" si="1"/>
        <v>BDB-RSC-2020-00000</v>
      </c>
      <c r="G33" s="123" t="s">
        <v>109</v>
      </c>
      <c r="H33" s="124" t="s">
        <v>135</v>
      </c>
      <c r="I33" s="239"/>
      <c r="J33" s="80">
        <f t="shared" si="2"/>
        <v>18000</v>
      </c>
      <c r="K33" s="177">
        <f>MAX(L33:R33)</f>
        <v>44151</v>
      </c>
      <c r="L33" s="141">
        <v>44151</v>
      </c>
      <c r="M33" s="142"/>
      <c r="N33" s="142"/>
      <c r="O33" s="142">
        <v>44151</v>
      </c>
      <c r="P33" s="142">
        <v>44151</v>
      </c>
      <c r="Q33" s="199" t="s">
        <v>15</v>
      </c>
      <c r="R33" s="199" t="s">
        <v>4</v>
      </c>
      <c r="S33" s="199"/>
      <c r="T33" s="199"/>
      <c r="U33" s="199"/>
      <c r="V33" s="199"/>
      <c r="W33" s="199"/>
      <c r="X33" s="144" t="s">
        <v>425</v>
      </c>
      <c r="Y33" s="173">
        <f t="shared" si="4"/>
        <v>18000</v>
      </c>
      <c r="Z33" s="83">
        <f t="shared" si="5"/>
        <v>0</v>
      </c>
      <c r="AA33" s="84">
        <v>15000</v>
      </c>
      <c r="AB33" s="84">
        <v>3000</v>
      </c>
      <c r="AC33" s="84">
        <f t="shared" si="8"/>
        <v>0</v>
      </c>
      <c r="AD33" s="84"/>
      <c r="AE33" s="84">
        <f t="shared" si="20"/>
        <v>0</v>
      </c>
      <c r="AF33" s="179">
        <f t="shared" si="10"/>
        <v>18000</v>
      </c>
      <c r="AG33" s="191">
        <f t="shared" si="21"/>
        <v>0</v>
      </c>
      <c r="AH33" s="85">
        <f>IFERROR(VLOOKUP(A33,CUSTOMERS!$A:$E,4),"")</f>
        <v>215.76</v>
      </c>
      <c r="AI33" s="86" t="str">
        <f t="shared" si="12"/>
        <v/>
      </c>
      <c r="AJ33" s="87">
        <f>IFERROR(VLOOKUP(A33,CUSTOMERS!$A:$F,5),"")</f>
        <v>0.2</v>
      </c>
      <c r="AK33" s="96"/>
      <c r="AL33" s="96">
        <v>0</v>
      </c>
      <c r="AM33" s="96">
        <v>0</v>
      </c>
      <c r="AN33" s="96"/>
      <c r="AO33" s="96">
        <v>0</v>
      </c>
      <c r="AP33" s="103">
        <f t="shared" si="13"/>
        <v>0</v>
      </c>
      <c r="AQ33" s="103">
        <f t="shared" si="14"/>
        <v>0</v>
      </c>
      <c r="AR33" s="68" t="str">
        <f>IFERROR(VLOOKUP(A33,CUSTOMERS!$A:$B,2),"")</f>
        <v>BDB</v>
      </c>
      <c r="AS33" s="68" t="str">
        <f>IFERROR(VLOOKUP(A33,CUSTOMERS!$A:$D,3),"")</f>
        <v>RSC</v>
      </c>
      <c r="AT33" s="68" t="str">
        <f>IFERROR(VLOOKUP(A33,CUSTOMERS!$A:$F,6),"")</f>
        <v>Y</v>
      </c>
      <c r="AU33" s="69">
        <f>IFERROR(VLOOKUP(A33,CUSTOMERS!$A:$E,4),"")</f>
        <v>215.76</v>
      </c>
      <c r="AV33" s="68" t="str">
        <f t="shared" si="15"/>
        <v/>
      </c>
      <c r="AW33" s="70" t="str">
        <f t="shared" si="16"/>
        <v>descr33</v>
      </c>
      <c r="AX33" s="71" t="str">
        <f t="shared" si="17"/>
        <v>reason33</v>
      </c>
    </row>
    <row r="34" spans="1:50" s="73" customFormat="1" ht="40.5" customHeight="1" thickTop="1" thickBot="1">
      <c r="A34" s="120" t="s">
        <v>136</v>
      </c>
      <c r="B34" s="120" t="str">
        <f t="shared" si="22"/>
        <v>Y</v>
      </c>
      <c r="C34" s="120"/>
      <c r="D34" s="120">
        <v>9998</v>
      </c>
      <c r="E34" s="120"/>
      <c r="F34" s="122" t="str">
        <f t="shared" si="1"/>
        <v>BDB-RSC-0000-09998</v>
      </c>
      <c r="G34" s="123" t="s">
        <v>109</v>
      </c>
      <c r="H34" s="124" t="s">
        <v>110</v>
      </c>
      <c r="I34" s="239"/>
      <c r="J34" s="176">
        <f t="shared" si="2"/>
        <v>0</v>
      </c>
      <c r="K34" s="177"/>
      <c r="L34" s="141"/>
      <c r="M34" s="142"/>
      <c r="N34" s="142"/>
      <c r="O34" s="142"/>
      <c r="P34" s="142"/>
      <c r="Q34" s="199" t="s">
        <v>6</v>
      </c>
      <c r="R34" s="199" t="s">
        <v>4</v>
      </c>
      <c r="S34" s="199"/>
      <c r="T34" s="199"/>
      <c r="U34" s="199"/>
      <c r="V34" s="199"/>
      <c r="W34" s="199"/>
      <c r="X34" s="144"/>
      <c r="Y34" s="173"/>
      <c r="Z34" s="178">
        <f t="shared" si="5"/>
        <v>8091</v>
      </c>
      <c r="AA34" s="179">
        <f t="shared" ref="AA34:AA52" si="59">IFERROR((AL34*AH34)*7.5,"")</f>
        <v>8091</v>
      </c>
      <c r="AB34" s="179">
        <f t="shared" ref="AB34:AB110" si="60">IFERROR((AM34*AH34)*7.5,"")</f>
        <v>12945.599999999999</v>
      </c>
      <c r="AC34" s="179">
        <f t="shared" si="8"/>
        <v>4854.5999999999995</v>
      </c>
      <c r="AD34" s="179"/>
      <c r="AE34" s="179">
        <f t="shared" si="20"/>
        <v>6472.7999999999993</v>
      </c>
      <c r="AF34" s="191">
        <f t="shared" si="10"/>
        <v>40455</v>
      </c>
      <c r="AG34" s="191">
        <f t="shared" si="21"/>
        <v>8091</v>
      </c>
      <c r="AH34" s="180">
        <f>IFERROR(VLOOKUP(A34,CUSTOMERS!$A:$E,4),"")</f>
        <v>215.76</v>
      </c>
      <c r="AI34" s="181" t="str">
        <f t="shared" si="12"/>
        <v/>
      </c>
      <c r="AJ34" s="182">
        <f>IFERROR(VLOOKUP(A34,CUSTOMERS!$A:$F,5),"")</f>
        <v>0.2</v>
      </c>
      <c r="AK34" s="183">
        <v>5</v>
      </c>
      <c r="AL34" s="183">
        <v>5</v>
      </c>
      <c r="AM34" s="183">
        <v>8</v>
      </c>
      <c r="AN34" s="183">
        <v>3</v>
      </c>
      <c r="AO34" s="183">
        <v>4</v>
      </c>
      <c r="AP34" s="102">
        <f t="shared" si="13"/>
        <v>25</v>
      </c>
      <c r="AQ34" s="102">
        <f t="shared" si="14"/>
        <v>5</v>
      </c>
      <c r="AR34" s="68" t="str">
        <f>IFERROR(VLOOKUP(A34,CUSTOMERS!$A:$B,2),"")</f>
        <v>BDB</v>
      </c>
      <c r="AS34" s="68" t="str">
        <f>IFERROR(VLOOKUP(A34,CUSTOMERS!$A:$D,3),"")</f>
        <v>RSC</v>
      </c>
      <c r="AT34" s="68" t="str">
        <f>IFERROR(VLOOKUP(A34,CUSTOMERS!$A:$F,6),"")</f>
        <v>Y</v>
      </c>
      <c r="AU34" s="69">
        <f>IFERROR(VLOOKUP(A34,CUSTOMERS!$A:$E,4),"")</f>
        <v>215.76</v>
      </c>
      <c r="AV34" s="68" t="str">
        <f t="shared" si="15"/>
        <v/>
      </c>
      <c r="AW34" s="70" t="str">
        <f t="shared" si="16"/>
        <v>descr34</v>
      </c>
      <c r="AX34" s="71" t="str">
        <f t="shared" si="17"/>
        <v>reason34</v>
      </c>
    </row>
    <row r="35" spans="1:50" s="73" customFormat="1" ht="40.5" customHeight="1" thickTop="1" thickBot="1">
      <c r="A35" s="120" t="s">
        <v>138</v>
      </c>
      <c r="B35" s="125" t="str">
        <f t="shared" si="22"/>
        <v>Y</v>
      </c>
      <c r="C35" s="125"/>
      <c r="D35" s="120">
        <v>1</v>
      </c>
      <c r="E35" s="120"/>
      <c r="F35" s="122" t="str">
        <f t="shared" si="1"/>
        <v>CYG-RSC-2021-00001</v>
      </c>
      <c r="G35" s="123" t="s">
        <v>109</v>
      </c>
      <c r="H35" s="124" t="s">
        <v>139</v>
      </c>
      <c r="I35" s="239"/>
      <c r="J35" s="80">
        <f t="shared" si="2"/>
        <v>15066</v>
      </c>
      <c r="K35" s="177">
        <f>MAX(L35:R35)</f>
        <v>44321</v>
      </c>
      <c r="L35" s="146">
        <v>44243</v>
      </c>
      <c r="M35" s="147">
        <v>44263</v>
      </c>
      <c r="N35" s="147">
        <v>44301</v>
      </c>
      <c r="O35" s="147">
        <v>44305</v>
      </c>
      <c r="P35" s="147">
        <v>44321</v>
      </c>
      <c r="Q35" s="199" t="s">
        <v>18</v>
      </c>
      <c r="R35" s="199" t="s">
        <v>4</v>
      </c>
      <c r="S35" s="199"/>
      <c r="T35" s="199"/>
      <c r="U35" s="199"/>
      <c r="V35" s="199"/>
      <c r="W35" s="199"/>
      <c r="X35" s="144" t="s">
        <v>426</v>
      </c>
      <c r="Y35" s="173">
        <f t="shared" ref="Y35:Y111" si="61">IFERROR(AF35+AG35,"")</f>
        <v>15066</v>
      </c>
      <c r="Z35" s="83">
        <f t="shared" si="5"/>
        <v>0</v>
      </c>
      <c r="AA35" s="84">
        <f t="shared" si="59"/>
        <v>8370</v>
      </c>
      <c r="AB35" s="84">
        <f t="shared" si="60"/>
        <v>1395</v>
      </c>
      <c r="AC35" s="84">
        <f t="shared" si="8"/>
        <v>1395</v>
      </c>
      <c r="AD35" s="84"/>
      <c r="AE35" s="84">
        <f t="shared" si="20"/>
        <v>1395</v>
      </c>
      <c r="AF35" s="179">
        <f t="shared" si="10"/>
        <v>12555</v>
      </c>
      <c r="AG35" s="191">
        <f t="shared" si="21"/>
        <v>2511</v>
      </c>
      <c r="AH35" s="85">
        <v>186</v>
      </c>
      <c r="AI35" s="86"/>
      <c r="AJ35" s="87">
        <f>IFERROR(VLOOKUP(A35,CUSTOMERS!$A:$F,5),"")</f>
        <v>0.2</v>
      </c>
      <c r="AK35" s="96"/>
      <c r="AL35" s="96">
        <v>6</v>
      </c>
      <c r="AM35" s="96">
        <v>1</v>
      </c>
      <c r="AN35" s="96">
        <v>1</v>
      </c>
      <c r="AO35" s="96">
        <v>1</v>
      </c>
      <c r="AP35" s="103">
        <f t="shared" si="13"/>
        <v>9</v>
      </c>
      <c r="AQ35" s="103">
        <f t="shared" si="14"/>
        <v>1.8</v>
      </c>
      <c r="AR35" s="68" t="str">
        <f>IFERROR(VLOOKUP(A35,CUSTOMERS!$A:$B,2),"")</f>
        <v>CYG</v>
      </c>
      <c r="AS35" s="68" t="str">
        <f>IFERROR(VLOOKUP(A35,CUSTOMERS!$A:$D,3),"")</f>
        <v>RSC</v>
      </c>
      <c r="AT35" s="68" t="str">
        <f>IFERROR(VLOOKUP(A35,CUSTOMERS!$A:$F,6),"")</f>
        <v>Y</v>
      </c>
      <c r="AU35" s="69">
        <f>IFERROR(VLOOKUP(A35,CUSTOMERS!$A:$E,4),"")</f>
        <v>205.2</v>
      </c>
      <c r="AV35" s="68" t="str">
        <f t="shared" si="15"/>
        <v>Y</v>
      </c>
      <c r="AW35" s="70" t="str">
        <f t="shared" si="16"/>
        <v>descr35</v>
      </c>
      <c r="AX35" s="71" t="str">
        <f t="shared" si="17"/>
        <v>reason35</v>
      </c>
    </row>
    <row r="36" spans="1:50" s="73" customFormat="1" ht="40.5" customHeight="1" thickTop="1" thickBot="1">
      <c r="A36" s="120" t="s">
        <v>140</v>
      </c>
      <c r="B36" s="120" t="str">
        <f t="shared" si="22"/>
        <v>Y</v>
      </c>
      <c r="C36" s="120"/>
      <c r="D36" s="121">
        <v>11</v>
      </c>
      <c r="E36" s="121"/>
      <c r="F36" s="122" t="str">
        <f t="shared" si="1"/>
        <v>LMR-RSC-2019-00011</v>
      </c>
      <c r="G36" s="123" t="s">
        <v>100</v>
      </c>
      <c r="H36" s="124" t="s">
        <v>141</v>
      </c>
      <c r="I36" s="239"/>
      <c r="J36" s="81">
        <f t="shared" si="2"/>
        <v>43383.600000000006</v>
      </c>
      <c r="K36" s="177">
        <f>MAX(L36:R36)</f>
        <v>43728</v>
      </c>
      <c r="L36" s="141">
        <v>43728</v>
      </c>
      <c r="M36" s="142"/>
      <c r="N36" s="142"/>
      <c r="O36" s="142"/>
      <c r="P36" s="142"/>
      <c r="Q36" s="199" t="s">
        <v>17</v>
      </c>
      <c r="R36" s="199" t="s">
        <v>4</v>
      </c>
      <c r="S36" s="199"/>
      <c r="T36" s="199"/>
      <c r="U36" s="199"/>
      <c r="V36" s="199"/>
      <c r="W36" s="199"/>
      <c r="X36" s="143" t="s">
        <v>427</v>
      </c>
      <c r="Y36" s="173">
        <f t="shared" si="61"/>
        <v>43383.600000000006</v>
      </c>
      <c r="Z36" s="83">
        <f t="shared" si="5"/>
        <v>0</v>
      </c>
      <c r="AA36" s="84">
        <f t="shared" si="59"/>
        <v>36153.000000000007</v>
      </c>
      <c r="AB36" s="84">
        <f t="shared" si="60"/>
        <v>0</v>
      </c>
      <c r="AC36" s="84">
        <f t="shared" si="8"/>
        <v>0</v>
      </c>
      <c r="AD36" s="84"/>
      <c r="AE36" s="84">
        <f t="shared" si="20"/>
        <v>0</v>
      </c>
      <c r="AF36" s="89">
        <f t="shared" si="10"/>
        <v>36153.000000000007</v>
      </c>
      <c r="AG36" s="94">
        <f t="shared" si="21"/>
        <v>7230.6</v>
      </c>
      <c r="AH36" s="85">
        <f>IFERROR(VLOOKUP(A36,CUSTOMERS!$A:$E,4),"")</f>
        <v>185.4</v>
      </c>
      <c r="AI36" s="86" t="str">
        <f t="shared" ref="AI36:AI53" si="62">AV36</f>
        <v/>
      </c>
      <c r="AJ36" s="87">
        <f>IFERROR(VLOOKUP(A36,CUSTOMERS!$A:$F,5),"")</f>
        <v>0.2</v>
      </c>
      <c r="AK36" s="96"/>
      <c r="AL36" s="96">
        <v>26</v>
      </c>
      <c r="AM36" s="96">
        <v>0</v>
      </c>
      <c r="AN36" s="96"/>
      <c r="AO36" s="96">
        <v>0</v>
      </c>
      <c r="AP36" s="102">
        <f t="shared" si="13"/>
        <v>26</v>
      </c>
      <c r="AQ36" s="102">
        <f t="shared" si="14"/>
        <v>5.2</v>
      </c>
      <c r="AR36" s="68" t="str">
        <f>IFERROR(VLOOKUP(A36,CUSTOMERS!$A:$B,2),"")</f>
        <v>LMR</v>
      </c>
      <c r="AS36" s="68" t="str">
        <f>IFERROR(VLOOKUP(A36,CUSTOMERS!$A:$D,3),"")</f>
        <v>RSC</v>
      </c>
      <c r="AT36" s="68" t="str">
        <f>IFERROR(VLOOKUP(A36,CUSTOMERS!$A:$F,6),"")</f>
        <v>Y</v>
      </c>
      <c r="AU36" s="69">
        <f>IFERROR(VLOOKUP(A36,CUSTOMERS!$A:$E,4),"")</f>
        <v>185.4</v>
      </c>
      <c r="AV36" s="68" t="str">
        <f t="shared" si="15"/>
        <v/>
      </c>
      <c r="AW36" s="70" t="str">
        <f t="shared" si="16"/>
        <v>descr36</v>
      </c>
      <c r="AX36" s="71" t="str">
        <f t="shared" si="17"/>
        <v>reason36</v>
      </c>
    </row>
    <row r="37" spans="1:50" s="73" customFormat="1" ht="40.5" customHeight="1" thickTop="1" thickBot="1">
      <c r="A37" s="120" t="s">
        <v>140</v>
      </c>
      <c r="B37" s="120" t="str">
        <f t="shared" si="22"/>
        <v>Y</v>
      </c>
      <c r="C37" s="120"/>
      <c r="D37" s="121">
        <v>12</v>
      </c>
      <c r="E37" s="121"/>
      <c r="F37" s="122" t="str">
        <f t="shared" si="1"/>
        <v>LMR-RSC-2019-00012</v>
      </c>
      <c r="G37" s="123" t="s">
        <v>100</v>
      </c>
      <c r="H37" s="124" t="s">
        <v>142</v>
      </c>
      <c r="I37" s="239"/>
      <c r="J37" s="81">
        <f t="shared" si="2"/>
        <v>55898.100000000006</v>
      </c>
      <c r="K37" s="177">
        <f>MAX(L37:R37)</f>
        <v>43728</v>
      </c>
      <c r="L37" s="141">
        <v>43728</v>
      </c>
      <c r="M37" s="142"/>
      <c r="N37" s="142"/>
      <c r="O37" s="142"/>
      <c r="P37" s="142"/>
      <c r="Q37" s="199" t="s">
        <v>17</v>
      </c>
      <c r="R37" s="199" t="s">
        <v>4</v>
      </c>
      <c r="S37" s="199"/>
      <c r="T37" s="199"/>
      <c r="U37" s="199"/>
      <c r="V37" s="199"/>
      <c r="W37" s="199"/>
      <c r="X37" s="143" t="s">
        <v>427</v>
      </c>
      <c r="Y37" s="173">
        <f t="shared" si="61"/>
        <v>55898.100000000006</v>
      </c>
      <c r="Z37" s="83">
        <f t="shared" si="5"/>
        <v>0</v>
      </c>
      <c r="AA37" s="84">
        <f t="shared" si="59"/>
        <v>46581.750000000007</v>
      </c>
      <c r="AB37" s="84">
        <f t="shared" si="60"/>
        <v>0</v>
      </c>
      <c r="AC37" s="84">
        <f t="shared" si="8"/>
        <v>0</v>
      </c>
      <c r="AD37" s="84"/>
      <c r="AE37" s="84">
        <f t="shared" si="20"/>
        <v>0</v>
      </c>
      <c r="AF37" s="89">
        <f t="shared" si="10"/>
        <v>46581.750000000007</v>
      </c>
      <c r="AG37" s="94">
        <f t="shared" si="21"/>
        <v>9316.35</v>
      </c>
      <c r="AH37" s="85">
        <f>IFERROR(VLOOKUP(A37,CUSTOMERS!$A:$E,4),"")</f>
        <v>185.4</v>
      </c>
      <c r="AI37" s="86" t="str">
        <f t="shared" si="62"/>
        <v/>
      </c>
      <c r="AJ37" s="87">
        <f>IFERROR(VLOOKUP(A37,CUSTOMERS!$A:$F,5),"")</f>
        <v>0.2</v>
      </c>
      <c r="AK37" s="96"/>
      <c r="AL37" s="96">
        <v>33.5</v>
      </c>
      <c r="AM37" s="96">
        <v>0</v>
      </c>
      <c r="AN37" s="96"/>
      <c r="AO37" s="96">
        <v>0</v>
      </c>
      <c r="AP37" s="102">
        <f t="shared" si="13"/>
        <v>33.5</v>
      </c>
      <c r="AQ37" s="102">
        <f t="shared" si="14"/>
        <v>6.7</v>
      </c>
      <c r="AR37" s="68" t="str">
        <f>IFERROR(VLOOKUP(A37,CUSTOMERS!$A:$B,2),"")</f>
        <v>LMR</v>
      </c>
      <c r="AS37" s="68" t="str">
        <f>IFERROR(VLOOKUP(A37,CUSTOMERS!$A:$D,3),"")</f>
        <v>RSC</v>
      </c>
      <c r="AT37" s="68" t="str">
        <f>IFERROR(VLOOKUP(A37,CUSTOMERS!$A:$F,6),"")</f>
        <v>Y</v>
      </c>
      <c r="AU37" s="69">
        <f>IFERROR(VLOOKUP(A37,CUSTOMERS!$A:$E,4),"")</f>
        <v>185.4</v>
      </c>
      <c r="AV37" s="68" t="str">
        <f t="shared" si="15"/>
        <v/>
      </c>
      <c r="AW37" s="70" t="str">
        <f t="shared" si="16"/>
        <v>descr37</v>
      </c>
      <c r="AX37" s="71" t="str">
        <f t="shared" si="17"/>
        <v>reason37</v>
      </c>
    </row>
    <row r="38" spans="1:50" s="73" customFormat="1" ht="40.5" customHeight="1" thickTop="1" thickBot="1">
      <c r="A38" s="120" t="s">
        <v>140</v>
      </c>
      <c r="B38" s="120" t="str">
        <f t="shared" si="22"/>
        <v>Y</v>
      </c>
      <c r="C38" s="120"/>
      <c r="D38" s="121" t="s">
        <v>143</v>
      </c>
      <c r="E38" s="121"/>
      <c r="F38" s="122" t="str">
        <f t="shared" si="1"/>
        <v>LMR-RSC-2020-0001A</v>
      </c>
      <c r="G38" s="123" t="s">
        <v>103</v>
      </c>
      <c r="H38" s="124" t="s">
        <v>144</v>
      </c>
      <c r="I38" s="239"/>
      <c r="J38" s="81">
        <f t="shared" si="2"/>
        <v>11680.2</v>
      </c>
      <c r="K38" s="177">
        <f>MAX(L38:R38)</f>
        <v>43949</v>
      </c>
      <c r="L38" s="141">
        <v>43945</v>
      </c>
      <c r="M38" s="142">
        <v>43949</v>
      </c>
      <c r="N38" s="142">
        <v>43678</v>
      </c>
      <c r="O38" s="142">
        <v>43678</v>
      </c>
      <c r="P38" s="142">
        <v>43678</v>
      </c>
      <c r="Q38" s="199" t="s">
        <v>17</v>
      </c>
      <c r="R38" s="199" t="s">
        <v>4</v>
      </c>
      <c r="S38" s="199"/>
      <c r="T38" s="199"/>
      <c r="U38" s="199"/>
      <c r="V38" s="199"/>
      <c r="W38" s="199"/>
      <c r="X38" s="143" t="s">
        <v>428</v>
      </c>
      <c r="Y38" s="173">
        <f t="shared" si="61"/>
        <v>11680.2</v>
      </c>
      <c r="Z38" s="83">
        <f t="shared" si="5"/>
        <v>0</v>
      </c>
      <c r="AA38" s="84">
        <f t="shared" si="59"/>
        <v>9733.5</v>
      </c>
      <c r="AB38" s="84">
        <f t="shared" si="60"/>
        <v>0</v>
      </c>
      <c r="AC38" s="84">
        <f t="shared" si="8"/>
        <v>0</v>
      </c>
      <c r="AD38" s="84"/>
      <c r="AE38" s="84">
        <f t="shared" si="20"/>
        <v>0</v>
      </c>
      <c r="AF38" s="89">
        <f t="shared" ref="AF38:AF81" si="63">IFERROR(SUM(Z38:AE38),"")</f>
        <v>9733.5</v>
      </c>
      <c r="AG38" s="94">
        <f t="shared" si="21"/>
        <v>1946.7000000000005</v>
      </c>
      <c r="AH38" s="85">
        <f>IFERROR(VLOOKUP(A38,CUSTOMERS!$A:$E,4),"")</f>
        <v>185.4</v>
      </c>
      <c r="AI38" s="86" t="str">
        <f t="shared" si="62"/>
        <v/>
      </c>
      <c r="AJ38" s="87">
        <f>IFERROR(VLOOKUP(A38,CUSTOMERS!$A:$F,5),"")</f>
        <v>0.2</v>
      </c>
      <c r="AK38" s="96"/>
      <c r="AL38" s="96">
        <v>7</v>
      </c>
      <c r="AM38" s="96">
        <v>0</v>
      </c>
      <c r="AN38" s="96"/>
      <c r="AO38" s="96">
        <v>0</v>
      </c>
      <c r="AP38" s="102">
        <f t="shared" si="13"/>
        <v>7</v>
      </c>
      <c r="AQ38" s="102">
        <f t="shared" si="14"/>
        <v>1.4000000000000001</v>
      </c>
      <c r="AR38" s="68" t="str">
        <f>IFERROR(VLOOKUP(A38,CUSTOMERS!$A:$B,2),"")</f>
        <v>LMR</v>
      </c>
      <c r="AS38" s="68" t="str">
        <f>IFERROR(VLOOKUP(A38,CUSTOMERS!$A:$D,3),"")</f>
        <v>RSC</v>
      </c>
      <c r="AT38" s="68" t="str">
        <f>IFERROR(VLOOKUP(A38,CUSTOMERS!$A:$F,6),"")</f>
        <v>Y</v>
      </c>
      <c r="AU38" s="69">
        <f>IFERROR(VLOOKUP(A38,CUSTOMERS!$A:$E,4),"")</f>
        <v>185.4</v>
      </c>
      <c r="AV38" s="68" t="str">
        <f t="shared" si="15"/>
        <v/>
      </c>
      <c r="AW38" s="70" t="str">
        <f t="shared" si="16"/>
        <v>descr38</v>
      </c>
      <c r="AX38" s="71" t="str">
        <f t="shared" si="17"/>
        <v>reason38</v>
      </c>
    </row>
    <row r="39" spans="1:50" s="73" customFormat="1" ht="40.5" customHeight="1" thickTop="1" thickBot="1">
      <c r="A39" s="120" t="s">
        <v>140</v>
      </c>
      <c r="B39" s="120" t="str">
        <f t="shared" si="22"/>
        <v>Y</v>
      </c>
      <c r="C39" s="120"/>
      <c r="D39" s="121">
        <v>10</v>
      </c>
      <c r="E39" s="121"/>
      <c r="F39" s="122" t="str">
        <f t="shared" si="1"/>
        <v>LMR-RSC-2020-00010</v>
      </c>
      <c r="G39" s="123" t="s">
        <v>103</v>
      </c>
      <c r="H39" s="124" t="s">
        <v>145</v>
      </c>
      <c r="I39" s="239"/>
      <c r="J39" s="81">
        <f t="shared" si="2"/>
        <v>34067.25</v>
      </c>
      <c r="K39" s="177">
        <f>MAX(L39:R39)</f>
        <v>44080</v>
      </c>
      <c r="L39" s="141">
        <v>43988</v>
      </c>
      <c r="M39" s="142">
        <v>44080</v>
      </c>
      <c r="N39" s="142">
        <v>43997</v>
      </c>
      <c r="O39" s="142">
        <v>43998</v>
      </c>
      <c r="P39" s="142">
        <v>43998</v>
      </c>
      <c r="Q39" s="199" t="s">
        <v>17</v>
      </c>
      <c r="R39" s="199" t="s">
        <v>4</v>
      </c>
      <c r="S39" s="199"/>
      <c r="T39" s="199"/>
      <c r="U39" s="199"/>
      <c r="V39" s="199"/>
      <c r="W39" s="199"/>
      <c r="X39" s="143" t="s">
        <v>429</v>
      </c>
      <c r="Y39" s="173">
        <f t="shared" si="61"/>
        <v>34067.25</v>
      </c>
      <c r="Z39" s="83">
        <f t="shared" si="5"/>
        <v>4171.5</v>
      </c>
      <c r="AA39" s="84">
        <f t="shared" si="59"/>
        <v>15990.75</v>
      </c>
      <c r="AB39" s="84">
        <f t="shared" si="60"/>
        <v>5562</v>
      </c>
      <c r="AC39" s="84">
        <f t="shared" si="8"/>
        <v>4171.5</v>
      </c>
      <c r="AD39" s="84"/>
      <c r="AE39" s="84">
        <f t="shared" si="20"/>
        <v>4171.5</v>
      </c>
      <c r="AF39" s="89">
        <f t="shared" si="63"/>
        <v>34067.25</v>
      </c>
      <c r="AG39" s="94">
        <f t="shared" si="21"/>
        <v>0</v>
      </c>
      <c r="AH39" s="85">
        <f>IFERROR(VLOOKUP(A39,CUSTOMERS!$A:$E,4),"")</f>
        <v>185.4</v>
      </c>
      <c r="AI39" s="86" t="str">
        <f t="shared" si="62"/>
        <v/>
      </c>
      <c r="AJ39" s="87">
        <f>IFERROR(VLOOKUP(A39,CUSTOMERS!$A:$F,5),"")</f>
        <v>0.2</v>
      </c>
      <c r="AK39" s="96">
        <v>3</v>
      </c>
      <c r="AL39" s="96">
        <v>11.5</v>
      </c>
      <c r="AM39" s="96">
        <v>4</v>
      </c>
      <c r="AN39" s="96">
        <v>3</v>
      </c>
      <c r="AO39" s="96">
        <v>3</v>
      </c>
      <c r="AP39" s="102">
        <f t="shared" si="13"/>
        <v>24.5</v>
      </c>
      <c r="AQ39" s="102">
        <v>0</v>
      </c>
      <c r="AR39" s="68" t="str">
        <f>IFERROR(VLOOKUP(A39,CUSTOMERS!$A:$B,2),"")</f>
        <v>LMR</v>
      </c>
      <c r="AS39" s="68" t="str">
        <f>IFERROR(VLOOKUP(A39,CUSTOMERS!$A:$D,3),"")</f>
        <v>RSC</v>
      </c>
      <c r="AT39" s="68" t="str">
        <f>IFERROR(VLOOKUP(A39,CUSTOMERS!$A:$F,6),"")</f>
        <v>Y</v>
      </c>
      <c r="AU39" s="69">
        <f>IFERROR(VLOOKUP(A39,CUSTOMERS!$A:$E,4),"")</f>
        <v>185.4</v>
      </c>
      <c r="AV39" s="68" t="str">
        <f t="shared" si="15"/>
        <v/>
      </c>
      <c r="AW39" s="70" t="str">
        <f t="shared" si="16"/>
        <v>descr39</v>
      </c>
      <c r="AX39" s="71" t="str">
        <f t="shared" si="17"/>
        <v>reason39</v>
      </c>
    </row>
    <row r="40" spans="1:50" s="73" customFormat="1" ht="40.5" customHeight="1" thickTop="1" thickBot="1">
      <c r="A40" s="120" t="s">
        <v>140</v>
      </c>
      <c r="B40" s="120" t="s">
        <v>283</v>
      </c>
      <c r="C40" s="120"/>
      <c r="D40" s="121">
        <v>13</v>
      </c>
      <c r="E40" s="121"/>
      <c r="F40" s="122" t="str">
        <f t="shared" si="1"/>
        <v/>
      </c>
      <c r="G40" s="123" t="s">
        <v>103</v>
      </c>
      <c r="H40" s="124" t="s">
        <v>146</v>
      </c>
      <c r="I40" s="239"/>
      <c r="J40" s="81">
        <f t="shared" si="2"/>
        <v>164820.6</v>
      </c>
      <c r="K40" s="177"/>
      <c r="L40" s="141"/>
      <c r="M40" s="142"/>
      <c r="N40" s="142"/>
      <c r="O40" s="142">
        <v>44323</v>
      </c>
      <c r="P40" s="142">
        <v>44323</v>
      </c>
      <c r="Q40" s="199" t="s">
        <v>12</v>
      </c>
      <c r="R40" s="199" t="s">
        <v>4</v>
      </c>
      <c r="S40" s="199"/>
      <c r="T40" s="199"/>
      <c r="U40" s="199"/>
      <c r="V40" s="199"/>
      <c r="W40" s="199"/>
      <c r="X40" s="143" t="s">
        <v>430</v>
      </c>
      <c r="Y40" s="173">
        <f t="shared" si="61"/>
        <v>164820.6</v>
      </c>
      <c r="Z40" s="83">
        <f t="shared" ref="Z40" si="64">IFERROR((AK40*AH40)*7.5,"")</f>
        <v>0</v>
      </c>
      <c r="AA40" s="84">
        <f t="shared" ref="AA40" si="65">IFERROR((AL40*AH40)*7.5,"")</f>
        <v>164820.6</v>
      </c>
      <c r="AB40" s="84">
        <f t="shared" ref="AB40" si="66">IFERROR((AM40*AH40)*7.5,"")</f>
        <v>0</v>
      </c>
      <c r="AC40" s="84">
        <f t="shared" ref="AC40" si="67">IFERROR((AN40*AH40)*7.5,"")</f>
        <v>0</v>
      </c>
      <c r="AD40" s="84"/>
      <c r="AE40" s="84">
        <f t="shared" ref="AE40" si="68">IFERROR((AO40*AH40)*7.5,"")</f>
        <v>0</v>
      </c>
      <c r="AF40" s="89">
        <f t="shared" ref="AF40" si="69">IFERROR(SUM(Z40:AE40),"")</f>
        <v>164820.6</v>
      </c>
      <c r="AG40" s="94">
        <f t="shared" ref="AG40" si="70">IFERROR((AQ40*AH40)*7.5,"")</f>
        <v>0</v>
      </c>
      <c r="AH40" s="85">
        <f>IFERROR(VLOOKUP(A40,CUSTOMERS!$A:$E,4),"")</f>
        <v>185.4</v>
      </c>
      <c r="AI40" s="86">
        <f t="shared" ref="AI40" si="71">AV40</f>
        <v>0</v>
      </c>
      <c r="AJ40" s="87">
        <f>IFERROR(VLOOKUP(A40,CUSTOMERS!$A:$F,5),"")</f>
        <v>0.2</v>
      </c>
      <c r="AK40" s="96">
        <v>0</v>
      </c>
      <c r="AL40" s="96">
        <f>889/7.5</f>
        <v>118.53333333333333</v>
      </c>
      <c r="AM40" s="96"/>
      <c r="AN40" s="96"/>
      <c r="AO40" s="96"/>
      <c r="AP40" s="102"/>
      <c r="AQ40" s="102"/>
      <c r="AR40" s="68"/>
      <c r="AS40" s="68"/>
      <c r="AT40" s="68"/>
      <c r="AU40" s="69"/>
      <c r="AV40" s="68"/>
      <c r="AW40" s="70"/>
      <c r="AX40" s="71"/>
    </row>
    <row r="41" spans="1:50" s="73" customFormat="1" ht="63.75" customHeight="1" thickTop="1" thickBot="1">
      <c r="A41" s="120" t="s">
        <v>140</v>
      </c>
      <c r="B41" s="120" t="str">
        <f t="shared" ref="B41:B50" si="72">AT41</f>
        <v>Y</v>
      </c>
      <c r="C41" s="120"/>
      <c r="D41" s="120">
        <v>13.1</v>
      </c>
      <c r="E41" s="120"/>
      <c r="F41" s="122" t="str">
        <f t="shared" si="1"/>
        <v>LMR-RSC-2021-013.1</v>
      </c>
      <c r="G41" s="123" t="s">
        <v>103</v>
      </c>
      <c r="H41" s="124" t="s">
        <v>147</v>
      </c>
      <c r="I41" s="239"/>
      <c r="J41" s="176">
        <f t="shared" ref="J41:J50" si="73">Y41</f>
        <v>0</v>
      </c>
      <c r="K41" s="177">
        <f t="shared" ref="K41:K71" si="74">MAX(L41:R41)</f>
        <v>44323</v>
      </c>
      <c r="L41" s="141">
        <v>44306</v>
      </c>
      <c r="M41" s="142"/>
      <c r="N41" s="142">
        <v>44309</v>
      </c>
      <c r="O41" s="142">
        <v>44323</v>
      </c>
      <c r="P41" s="142">
        <v>44323</v>
      </c>
      <c r="Q41" s="199" t="s">
        <v>12</v>
      </c>
      <c r="R41" s="199" t="s">
        <v>4</v>
      </c>
      <c r="S41" s="199"/>
      <c r="T41" s="199"/>
      <c r="U41" s="199"/>
      <c r="V41" s="199"/>
      <c r="W41" s="199"/>
      <c r="X41" s="143" t="s">
        <v>431</v>
      </c>
      <c r="Y41" s="173">
        <f t="shared" ref="Y41:Y49" si="75">IFERROR(AF41+AG41,"")</f>
        <v>0</v>
      </c>
      <c r="Z41" s="178">
        <f t="shared" ref="Z41:Z49" si="76">IFERROR((AK41*AH41)*7.5,"")</f>
        <v>0</v>
      </c>
      <c r="AA41" s="179">
        <f t="shared" ref="AA41:AA49" si="77">IFERROR((AL41*AH41)*7.5,"")</f>
        <v>0</v>
      </c>
      <c r="AB41" s="179">
        <f t="shared" ref="AB41:AB49" si="78">IFERROR((AM41*AH41)*7.5,"")</f>
        <v>0</v>
      </c>
      <c r="AC41" s="179">
        <f t="shared" ref="AC41:AC49" si="79">IFERROR((AN41*AH41)*7.5,"")</f>
        <v>0</v>
      </c>
      <c r="AD41" s="179"/>
      <c r="AE41" s="179">
        <f t="shared" ref="AE41:AE49" si="80">IFERROR((AO41*AH41)*7.5,"")</f>
        <v>0</v>
      </c>
      <c r="AF41" s="190">
        <f t="shared" ref="AF41:AF49" si="81">IFERROR(SUM(Z41:AE41),"")</f>
        <v>0</v>
      </c>
      <c r="AG41" s="94">
        <f t="shared" ref="AG41:AG49" si="82">IFERROR((AQ41*AH41)*7.5,"")</f>
        <v>0</v>
      </c>
      <c r="AH41" s="180">
        <f>IFERROR(VLOOKUP(A41,CUSTOMERS!$A:$E,4),"")</f>
        <v>185.4</v>
      </c>
      <c r="AI41" s="181" t="str">
        <f t="shared" ref="AI41:AI49" si="83">AV41</f>
        <v/>
      </c>
      <c r="AJ41" s="182">
        <f>IFERROR(VLOOKUP(A41,CUSTOMERS!$A:$F,5),"")</f>
        <v>0.2</v>
      </c>
      <c r="AK41" s="183">
        <v>0</v>
      </c>
      <c r="AL41" s="183">
        <v>0</v>
      </c>
      <c r="AM41" s="183">
        <v>0</v>
      </c>
      <c r="AN41" s="183">
        <v>0</v>
      </c>
      <c r="AO41" s="183">
        <v>0</v>
      </c>
      <c r="AP41" s="102">
        <f t="shared" ref="AP41:AP49" si="84">SUM(AK41:AO41)</f>
        <v>0</v>
      </c>
      <c r="AQ41" s="102">
        <v>0</v>
      </c>
      <c r="AR41" s="68" t="str">
        <f>IFERROR(VLOOKUP(A41,CUSTOMERS!$A:$B,2),"")</f>
        <v>LMR</v>
      </c>
      <c r="AS41" s="68" t="str">
        <f>IFERROR(VLOOKUP(A41,CUSTOMERS!$A:$D,3),"")</f>
        <v>RSC</v>
      </c>
      <c r="AT41" s="68" t="str">
        <f>IFERROR(VLOOKUP(A41,CUSTOMERS!$A:$F,6),"")</f>
        <v>Y</v>
      </c>
      <c r="AU41" s="69">
        <f>IFERROR(VLOOKUP(A41,CUSTOMERS!$A:$E,4),"")</f>
        <v>185.4</v>
      </c>
      <c r="AV41" s="68" t="str">
        <f t="shared" ref="AV41:AV105" si="85">IF(AH41&lt;&gt;AU41,"Y","")</f>
        <v/>
      </c>
      <c r="AW41" s="70" t="str">
        <f t="shared" ref="AW41:AW51" si="86">"descr"&amp;ROW()</f>
        <v>descr41</v>
      </c>
      <c r="AX41" s="71" t="str">
        <f t="shared" ref="AX41:AX51" si="87">"reason"&amp;ROW()</f>
        <v>reason41</v>
      </c>
    </row>
    <row r="42" spans="1:50" s="73" customFormat="1" ht="48" customHeight="1" thickTop="1" thickBot="1">
      <c r="A42" s="120" t="s">
        <v>140</v>
      </c>
      <c r="B42" s="120" t="str">
        <f t="shared" si="72"/>
        <v>Y</v>
      </c>
      <c r="C42" s="120"/>
      <c r="D42" s="120">
        <v>13.2</v>
      </c>
      <c r="E42" s="120"/>
      <c r="F42" s="122" t="str">
        <f t="shared" si="1"/>
        <v>LMR-RSC-2021-013.2</v>
      </c>
      <c r="G42" s="123" t="s">
        <v>103</v>
      </c>
      <c r="H42" s="124" t="s">
        <v>148</v>
      </c>
      <c r="I42" s="239"/>
      <c r="J42" s="176">
        <f t="shared" si="73"/>
        <v>0</v>
      </c>
      <c r="K42" s="177">
        <f t="shared" si="74"/>
        <v>44323</v>
      </c>
      <c r="L42" s="141">
        <v>44306</v>
      </c>
      <c r="M42" s="142"/>
      <c r="N42" s="142"/>
      <c r="O42" s="142">
        <v>44323</v>
      </c>
      <c r="P42" s="142">
        <v>44323</v>
      </c>
      <c r="Q42" s="199" t="s">
        <v>12</v>
      </c>
      <c r="R42" s="199" t="s">
        <v>4</v>
      </c>
      <c r="S42" s="199"/>
      <c r="T42" s="199"/>
      <c r="U42" s="199"/>
      <c r="V42" s="199"/>
      <c r="W42" s="199"/>
      <c r="X42" s="143" t="s">
        <v>432</v>
      </c>
      <c r="Y42" s="173">
        <f t="shared" si="75"/>
        <v>0</v>
      </c>
      <c r="Z42" s="178">
        <f t="shared" si="76"/>
        <v>0</v>
      </c>
      <c r="AA42" s="179">
        <f t="shared" si="77"/>
        <v>0</v>
      </c>
      <c r="AB42" s="179">
        <f t="shared" si="78"/>
        <v>0</v>
      </c>
      <c r="AC42" s="179">
        <f t="shared" si="79"/>
        <v>0</v>
      </c>
      <c r="AD42" s="179"/>
      <c r="AE42" s="179">
        <f t="shared" si="80"/>
        <v>0</v>
      </c>
      <c r="AF42" s="190">
        <f t="shared" si="81"/>
        <v>0</v>
      </c>
      <c r="AG42" s="94">
        <f t="shared" si="82"/>
        <v>0</v>
      </c>
      <c r="AH42" s="180">
        <f>IFERROR(VLOOKUP(A42,CUSTOMERS!$A:$E,4),"")</f>
        <v>185.4</v>
      </c>
      <c r="AI42" s="181" t="str">
        <f t="shared" si="83"/>
        <v/>
      </c>
      <c r="AJ42" s="182">
        <f>IFERROR(VLOOKUP(A42,CUSTOMERS!$A:$F,5),"")</f>
        <v>0.2</v>
      </c>
      <c r="AK42" s="183">
        <v>0</v>
      </c>
      <c r="AL42" s="183"/>
      <c r="AM42" s="183"/>
      <c r="AN42" s="183"/>
      <c r="AO42" s="183"/>
      <c r="AP42" s="102">
        <f t="shared" si="84"/>
        <v>0</v>
      </c>
      <c r="AQ42" s="102">
        <v>0</v>
      </c>
      <c r="AR42" s="68" t="str">
        <f>IFERROR(VLOOKUP(A42,CUSTOMERS!$A:$B,2),"")</f>
        <v>LMR</v>
      </c>
      <c r="AS42" s="68" t="str">
        <f>IFERROR(VLOOKUP(A42,CUSTOMERS!$A:$D,3),"")</f>
        <v>RSC</v>
      </c>
      <c r="AT42" s="68" t="str">
        <f>IFERROR(VLOOKUP(A42,CUSTOMERS!$A:$F,6),"")</f>
        <v>Y</v>
      </c>
      <c r="AU42" s="69">
        <f>IFERROR(VLOOKUP(A42,CUSTOMERS!$A:$E,4),"")</f>
        <v>185.4</v>
      </c>
      <c r="AV42" s="68" t="str">
        <f t="shared" si="85"/>
        <v/>
      </c>
      <c r="AW42" s="70" t="str">
        <f t="shared" si="86"/>
        <v>descr42</v>
      </c>
      <c r="AX42" s="71" t="str">
        <f t="shared" si="87"/>
        <v>reason42</v>
      </c>
    </row>
    <row r="43" spans="1:50" s="73" customFormat="1" ht="79.5" customHeight="1" thickTop="1" thickBot="1">
      <c r="A43" s="120" t="s">
        <v>140</v>
      </c>
      <c r="B43" s="120" t="str">
        <f t="shared" si="72"/>
        <v>Y</v>
      </c>
      <c r="C43" s="120"/>
      <c r="D43" s="120">
        <v>13.3</v>
      </c>
      <c r="E43" s="120"/>
      <c r="F43" s="122" t="str">
        <f t="shared" si="1"/>
        <v>LMR-RSC-2021-013.3</v>
      </c>
      <c r="G43" s="123" t="s">
        <v>103</v>
      </c>
      <c r="H43" s="124" t="s">
        <v>149</v>
      </c>
      <c r="I43" s="239"/>
      <c r="J43" s="176">
        <f t="shared" si="73"/>
        <v>0</v>
      </c>
      <c r="K43" s="177">
        <f t="shared" si="74"/>
        <v>44323</v>
      </c>
      <c r="L43" s="141">
        <v>44306</v>
      </c>
      <c r="M43" s="142"/>
      <c r="N43" s="142">
        <v>44309</v>
      </c>
      <c r="O43" s="142">
        <v>44323</v>
      </c>
      <c r="P43" s="142">
        <v>44323</v>
      </c>
      <c r="Q43" s="199" t="s">
        <v>12</v>
      </c>
      <c r="R43" s="199" t="s">
        <v>4</v>
      </c>
      <c r="S43" s="199"/>
      <c r="T43" s="199"/>
      <c r="U43" s="199"/>
      <c r="V43" s="199"/>
      <c r="W43" s="199"/>
      <c r="X43" s="143" t="s">
        <v>433</v>
      </c>
      <c r="Y43" s="173">
        <f t="shared" si="75"/>
        <v>0</v>
      </c>
      <c r="Z43" s="178">
        <f t="shared" si="76"/>
        <v>0</v>
      </c>
      <c r="AA43" s="179">
        <f t="shared" si="77"/>
        <v>0</v>
      </c>
      <c r="AB43" s="179">
        <f t="shared" si="78"/>
        <v>0</v>
      </c>
      <c r="AC43" s="179">
        <f t="shared" si="79"/>
        <v>0</v>
      </c>
      <c r="AD43" s="179"/>
      <c r="AE43" s="179">
        <f t="shared" si="80"/>
        <v>0</v>
      </c>
      <c r="AF43" s="190">
        <f t="shared" si="81"/>
        <v>0</v>
      </c>
      <c r="AG43" s="94">
        <f t="shared" si="82"/>
        <v>0</v>
      </c>
      <c r="AH43" s="180">
        <f>IFERROR(VLOOKUP(A43,CUSTOMERS!$A:$E,4),"")</f>
        <v>185.4</v>
      </c>
      <c r="AI43" s="181" t="str">
        <f t="shared" si="83"/>
        <v/>
      </c>
      <c r="AJ43" s="182">
        <f>IFERROR(VLOOKUP(A43,CUSTOMERS!$A:$F,5),"")</f>
        <v>0.2</v>
      </c>
      <c r="AK43" s="183">
        <v>0</v>
      </c>
      <c r="AL43" s="183">
        <v>0</v>
      </c>
      <c r="AM43" s="183">
        <v>0</v>
      </c>
      <c r="AN43" s="183">
        <v>0</v>
      </c>
      <c r="AO43" s="183">
        <v>0</v>
      </c>
      <c r="AP43" s="102">
        <f t="shared" si="84"/>
        <v>0</v>
      </c>
      <c r="AQ43" s="102">
        <v>0</v>
      </c>
      <c r="AR43" s="68" t="str">
        <f>IFERROR(VLOOKUP(A43,CUSTOMERS!$A:$B,2),"")</f>
        <v>LMR</v>
      </c>
      <c r="AS43" s="68" t="str">
        <f>IFERROR(VLOOKUP(A43,CUSTOMERS!$A:$D,3),"")</f>
        <v>RSC</v>
      </c>
      <c r="AT43" s="68" t="str">
        <f>IFERROR(VLOOKUP(A43,CUSTOMERS!$A:$F,6),"")</f>
        <v>Y</v>
      </c>
      <c r="AU43" s="69">
        <f>IFERROR(VLOOKUP(A43,CUSTOMERS!$A:$E,4),"")</f>
        <v>185.4</v>
      </c>
      <c r="AV43" s="68" t="str">
        <f t="shared" si="85"/>
        <v/>
      </c>
      <c r="AW43" s="70" t="str">
        <f t="shared" si="86"/>
        <v>descr43</v>
      </c>
      <c r="AX43" s="71" t="str">
        <f t="shared" si="87"/>
        <v>reason43</v>
      </c>
    </row>
    <row r="44" spans="1:50" s="73" customFormat="1" ht="40.5" customHeight="1" thickTop="1" thickBot="1">
      <c r="A44" s="120" t="s">
        <v>140</v>
      </c>
      <c r="B44" s="120" t="str">
        <f t="shared" si="72"/>
        <v>Y</v>
      </c>
      <c r="C44" s="120"/>
      <c r="D44" s="120">
        <v>13.4</v>
      </c>
      <c r="E44" s="120"/>
      <c r="F44" s="122" t="str">
        <f t="shared" si="1"/>
        <v>LMR-RSC-2021-013.4</v>
      </c>
      <c r="G44" s="123" t="s">
        <v>103</v>
      </c>
      <c r="H44" s="124" t="s">
        <v>150</v>
      </c>
      <c r="I44" s="239"/>
      <c r="J44" s="176">
        <f t="shared" si="73"/>
        <v>0</v>
      </c>
      <c r="K44" s="177">
        <f t="shared" si="74"/>
        <v>44323</v>
      </c>
      <c r="L44" s="141">
        <v>44306</v>
      </c>
      <c r="M44" s="142"/>
      <c r="N44" s="142">
        <v>44309</v>
      </c>
      <c r="O44" s="142">
        <v>44323</v>
      </c>
      <c r="P44" s="142">
        <v>44323</v>
      </c>
      <c r="Q44" s="199" t="s">
        <v>12</v>
      </c>
      <c r="R44" s="199" t="s">
        <v>4</v>
      </c>
      <c r="S44" s="199"/>
      <c r="T44" s="199"/>
      <c r="U44" s="199"/>
      <c r="V44" s="199"/>
      <c r="W44" s="199"/>
      <c r="X44" s="143" t="s">
        <v>434</v>
      </c>
      <c r="Y44" s="173">
        <f t="shared" si="75"/>
        <v>0</v>
      </c>
      <c r="Z44" s="178">
        <f t="shared" si="76"/>
        <v>0</v>
      </c>
      <c r="AA44" s="179">
        <f t="shared" si="77"/>
        <v>0</v>
      </c>
      <c r="AB44" s="179">
        <f t="shared" si="78"/>
        <v>0</v>
      </c>
      <c r="AC44" s="179">
        <f t="shared" si="79"/>
        <v>0</v>
      </c>
      <c r="AD44" s="179"/>
      <c r="AE44" s="179">
        <f t="shared" si="80"/>
        <v>0</v>
      </c>
      <c r="AF44" s="190">
        <f t="shared" si="81"/>
        <v>0</v>
      </c>
      <c r="AG44" s="94">
        <f t="shared" si="82"/>
        <v>0</v>
      </c>
      <c r="AH44" s="180">
        <f>IFERROR(VLOOKUP(A44,CUSTOMERS!$A:$E,4),"")</f>
        <v>185.4</v>
      </c>
      <c r="AI44" s="181" t="str">
        <f t="shared" si="83"/>
        <v/>
      </c>
      <c r="AJ44" s="182">
        <f>IFERROR(VLOOKUP(A44,CUSTOMERS!$A:$F,5),"")</f>
        <v>0.2</v>
      </c>
      <c r="AK44" s="183">
        <v>0</v>
      </c>
      <c r="AL44" s="183">
        <v>0</v>
      </c>
      <c r="AM44" s="183"/>
      <c r="AN44" s="183"/>
      <c r="AO44" s="183"/>
      <c r="AP44" s="102">
        <f t="shared" si="84"/>
        <v>0</v>
      </c>
      <c r="AQ44" s="102">
        <v>0</v>
      </c>
      <c r="AR44" s="68" t="str">
        <f>IFERROR(VLOOKUP(A44,CUSTOMERS!$A:$B,2),"")</f>
        <v>LMR</v>
      </c>
      <c r="AS44" s="68" t="str">
        <f>IFERROR(VLOOKUP(A44,CUSTOMERS!$A:$D,3),"")</f>
        <v>RSC</v>
      </c>
      <c r="AT44" s="68" t="str">
        <f>IFERROR(VLOOKUP(A44,CUSTOMERS!$A:$F,6),"")</f>
        <v>Y</v>
      </c>
      <c r="AU44" s="69">
        <f>IFERROR(VLOOKUP(A44,CUSTOMERS!$A:$E,4),"")</f>
        <v>185.4</v>
      </c>
      <c r="AV44" s="68" t="str">
        <f t="shared" si="85"/>
        <v/>
      </c>
      <c r="AW44" s="70" t="str">
        <f t="shared" si="86"/>
        <v>descr44</v>
      </c>
      <c r="AX44" s="71" t="str">
        <f t="shared" si="87"/>
        <v>reason44</v>
      </c>
    </row>
    <row r="45" spans="1:50" s="73" customFormat="1" ht="40.5" customHeight="1" thickTop="1" thickBot="1">
      <c r="A45" s="120" t="s">
        <v>140</v>
      </c>
      <c r="B45" s="120" t="str">
        <f t="shared" si="72"/>
        <v>Y</v>
      </c>
      <c r="C45" s="120"/>
      <c r="D45" s="120">
        <v>13.5</v>
      </c>
      <c r="E45" s="120"/>
      <c r="F45" s="122" t="str">
        <f t="shared" si="1"/>
        <v>LMR-RSC-2021-013.5</v>
      </c>
      <c r="G45" s="123" t="s">
        <v>103</v>
      </c>
      <c r="H45" s="124" t="s">
        <v>151</v>
      </c>
      <c r="I45" s="239"/>
      <c r="J45" s="176">
        <f t="shared" si="73"/>
        <v>0</v>
      </c>
      <c r="K45" s="177">
        <f t="shared" si="74"/>
        <v>44323</v>
      </c>
      <c r="L45" s="141">
        <v>44306</v>
      </c>
      <c r="M45" s="142"/>
      <c r="N45" s="142"/>
      <c r="O45" s="142">
        <v>44323</v>
      </c>
      <c r="P45" s="142">
        <v>44323</v>
      </c>
      <c r="Q45" s="199" t="s">
        <v>12</v>
      </c>
      <c r="R45" s="199" t="s">
        <v>4</v>
      </c>
      <c r="S45" s="199"/>
      <c r="T45" s="199"/>
      <c r="U45" s="199"/>
      <c r="V45" s="199"/>
      <c r="W45" s="199"/>
      <c r="X45" s="143" t="s">
        <v>435</v>
      </c>
      <c r="Y45" s="173">
        <f t="shared" si="75"/>
        <v>0</v>
      </c>
      <c r="Z45" s="178">
        <f t="shared" si="76"/>
        <v>0</v>
      </c>
      <c r="AA45" s="179">
        <f t="shared" si="77"/>
        <v>0</v>
      </c>
      <c r="AB45" s="179">
        <f t="shared" si="78"/>
        <v>0</v>
      </c>
      <c r="AC45" s="179">
        <f t="shared" si="79"/>
        <v>0</v>
      </c>
      <c r="AD45" s="179"/>
      <c r="AE45" s="179">
        <f t="shared" si="80"/>
        <v>0</v>
      </c>
      <c r="AF45" s="190">
        <f t="shared" si="81"/>
        <v>0</v>
      </c>
      <c r="AG45" s="94">
        <f t="shared" si="82"/>
        <v>0</v>
      </c>
      <c r="AH45" s="180">
        <f>IFERROR(VLOOKUP(A45,CUSTOMERS!$A:$E,4),"")</f>
        <v>185.4</v>
      </c>
      <c r="AI45" s="181" t="str">
        <f t="shared" si="83"/>
        <v/>
      </c>
      <c r="AJ45" s="182">
        <f>IFERROR(VLOOKUP(A45,CUSTOMERS!$A:$F,5),"")</f>
        <v>0.2</v>
      </c>
      <c r="AK45" s="183">
        <v>0</v>
      </c>
      <c r="AL45" s="183"/>
      <c r="AM45" s="183"/>
      <c r="AN45" s="183"/>
      <c r="AO45" s="183"/>
      <c r="AP45" s="102">
        <f t="shared" si="84"/>
        <v>0</v>
      </c>
      <c r="AQ45" s="102">
        <v>0</v>
      </c>
      <c r="AR45" s="68" t="str">
        <f>IFERROR(VLOOKUP(A45,CUSTOMERS!$A:$B,2),"")</f>
        <v>LMR</v>
      </c>
      <c r="AS45" s="68" t="str">
        <f>IFERROR(VLOOKUP(A45,CUSTOMERS!$A:$D,3),"")</f>
        <v>RSC</v>
      </c>
      <c r="AT45" s="68" t="str">
        <f>IFERROR(VLOOKUP(A45,CUSTOMERS!$A:$F,6),"")</f>
        <v>Y</v>
      </c>
      <c r="AU45" s="69">
        <f>IFERROR(VLOOKUP(A45,CUSTOMERS!$A:$E,4),"")</f>
        <v>185.4</v>
      </c>
      <c r="AV45" s="68" t="str">
        <f t="shared" si="85"/>
        <v/>
      </c>
      <c r="AW45" s="70" t="str">
        <f t="shared" si="86"/>
        <v>descr45</v>
      </c>
      <c r="AX45" s="71" t="str">
        <f t="shared" si="87"/>
        <v>reason45</v>
      </c>
    </row>
    <row r="46" spans="1:50" s="73" customFormat="1" ht="40.5" customHeight="1" thickTop="1" thickBot="1">
      <c r="A46" s="120" t="s">
        <v>140</v>
      </c>
      <c r="B46" s="120" t="str">
        <f t="shared" si="72"/>
        <v>Y</v>
      </c>
      <c r="C46" s="120"/>
      <c r="D46" s="120">
        <v>13.6</v>
      </c>
      <c r="E46" s="120"/>
      <c r="F46" s="122" t="str">
        <f t="shared" si="1"/>
        <v>LMR-RSC-2021-013.6</v>
      </c>
      <c r="G46" s="123" t="s">
        <v>103</v>
      </c>
      <c r="H46" s="124" t="s">
        <v>152</v>
      </c>
      <c r="I46" s="239"/>
      <c r="J46" s="176">
        <f t="shared" si="73"/>
        <v>0</v>
      </c>
      <c r="K46" s="177">
        <f t="shared" si="74"/>
        <v>44323</v>
      </c>
      <c r="L46" s="141">
        <v>44306</v>
      </c>
      <c r="M46" s="142"/>
      <c r="N46" s="142"/>
      <c r="O46" s="142"/>
      <c r="P46" s="142">
        <v>44323</v>
      </c>
      <c r="Q46" s="199" t="s">
        <v>12</v>
      </c>
      <c r="R46" s="199" t="s">
        <v>4</v>
      </c>
      <c r="S46" s="199"/>
      <c r="T46" s="199"/>
      <c r="U46" s="199"/>
      <c r="V46" s="199"/>
      <c r="W46" s="199"/>
      <c r="X46" s="143" t="s">
        <v>436</v>
      </c>
      <c r="Y46" s="173">
        <f t="shared" si="75"/>
        <v>0</v>
      </c>
      <c r="Z46" s="178">
        <f t="shared" si="76"/>
        <v>0</v>
      </c>
      <c r="AA46" s="179">
        <f t="shared" si="77"/>
        <v>0</v>
      </c>
      <c r="AB46" s="179">
        <f t="shared" si="78"/>
        <v>0</v>
      </c>
      <c r="AC46" s="179">
        <f t="shared" si="79"/>
        <v>0</v>
      </c>
      <c r="AD46" s="179"/>
      <c r="AE46" s="179">
        <f t="shared" si="80"/>
        <v>0</v>
      </c>
      <c r="AF46" s="190">
        <f t="shared" si="81"/>
        <v>0</v>
      </c>
      <c r="AG46" s="94">
        <f t="shared" si="82"/>
        <v>0</v>
      </c>
      <c r="AH46" s="180">
        <f>IFERROR(VLOOKUP(A46,CUSTOMERS!$A:$E,4),"")</f>
        <v>185.4</v>
      </c>
      <c r="AI46" s="181" t="str">
        <f t="shared" si="83"/>
        <v/>
      </c>
      <c r="AJ46" s="182">
        <f>IFERROR(VLOOKUP(A46,CUSTOMERS!$A:$F,5),"")</f>
        <v>0.2</v>
      </c>
      <c r="AK46" s="183">
        <v>0</v>
      </c>
      <c r="AL46" s="183"/>
      <c r="AM46" s="183"/>
      <c r="AN46" s="183"/>
      <c r="AO46" s="183"/>
      <c r="AP46" s="102">
        <f t="shared" si="84"/>
        <v>0</v>
      </c>
      <c r="AQ46" s="102">
        <v>0</v>
      </c>
      <c r="AR46" s="68" t="str">
        <f>IFERROR(VLOOKUP(A46,CUSTOMERS!$A:$B,2),"")</f>
        <v>LMR</v>
      </c>
      <c r="AS46" s="68" t="str">
        <f>IFERROR(VLOOKUP(A46,CUSTOMERS!$A:$D,3),"")</f>
        <v>RSC</v>
      </c>
      <c r="AT46" s="68" t="str">
        <f>IFERROR(VLOOKUP(A46,CUSTOMERS!$A:$F,6),"")</f>
        <v>Y</v>
      </c>
      <c r="AU46" s="69">
        <f>IFERROR(VLOOKUP(A46,CUSTOMERS!$A:$E,4),"")</f>
        <v>185.4</v>
      </c>
      <c r="AV46" s="68" t="str">
        <f t="shared" si="85"/>
        <v/>
      </c>
      <c r="AW46" s="70" t="str">
        <f t="shared" si="86"/>
        <v>descr46</v>
      </c>
      <c r="AX46" s="71" t="str">
        <f t="shared" si="87"/>
        <v>reason46</v>
      </c>
    </row>
    <row r="47" spans="1:50" s="73" customFormat="1" ht="40.5" customHeight="1" thickTop="1" thickBot="1">
      <c r="A47" s="120" t="s">
        <v>140</v>
      </c>
      <c r="B47" s="120" t="str">
        <f t="shared" si="72"/>
        <v>Y</v>
      </c>
      <c r="C47" s="120"/>
      <c r="D47" s="120">
        <v>13.7</v>
      </c>
      <c r="E47" s="120"/>
      <c r="F47" s="122" t="str">
        <f t="shared" si="1"/>
        <v>LMR-RSC-2021-013.7</v>
      </c>
      <c r="G47" s="123" t="s">
        <v>103</v>
      </c>
      <c r="H47" s="124" t="s">
        <v>153</v>
      </c>
      <c r="I47" s="239"/>
      <c r="J47" s="176">
        <f t="shared" si="73"/>
        <v>0</v>
      </c>
      <c r="K47" s="177">
        <f t="shared" si="74"/>
        <v>44323</v>
      </c>
      <c r="L47" s="141">
        <v>44306</v>
      </c>
      <c r="M47" s="142"/>
      <c r="N47" s="142">
        <v>44309</v>
      </c>
      <c r="O47" s="142">
        <v>44323</v>
      </c>
      <c r="P47" s="142">
        <v>44323</v>
      </c>
      <c r="Q47" s="199" t="s">
        <v>12</v>
      </c>
      <c r="R47" s="199" t="s">
        <v>4</v>
      </c>
      <c r="S47" s="199"/>
      <c r="T47" s="199"/>
      <c r="U47" s="199"/>
      <c r="V47" s="199"/>
      <c r="W47" s="199"/>
      <c r="X47" s="143" t="s">
        <v>437</v>
      </c>
      <c r="Y47" s="173">
        <f t="shared" si="75"/>
        <v>0</v>
      </c>
      <c r="Z47" s="178">
        <f t="shared" si="76"/>
        <v>0</v>
      </c>
      <c r="AA47" s="179">
        <f t="shared" si="77"/>
        <v>0</v>
      </c>
      <c r="AB47" s="179">
        <f t="shared" si="78"/>
        <v>0</v>
      </c>
      <c r="AC47" s="179">
        <f t="shared" si="79"/>
        <v>0</v>
      </c>
      <c r="AD47" s="179"/>
      <c r="AE47" s="179">
        <f t="shared" si="80"/>
        <v>0</v>
      </c>
      <c r="AF47" s="190">
        <f t="shared" si="81"/>
        <v>0</v>
      </c>
      <c r="AG47" s="94">
        <f t="shared" si="82"/>
        <v>0</v>
      </c>
      <c r="AH47" s="180">
        <f>IFERROR(VLOOKUP(A47,CUSTOMERS!$A:$E,4),"")</f>
        <v>185.4</v>
      </c>
      <c r="AI47" s="181" t="str">
        <f t="shared" si="83"/>
        <v/>
      </c>
      <c r="AJ47" s="182">
        <f>IFERROR(VLOOKUP(A47,CUSTOMERS!$A:$F,5),"")</f>
        <v>0.2</v>
      </c>
      <c r="AK47" s="183">
        <v>0</v>
      </c>
      <c r="AL47" s="183">
        <v>0</v>
      </c>
      <c r="AM47" s="183">
        <v>0</v>
      </c>
      <c r="AN47" s="183">
        <v>0</v>
      </c>
      <c r="AO47" s="183">
        <v>0</v>
      </c>
      <c r="AP47" s="102">
        <f t="shared" si="84"/>
        <v>0</v>
      </c>
      <c r="AQ47" s="102">
        <v>0</v>
      </c>
      <c r="AR47" s="68" t="str">
        <f>IFERROR(VLOOKUP(A47,CUSTOMERS!$A:$B,2),"")</f>
        <v>LMR</v>
      </c>
      <c r="AS47" s="68" t="str">
        <f>IFERROR(VLOOKUP(A47,CUSTOMERS!$A:$D,3),"")</f>
        <v>RSC</v>
      </c>
      <c r="AT47" s="68" t="str">
        <f>IFERROR(VLOOKUP(A47,CUSTOMERS!$A:$F,6),"")</f>
        <v>Y</v>
      </c>
      <c r="AU47" s="69">
        <f>IFERROR(VLOOKUP(A47,CUSTOMERS!$A:$E,4),"")</f>
        <v>185.4</v>
      </c>
      <c r="AV47" s="68" t="str">
        <f t="shared" si="85"/>
        <v/>
      </c>
      <c r="AW47" s="70" t="str">
        <f t="shared" si="86"/>
        <v>descr47</v>
      </c>
      <c r="AX47" s="71" t="str">
        <f t="shared" si="87"/>
        <v>reason47</v>
      </c>
    </row>
    <row r="48" spans="1:50" s="73" customFormat="1" ht="40.5" customHeight="1" thickTop="1" thickBot="1">
      <c r="A48" s="120" t="s">
        <v>140</v>
      </c>
      <c r="B48" s="120" t="str">
        <f t="shared" si="72"/>
        <v>Y</v>
      </c>
      <c r="C48" s="120"/>
      <c r="D48" s="120">
        <v>13.8</v>
      </c>
      <c r="E48" s="120"/>
      <c r="F48" s="122" t="str">
        <f t="shared" si="1"/>
        <v>LMR-RSC-2021-013.8</v>
      </c>
      <c r="G48" s="123" t="s">
        <v>103</v>
      </c>
      <c r="H48" s="124" t="s">
        <v>154</v>
      </c>
      <c r="I48" s="239"/>
      <c r="J48" s="176">
        <f t="shared" si="73"/>
        <v>0</v>
      </c>
      <c r="K48" s="177">
        <f t="shared" si="74"/>
        <v>44323</v>
      </c>
      <c r="L48" s="141">
        <v>44306</v>
      </c>
      <c r="M48" s="142"/>
      <c r="N48" s="142">
        <v>44309</v>
      </c>
      <c r="O48" s="142">
        <v>44323</v>
      </c>
      <c r="P48" s="142">
        <v>44323</v>
      </c>
      <c r="Q48" s="199" t="s">
        <v>12</v>
      </c>
      <c r="R48" s="199" t="s">
        <v>4</v>
      </c>
      <c r="S48" s="199"/>
      <c r="T48" s="199"/>
      <c r="U48" s="199"/>
      <c r="V48" s="199"/>
      <c r="W48" s="199"/>
      <c r="X48" s="143" t="s">
        <v>438</v>
      </c>
      <c r="Y48" s="173">
        <f t="shared" si="75"/>
        <v>0</v>
      </c>
      <c r="Z48" s="178">
        <f t="shared" si="76"/>
        <v>0</v>
      </c>
      <c r="AA48" s="179">
        <f t="shared" si="77"/>
        <v>0</v>
      </c>
      <c r="AB48" s="179">
        <f t="shared" si="78"/>
        <v>0</v>
      </c>
      <c r="AC48" s="179">
        <f t="shared" si="79"/>
        <v>0</v>
      </c>
      <c r="AD48" s="179"/>
      <c r="AE48" s="179">
        <f t="shared" si="80"/>
        <v>0</v>
      </c>
      <c r="AF48" s="190">
        <f t="shared" si="81"/>
        <v>0</v>
      </c>
      <c r="AG48" s="94">
        <f t="shared" si="82"/>
        <v>0</v>
      </c>
      <c r="AH48" s="180">
        <f>IFERROR(VLOOKUP(A48,CUSTOMERS!$A:$E,4),"")</f>
        <v>185.4</v>
      </c>
      <c r="AI48" s="181" t="str">
        <f t="shared" si="83"/>
        <v/>
      </c>
      <c r="AJ48" s="182">
        <f>IFERROR(VLOOKUP(A48,CUSTOMERS!$A:$F,5),"")</f>
        <v>0.2</v>
      </c>
      <c r="AK48" s="183">
        <v>0</v>
      </c>
      <c r="AL48" s="183">
        <v>0</v>
      </c>
      <c r="AM48" s="183">
        <v>0</v>
      </c>
      <c r="AN48" s="183">
        <v>0</v>
      </c>
      <c r="AO48" s="183">
        <v>0</v>
      </c>
      <c r="AP48" s="102">
        <f t="shared" si="84"/>
        <v>0</v>
      </c>
      <c r="AQ48" s="102">
        <v>0</v>
      </c>
      <c r="AR48" s="68" t="str">
        <f>IFERROR(VLOOKUP(A48,CUSTOMERS!$A:$B,2),"")</f>
        <v>LMR</v>
      </c>
      <c r="AS48" s="68" t="str">
        <f>IFERROR(VLOOKUP(A48,CUSTOMERS!$A:$D,3),"")</f>
        <v>RSC</v>
      </c>
      <c r="AT48" s="68" t="str">
        <f>IFERROR(VLOOKUP(A48,CUSTOMERS!$A:$F,6),"")</f>
        <v>Y</v>
      </c>
      <c r="AU48" s="69">
        <f>IFERROR(VLOOKUP(A48,CUSTOMERS!$A:$E,4),"")</f>
        <v>185.4</v>
      </c>
      <c r="AV48" s="68" t="str">
        <f t="shared" si="85"/>
        <v/>
      </c>
      <c r="AW48" s="70" t="str">
        <f t="shared" si="86"/>
        <v>descr48</v>
      </c>
      <c r="AX48" s="71" t="str">
        <f t="shared" si="87"/>
        <v>reason48</v>
      </c>
    </row>
    <row r="49" spans="1:50" s="73" customFormat="1" ht="40.5" customHeight="1" thickTop="1" thickBot="1">
      <c r="A49" s="120" t="s">
        <v>140</v>
      </c>
      <c r="B49" s="120" t="str">
        <f t="shared" si="72"/>
        <v>Y</v>
      </c>
      <c r="C49" s="120"/>
      <c r="D49" s="120">
        <v>13.9</v>
      </c>
      <c r="E49" s="120"/>
      <c r="F49" s="122" t="str">
        <f t="shared" si="1"/>
        <v>LMR-RSC-2021-013.9</v>
      </c>
      <c r="G49" s="123" t="s">
        <v>103</v>
      </c>
      <c r="H49" s="124" t="s">
        <v>155</v>
      </c>
      <c r="I49" s="239"/>
      <c r="J49" s="176">
        <f t="shared" si="73"/>
        <v>0</v>
      </c>
      <c r="K49" s="177">
        <f t="shared" si="74"/>
        <v>44323</v>
      </c>
      <c r="L49" s="141">
        <v>44306</v>
      </c>
      <c r="M49" s="142"/>
      <c r="N49" s="142"/>
      <c r="O49" s="142">
        <v>44323</v>
      </c>
      <c r="P49" s="142">
        <v>44323</v>
      </c>
      <c r="Q49" s="199" t="s">
        <v>12</v>
      </c>
      <c r="R49" s="199" t="s">
        <v>4</v>
      </c>
      <c r="S49" s="199"/>
      <c r="T49" s="199"/>
      <c r="U49" s="199"/>
      <c r="V49" s="199"/>
      <c r="W49" s="199"/>
      <c r="X49" s="143" t="s">
        <v>437</v>
      </c>
      <c r="Y49" s="173">
        <f t="shared" si="75"/>
        <v>0</v>
      </c>
      <c r="Z49" s="178">
        <f t="shared" si="76"/>
        <v>0</v>
      </c>
      <c r="AA49" s="179">
        <f t="shared" si="77"/>
        <v>0</v>
      </c>
      <c r="AB49" s="179">
        <f t="shared" si="78"/>
        <v>0</v>
      </c>
      <c r="AC49" s="179">
        <f t="shared" si="79"/>
        <v>0</v>
      </c>
      <c r="AD49" s="179"/>
      <c r="AE49" s="179">
        <f t="shared" si="80"/>
        <v>0</v>
      </c>
      <c r="AF49" s="190">
        <f t="shared" si="81"/>
        <v>0</v>
      </c>
      <c r="AG49" s="94">
        <f t="shared" si="82"/>
        <v>0</v>
      </c>
      <c r="AH49" s="180">
        <f>IFERROR(VLOOKUP(A49,CUSTOMERS!$A:$E,4),"")</f>
        <v>185.4</v>
      </c>
      <c r="AI49" s="181" t="str">
        <f t="shared" si="83"/>
        <v/>
      </c>
      <c r="AJ49" s="182">
        <f>IFERROR(VLOOKUP(A49,CUSTOMERS!$A:$F,5),"")</f>
        <v>0.2</v>
      </c>
      <c r="AK49" s="183">
        <v>0</v>
      </c>
      <c r="AL49" s="183">
        <v>0</v>
      </c>
      <c r="AM49" s="183">
        <v>0</v>
      </c>
      <c r="AN49" s="183">
        <v>0</v>
      </c>
      <c r="AO49" s="183">
        <v>0</v>
      </c>
      <c r="AP49" s="102">
        <f t="shared" si="84"/>
        <v>0</v>
      </c>
      <c r="AQ49" s="102">
        <v>0</v>
      </c>
      <c r="AR49" s="68" t="str">
        <f>IFERROR(VLOOKUP(A49,CUSTOMERS!$A:$B,2),"")</f>
        <v>LMR</v>
      </c>
      <c r="AS49" s="68" t="str">
        <f>IFERROR(VLOOKUP(A49,CUSTOMERS!$A:$D,3),"")</f>
        <v>RSC</v>
      </c>
      <c r="AT49" s="68" t="str">
        <f>IFERROR(VLOOKUP(A49,CUSTOMERS!$A:$F,6),"")</f>
        <v>Y</v>
      </c>
      <c r="AU49" s="69">
        <f>IFERROR(VLOOKUP(A49,CUSTOMERS!$A:$E,4),"")</f>
        <v>185.4</v>
      </c>
      <c r="AV49" s="68" t="str">
        <f t="shared" si="85"/>
        <v/>
      </c>
      <c r="AW49" s="70" t="str">
        <f t="shared" si="86"/>
        <v>descr49</v>
      </c>
      <c r="AX49" s="71" t="str">
        <f t="shared" si="87"/>
        <v>reason49</v>
      </c>
    </row>
    <row r="50" spans="1:50" s="73" customFormat="1" ht="40.5" customHeight="1" thickTop="1" thickBot="1">
      <c r="A50" s="120" t="s">
        <v>140</v>
      </c>
      <c r="B50" s="120" t="str">
        <f t="shared" si="72"/>
        <v>Y</v>
      </c>
      <c r="C50" s="120"/>
      <c r="D50" s="120">
        <v>14</v>
      </c>
      <c r="E50" s="120"/>
      <c r="F50" s="122" t="str">
        <f t="shared" si="1"/>
        <v>LMR-RSC-2021-00014</v>
      </c>
      <c r="G50" s="123" t="s">
        <v>109</v>
      </c>
      <c r="H50" s="124" t="s">
        <v>156</v>
      </c>
      <c r="I50" s="239"/>
      <c r="J50" s="176">
        <f t="shared" si="73"/>
        <v>8343</v>
      </c>
      <c r="K50" s="177">
        <f t="shared" si="74"/>
        <v>44334</v>
      </c>
      <c r="L50" s="141">
        <v>44324</v>
      </c>
      <c r="M50" s="142">
        <v>44326</v>
      </c>
      <c r="N50" s="142">
        <v>44327</v>
      </c>
      <c r="O50" s="142"/>
      <c r="P50" s="150">
        <v>44334</v>
      </c>
      <c r="Q50" s="200" t="s">
        <v>15</v>
      </c>
      <c r="R50" s="199" t="s">
        <v>4</v>
      </c>
      <c r="S50" s="199"/>
      <c r="T50" s="199"/>
      <c r="U50" s="199"/>
      <c r="V50" s="199"/>
      <c r="W50" s="199"/>
      <c r="X50" s="143" t="s">
        <v>439</v>
      </c>
      <c r="Y50" s="173">
        <f t="shared" ref="Y50" si="88">IFERROR(AF50+AG50,"")</f>
        <v>8343</v>
      </c>
      <c r="Z50" s="178">
        <f t="shared" ref="Z50" si="89">IFERROR((AK50*AH50)*7.5,"")</f>
        <v>0</v>
      </c>
      <c r="AA50" s="179">
        <f t="shared" ref="AA50" si="90">IFERROR((AL50*AH50)*7.5,"")</f>
        <v>5562</v>
      </c>
      <c r="AB50" s="179">
        <f t="shared" ref="AB50" si="91">IFERROR((AM50*AH50)*7.5,"")</f>
        <v>1390.5</v>
      </c>
      <c r="AC50" s="179">
        <f t="shared" ref="AC50" si="92">IFERROR((AN50*AH50)*7.5,"")</f>
        <v>1390.5</v>
      </c>
      <c r="AD50" s="179"/>
      <c r="AE50" s="179">
        <f t="shared" ref="AE50" si="93">IFERROR((AO50*AH50)*7.5,"")</f>
        <v>0</v>
      </c>
      <c r="AF50" s="190">
        <f t="shared" ref="AF50" si="94">IFERROR(SUM(Z50:AE50),"")</f>
        <v>8343</v>
      </c>
      <c r="AG50" s="94">
        <f t="shared" ref="AG50" si="95">IFERROR((AQ50*AH50)*7.5,"")</f>
        <v>0</v>
      </c>
      <c r="AH50" s="180">
        <f>IFERROR(VLOOKUP(A50,CUSTOMERS!$A:$E,4),"")</f>
        <v>185.4</v>
      </c>
      <c r="AI50" s="181" t="str">
        <f t="shared" ref="AI50" si="96">AV50</f>
        <v/>
      </c>
      <c r="AJ50" s="182">
        <f>IFERROR(VLOOKUP(A50,CUSTOMERS!$A:$F,5),"")</f>
        <v>0.2</v>
      </c>
      <c r="AK50" s="183"/>
      <c r="AL50" s="183">
        <v>4</v>
      </c>
      <c r="AM50" s="183">
        <v>1</v>
      </c>
      <c r="AN50" s="183">
        <v>1</v>
      </c>
      <c r="AO50" s="183">
        <v>0</v>
      </c>
      <c r="AP50" s="102">
        <f t="shared" ref="AP50" si="97">SUM(AK50:AO50)</f>
        <v>6</v>
      </c>
      <c r="AQ50" s="102">
        <v>0</v>
      </c>
      <c r="AR50" s="68" t="str">
        <f>IFERROR(VLOOKUP(A50,CUSTOMERS!$A:$B,2),"")</f>
        <v>LMR</v>
      </c>
      <c r="AS50" s="68" t="str">
        <f>IFERROR(VLOOKUP(A50,CUSTOMERS!$A:$D,3),"")</f>
        <v>RSC</v>
      </c>
      <c r="AT50" s="68" t="str">
        <f>IFERROR(VLOOKUP(A50,CUSTOMERS!$A:$F,6),"")</f>
        <v>Y</v>
      </c>
      <c r="AU50" s="69">
        <f>IFERROR(VLOOKUP(A50,CUSTOMERS!$A:$E,4),"")</f>
        <v>185.4</v>
      </c>
      <c r="AV50" s="68" t="str">
        <f t="shared" si="85"/>
        <v/>
      </c>
      <c r="AW50" s="70" t="str">
        <f t="shared" si="86"/>
        <v>descr50</v>
      </c>
      <c r="AX50" s="71" t="str">
        <f t="shared" si="87"/>
        <v>reason50</v>
      </c>
    </row>
    <row r="51" spans="1:50" s="73" customFormat="1" ht="40.5" customHeight="1" thickTop="1" thickBot="1">
      <c r="A51" s="120" t="s">
        <v>140</v>
      </c>
      <c r="B51" s="120" t="str">
        <f t="shared" ref="B51" si="98">AT51</f>
        <v>Y</v>
      </c>
      <c r="C51" s="120"/>
      <c r="D51" s="196">
        <v>13.1</v>
      </c>
      <c r="E51" s="196"/>
      <c r="F51" s="122" t="str">
        <f t="shared" si="1"/>
        <v>LMR-RSC-2021-013.1</v>
      </c>
      <c r="G51" s="123" t="s">
        <v>109</v>
      </c>
      <c r="H51" s="124" t="s">
        <v>157</v>
      </c>
      <c r="I51" s="239"/>
      <c r="J51" s="176">
        <f t="shared" ref="J51" si="99">Y51</f>
        <v>0</v>
      </c>
      <c r="K51" s="177">
        <f t="shared" si="74"/>
        <v>44323</v>
      </c>
      <c r="L51" s="141">
        <v>44306</v>
      </c>
      <c r="M51" s="142"/>
      <c r="N51" s="142"/>
      <c r="O51" s="142">
        <v>44323</v>
      </c>
      <c r="P51" s="142">
        <v>44323</v>
      </c>
      <c r="Q51" s="199" t="s">
        <v>6</v>
      </c>
      <c r="R51" s="199" t="s">
        <v>4</v>
      </c>
      <c r="S51" s="199"/>
      <c r="T51" s="199"/>
      <c r="U51" s="199"/>
      <c r="V51" s="199"/>
      <c r="W51" s="199"/>
      <c r="X51" s="143" t="s">
        <v>437</v>
      </c>
      <c r="Y51" s="173">
        <f t="shared" ref="Y51" si="100">IFERROR(AF51+AG51,"")</f>
        <v>0</v>
      </c>
      <c r="Z51" s="178">
        <f t="shared" ref="Z51" si="101">IFERROR((AK51*AH51)*7.5,"")</f>
        <v>0</v>
      </c>
      <c r="AA51" s="179">
        <f t="shared" ref="AA51" si="102">IFERROR((AL51*AH51)*7.5,"")</f>
        <v>0</v>
      </c>
      <c r="AB51" s="179">
        <f t="shared" ref="AB51" si="103">IFERROR((AM51*AH51)*7.5,"")</f>
        <v>0</v>
      </c>
      <c r="AC51" s="179">
        <f t="shared" ref="AC51" si="104">IFERROR((AN51*AH51)*7.5,"")</f>
        <v>0</v>
      </c>
      <c r="AD51" s="179"/>
      <c r="AE51" s="179">
        <f t="shared" ref="AE51" si="105">IFERROR((AO51*AH51)*7.5,"")</f>
        <v>0</v>
      </c>
      <c r="AF51" s="190">
        <f t="shared" ref="AF51" si="106">IFERROR(SUM(Z51:AE51),"")</f>
        <v>0</v>
      </c>
      <c r="AG51" s="94">
        <f t="shared" ref="AG51" si="107">IFERROR((AQ51*AH51)*7.5,"")</f>
        <v>0</v>
      </c>
      <c r="AH51" s="180">
        <f>IFERROR(VLOOKUP(A51,CUSTOMERS!$A:$E,4),"")</f>
        <v>185.4</v>
      </c>
      <c r="AI51" s="181" t="str">
        <f t="shared" ref="AI51" si="108">AV51</f>
        <v/>
      </c>
      <c r="AJ51" s="182">
        <f>IFERROR(VLOOKUP(A51,CUSTOMERS!$A:$F,5),"")</f>
        <v>0.2</v>
      </c>
      <c r="AK51" s="183">
        <v>0</v>
      </c>
      <c r="AL51" s="183">
        <v>0</v>
      </c>
      <c r="AM51" s="183">
        <v>0</v>
      </c>
      <c r="AN51" s="183">
        <v>0</v>
      </c>
      <c r="AO51" s="183">
        <v>0</v>
      </c>
      <c r="AP51" s="102">
        <f t="shared" ref="AP51" si="109">SUM(AK51:AO51)</f>
        <v>0</v>
      </c>
      <c r="AQ51" s="102">
        <v>0</v>
      </c>
      <c r="AR51" s="68" t="str">
        <f>IFERROR(VLOOKUP(A51,CUSTOMERS!$A:$B,2),"")</f>
        <v>LMR</v>
      </c>
      <c r="AS51" s="68" t="str">
        <f>IFERROR(VLOOKUP(A51,CUSTOMERS!$A:$D,3),"")</f>
        <v>RSC</v>
      </c>
      <c r="AT51" s="68" t="str">
        <f>IFERROR(VLOOKUP(A51,CUSTOMERS!$A:$F,6),"")</f>
        <v>Y</v>
      </c>
      <c r="AU51" s="69">
        <f>IFERROR(VLOOKUP(A51,CUSTOMERS!$A:$E,4),"")</f>
        <v>185.4</v>
      </c>
      <c r="AV51" s="68" t="str">
        <f t="shared" si="85"/>
        <v/>
      </c>
      <c r="AW51" s="70" t="str">
        <f t="shared" si="86"/>
        <v>descr51</v>
      </c>
      <c r="AX51" s="71" t="str">
        <f t="shared" si="87"/>
        <v>reason51</v>
      </c>
    </row>
    <row r="52" spans="1:50" s="73" customFormat="1" ht="40.5" customHeight="1" thickTop="1" thickBot="1">
      <c r="A52" s="120" t="s">
        <v>158</v>
      </c>
      <c r="B52" s="120" t="str">
        <f t="shared" si="22"/>
        <v>Y</v>
      </c>
      <c r="C52" s="120"/>
      <c r="D52" s="121">
        <v>3</v>
      </c>
      <c r="E52" s="121"/>
      <c r="F52" s="122" t="str">
        <f t="shared" si="1"/>
        <v>N26-RSC-2020-00003</v>
      </c>
      <c r="G52" s="123" t="s">
        <v>103</v>
      </c>
      <c r="H52" s="124" t="s">
        <v>159</v>
      </c>
      <c r="I52" s="239"/>
      <c r="J52" s="81">
        <f t="shared" si="2"/>
        <v>14696.415000000001</v>
      </c>
      <c r="K52" s="177">
        <f t="shared" si="74"/>
        <v>44104</v>
      </c>
      <c r="L52" s="141">
        <v>44055</v>
      </c>
      <c r="M52" s="142">
        <v>44103</v>
      </c>
      <c r="N52" s="142">
        <v>44104</v>
      </c>
      <c r="O52" s="142">
        <v>44104</v>
      </c>
      <c r="P52" s="142">
        <v>44104</v>
      </c>
      <c r="Q52" s="199" t="s">
        <v>15</v>
      </c>
      <c r="R52" s="199" t="s">
        <v>4</v>
      </c>
      <c r="S52" s="199"/>
      <c r="T52" s="199"/>
      <c r="U52" s="199"/>
      <c r="V52" s="199"/>
      <c r="W52" s="199"/>
      <c r="X52" s="145" t="s">
        <v>440</v>
      </c>
      <c r="Y52" s="173">
        <f t="shared" si="61"/>
        <v>14696.415000000001</v>
      </c>
      <c r="Z52" s="83">
        <f t="shared" si="5"/>
        <v>0</v>
      </c>
      <c r="AA52" s="84">
        <f t="shared" si="59"/>
        <v>9005.15625</v>
      </c>
      <c r="AB52" s="84">
        <f t="shared" si="60"/>
        <v>720.41250000000002</v>
      </c>
      <c r="AC52" s="84">
        <f t="shared" si="8"/>
        <v>0</v>
      </c>
      <c r="AD52" s="84"/>
      <c r="AE52" s="84">
        <f t="shared" si="20"/>
        <v>2521.4437499999999</v>
      </c>
      <c r="AF52" s="84">
        <f t="shared" si="63"/>
        <v>12247.012500000001</v>
      </c>
      <c r="AG52" s="94">
        <f t="shared" si="21"/>
        <v>2449.4025000000001</v>
      </c>
      <c r="AH52" s="85">
        <f>IFERROR(VLOOKUP(A52,CUSTOMERS!$A:$E,4),"")</f>
        <v>192.11</v>
      </c>
      <c r="AI52" s="86" t="str">
        <f t="shared" si="62"/>
        <v/>
      </c>
      <c r="AJ52" s="87">
        <f>IFERROR(VLOOKUP(A52,CUSTOMERS!$A:$F,5),"")</f>
        <v>0.2</v>
      </c>
      <c r="AK52" s="96"/>
      <c r="AL52" s="96">
        <v>6.25</v>
      </c>
      <c r="AM52" s="96">
        <v>0.5</v>
      </c>
      <c r="AN52" s="96"/>
      <c r="AO52" s="96">
        <v>1.75</v>
      </c>
      <c r="AP52" s="102">
        <f t="shared" si="13"/>
        <v>8.5</v>
      </c>
      <c r="AQ52" s="102">
        <f t="shared" ref="AQ52:AQ116" si="110">IFERROR(AP52*AJ52,"")</f>
        <v>1.7000000000000002</v>
      </c>
      <c r="AR52" s="68" t="str">
        <f>IFERROR(VLOOKUP(A52,CUSTOMERS!$A:$B,2),"")</f>
        <v>N26</v>
      </c>
      <c r="AS52" s="68" t="str">
        <f>IFERROR(VLOOKUP(A52,CUSTOMERS!$A:$D,3),"")</f>
        <v>RSC</v>
      </c>
      <c r="AT52" s="68" t="str">
        <f>IFERROR(VLOOKUP(A52,CUSTOMERS!$A:$F,6),"")</f>
        <v>Y</v>
      </c>
      <c r="AU52" s="69">
        <f>IFERROR(VLOOKUP(A52,CUSTOMERS!$A:$E,4),"")</f>
        <v>192.11</v>
      </c>
      <c r="AV52" s="68" t="str">
        <f t="shared" si="85"/>
        <v/>
      </c>
      <c r="AW52" s="70" t="str">
        <f t="shared" si="16"/>
        <v>descr52</v>
      </c>
      <c r="AX52" s="71" t="str">
        <f t="shared" si="17"/>
        <v>reason52</v>
      </c>
    </row>
    <row r="53" spans="1:50" s="73" customFormat="1" ht="40.5" customHeight="1" thickTop="1" thickBot="1">
      <c r="A53" s="120" t="s">
        <v>158</v>
      </c>
      <c r="B53" s="120" t="str">
        <f t="shared" si="22"/>
        <v>Y</v>
      </c>
      <c r="C53" s="120"/>
      <c r="D53" s="121">
        <v>4</v>
      </c>
      <c r="E53" s="121"/>
      <c r="F53" s="122" t="str">
        <f t="shared" si="1"/>
        <v>N26-RSC-2020-00004</v>
      </c>
      <c r="G53" s="123" t="s">
        <v>103</v>
      </c>
      <c r="H53" s="124" t="s">
        <v>160</v>
      </c>
      <c r="I53" s="239"/>
      <c r="J53" s="80">
        <f t="shared" si="2"/>
        <v>15000</v>
      </c>
      <c r="K53" s="177">
        <f t="shared" si="74"/>
        <v>44162</v>
      </c>
      <c r="L53" s="141">
        <v>44162</v>
      </c>
      <c r="M53" s="142">
        <v>44162</v>
      </c>
      <c r="N53" s="142"/>
      <c r="O53" s="142"/>
      <c r="P53" s="142"/>
      <c r="Q53" s="199" t="s">
        <v>15</v>
      </c>
      <c r="R53" s="199" t="s">
        <v>4</v>
      </c>
      <c r="S53" s="199"/>
      <c r="T53" s="199"/>
      <c r="U53" s="199"/>
      <c r="V53" s="199"/>
      <c r="W53" s="199"/>
      <c r="X53" s="144" t="s">
        <v>441</v>
      </c>
      <c r="Y53" s="173">
        <f t="shared" si="61"/>
        <v>15000</v>
      </c>
      <c r="Z53" s="83">
        <f t="shared" si="5"/>
        <v>0</v>
      </c>
      <c r="AA53" s="84">
        <v>15000</v>
      </c>
      <c r="AB53" s="84">
        <f t="shared" si="60"/>
        <v>0</v>
      </c>
      <c r="AC53" s="84">
        <f t="shared" si="8"/>
        <v>0</v>
      </c>
      <c r="AD53" s="84"/>
      <c r="AE53" s="84">
        <f t="shared" si="20"/>
        <v>0</v>
      </c>
      <c r="AF53" s="84">
        <f t="shared" si="63"/>
        <v>15000</v>
      </c>
      <c r="AG53" s="94">
        <f t="shared" si="21"/>
        <v>0</v>
      </c>
      <c r="AH53" s="85">
        <f>IFERROR(VLOOKUP(A53,CUSTOMERS!$A:$E,4),"")</f>
        <v>192.11</v>
      </c>
      <c r="AI53" s="86" t="str">
        <f t="shared" si="62"/>
        <v/>
      </c>
      <c r="AJ53" s="87">
        <f>IFERROR(VLOOKUP(A53,CUSTOMERS!$A:$F,5),"")</f>
        <v>0.2</v>
      </c>
      <c r="AK53" s="96"/>
      <c r="AL53" s="96">
        <v>0</v>
      </c>
      <c r="AM53" s="96">
        <v>0</v>
      </c>
      <c r="AN53" s="96"/>
      <c r="AO53" s="96">
        <v>0</v>
      </c>
      <c r="AP53" s="103">
        <f t="shared" si="13"/>
        <v>0</v>
      </c>
      <c r="AQ53" s="103">
        <f t="shared" si="110"/>
        <v>0</v>
      </c>
      <c r="AR53" s="68" t="str">
        <f>IFERROR(VLOOKUP(A53,CUSTOMERS!$A:$B,2),"")</f>
        <v>N26</v>
      </c>
      <c r="AS53" s="68" t="str">
        <f>IFERROR(VLOOKUP(A53,CUSTOMERS!$A:$D,3),"")</f>
        <v>RSC</v>
      </c>
      <c r="AT53" s="68" t="str">
        <f>IFERROR(VLOOKUP(A53,CUSTOMERS!$A:$F,6),"")</f>
        <v>Y</v>
      </c>
      <c r="AU53" s="69">
        <f>IFERROR(VLOOKUP(A53,CUSTOMERS!$A:$E,4),"")</f>
        <v>192.11</v>
      </c>
      <c r="AV53" s="68" t="str">
        <f t="shared" si="85"/>
        <v/>
      </c>
      <c r="AW53" s="70" t="str">
        <f t="shared" si="16"/>
        <v>descr53</v>
      </c>
      <c r="AX53" s="71" t="str">
        <f t="shared" si="17"/>
        <v>reason53</v>
      </c>
    </row>
    <row r="54" spans="1:50" s="73" customFormat="1" ht="40.5" customHeight="1" thickTop="1" thickBot="1">
      <c r="A54" s="120" t="s">
        <v>158</v>
      </c>
      <c r="B54" s="125" t="str">
        <f t="shared" si="22"/>
        <v>Y</v>
      </c>
      <c r="C54" s="125"/>
      <c r="D54" s="125">
        <v>5</v>
      </c>
      <c r="E54" s="125"/>
      <c r="F54" s="122" t="str">
        <f t="shared" si="1"/>
        <v>N26-RSC-2021-00005</v>
      </c>
      <c r="G54" s="123" t="s">
        <v>103</v>
      </c>
      <c r="H54" s="124" t="s">
        <v>161</v>
      </c>
      <c r="I54" s="239"/>
      <c r="J54" s="80">
        <f t="shared" si="2"/>
        <v>2515.4550000000004</v>
      </c>
      <c r="K54" s="177">
        <f t="shared" si="74"/>
        <v>44263</v>
      </c>
      <c r="L54" s="146">
        <v>44251</v>
      </c>
      <c r="M54" s="147">
        <v>44263</v>
      </c>
      <c r="N54" s="147"/>
      <c r="O54" s="147"/>
      <c r="P54" s="147"/>
      <c r="Q54" s="199" t="s">
        <v>15</v>
      </c>
      <c r="R54" s="199" t="s">
        <v>4</v>
      </c>
      <c r="S54" s="199"/>
      <c r="T54" s="199"/>
      <c r="U54" s="199"/>
      <c r="V54" s="199"/>
      <c r="W54" s="199"/>
      <c r="X54" s="144" t="s">
        <v>442</v>
      </c>
      <c r="Y54" s="173">
        <f t="shared" si="61"/>
        <v>2515.4550000000004</v>
      </c>
      <c r="Z54" s="83">
        <f t="shared" si="5"/>
        <v>0</v>
      </c>
      <c r="AA54" s="84">
        <f t="shared" ref="AA54:AA85" si="111">IFERROR((AL54*AH54)*7.5,"")</f>
        <v>1397.4750000000001</v>
      </c>
      <c r="AB54" s="84">
        <f t="shared" si="60"/>
        <v>698.73750000000007</v>
      </c>
      <c r="AC54" s="84">
        <f t="shared" si="8"/>
        <v>0</v>
      </c>
      <c r="AD54" s="84"/>
      <c r="AE54" s="84">
        <f t="shared" si="20"/>
        <v>0</v>
      </c>
      <c r="AF54" s="179">
        <f t="shared" si="63"/>
        <v>2096.2125000000001</v>
      </c>
      <c r="AG54" s="179">
        <f t="shared" si="21"/>
        <v>419.24250000000012</v>
      </c>
      <c r="AH54" s="85">
        <v>186.33</v>
      </c>
      <c r="AI54" s="86"/>
      <c r="AJ54" s="87">
        <v>0.2</v>
      </c>
      <c r="AK54" s="96"/>
      <c r="AL54" s="96">
        <v>1</v>
      </c>
      <c r="AM54" s="96">
        <v>0.5</v>
      </c>
      <c r="AN54" s="96"/>
      <c r="AO54" s="96">
        <v>0</v>
      </c>
      <c r="AP54" s="103">
        <f t="shared" si="13"/>
        <v>1.5</v>
      </c>
      <c r="AQ54" s="103">
        <f t="shared" si="110"/>
        <v>0.30000000000000004</v>
      </c>
      <c r="AR54" s="68" t="str">
        <f>IFERROR(VLOOKUP(A54,CUSTOMERS!$A:$B,2),"")</f>
        <v>N26</v>
      </c>
      <c r="AS54" s="68" t="str">
        <f>IFERROR(VLOOKUP(A54,CUSTOMERS!$A:$D,3),"")</f>
        <v>RSC</v>
      </c>
      <c r="AT54" s="68" t="str">
        <f>IFERROR(VLOOKUP(A54,CUSTOMERS!$A:$F,6),"")</f>
        <v>Y</v>
      </c>
      <c r="AU54" s="69">
        <f>IFERROR(VLOOKUP(A54,CUSTOMERS!$A:$E,4),"")</f>
        <v>192.11</v>
      </c>
      <c r="AV54" s="68" t="str">
        <f t="shared" si="85"/>
        <v>Y</v>
      </c>
      <c r="AW54" s="70" t="str">
        <f t="shared" si="16"/>
        <v>descr54</v>
      </c>
      <c r="AX54" s="71" t="str">
        <f t="shared" si="17"/>
        <v>reason54</v>
      </c>
    </row>
    <row r="55" spans="1:50" s="73" customFormat="1" ht="40.5" customHeight="1" thickTop="1" thickBot="1">
      <c r="A55" s="120" t="s">
        <v>27</v>
      </c>
      <c r="B55" s="120" t="str">
        <f t="shared" si="22"/>
        <v>N</v>
      </c>
      <c r="C55" s="120"/>
      <c r="D55" s="121">
        <v>14</v>
      </c>
      <c r="E55" s="121"/>
      <c r="F55" s="122" t="str">
        <f t="shared" si="1"/>
        <v>PRD-BLG-2020-00014</v>
      </c>
      <c r="G55" s="123" t="s">
        <v>200</v>
      </c>
      <c r="H55" s="124" t="s">
        <v>443</v>
      </c>
      <c r="I55" s="239"/>
      <c r="J55" s="80">
        <f t="shared" si="2"/>
        <v>0</v>
      </c>
      <c r="K55" s="177">
        <f t="shared" si="74"/>
        <v>44020</v>
      </c>
      <c r="L55" s="148">
        <v>44020</v>
      </c>
      <c r="M55" s="149"/>
      <c r="N55" s="150"/>
      <c r="O55" s="150"/>
      <c r="P55" s="150"/>
      <c r="Q55" s="200" t="s">
        <v>14</v>
      </c>
      <c r="R55" s="200" t="s">
        <v>4</v>
      </c>
      <c r="S55" s="200"/>
      <c r="T55" s="200"/>
      <c r="U55" s="200"/>
      <c r="V55" s="200"/>
      <c r="W55" s="200"/>
      <c r="X55" s="144" t="s">
        <v>444</v>
      </c>
      <c r="Y55" s="173">
        <f t="shared" si="61"/>
        <v>0</v>
      </c>
      <c r="Z55" s="83">
        <f t="shared" si="5"/>
        <v>0</v>
      </c>
      <c r="AA55" s="84">
        <f t="shared" si="111"/>
        <v>0</v>
      </c>
      <c r="AB55" s="84">
        <f t="shared" si="60"/>
        <v>0</v>
      </c>
      <c r="AC55" s="84">
        <f t="shared" si="8"/>
        <v>0</v>
      </c>
      <c r="AD55" s="84"/>
      <c r="AE55" s="84">
        <f t="shared" si="20"/>
        <v>0</v>
      </c>
      <c r="AF55" s="84">
        <f t="shared" si="63"/>
        <v>0</v>
      </c>
      <c r="AG55" s="94">
        <f t="shared" si="21"/>
        <v>0</v>
      </c>
      <c r="AH55" s="85">
        <f>IFERROR(VLOOKUP(A55,CUSTOMERS!$A:$E,4),"")</f>
        <v>-150</v>
      </c>
      <c r="AI55" s="86" t="str">
        <f t="shared" ref="AI55:AI119" si="112">AV55</f>
        <v/>
      </c>
      <c r="AJ55" s="87">
        <f>IFERROR(VLOOKUP(A55,CUSTOMERS!$A:$F,5),"")</f>
        <v>0</v>
      </c>
      <c r="AK55" s="96"/>
      <c r="AL55" s="96">
        <v>0</v>
      </c>
      <c r="AM55" s="96">
        <v>0</v>
      </c>
      <c r="AN55" s="96"/>
      <c r="AO55" s="96">
        <v>0</v>
      </c>
      <c r="AP55" s="102">
        <f t="shared" si="13"/>
        <v>0</v>
      </c>
      <c r="AQ55" s="102">
        <f t="shared" si="110"/>
        <v>0</v>
      </c>
      <c r="AR55" s="68" t="str">
        <f>IFERROR(VLOOKUP(A55,CUSTOMERS!$A:$B,2),"")</f>
        <v>PRD</v>
      </c>
      <c r="AS55" s="68" t="str">
        <f>IFERROR(VLOOKUP(A55,CUSTOMERS!$A:$D,3),"")</f>
        <v>BLG</v>
      </c>
      <c r="AT55" s="68" t="str">
        <f>IFERROR(VLOOKUP(A55,CUSTOMERS!$A:$F,6),"")</f>
        <v>N</v>
      </c>
      <c r="AU55" s="69">
        <f>IFERROR(VLOOKUP(A55,CUSTOMERS!$A:$E,4),"")</f>
        <v>-150</v>
      </c>
      <c r="AV55" s="68" t="str">
        <f t="shared" si="85"/>
        <v/>
      </c>
      <c r="AW55" s="70" t="str">
        <f t="shared" si="16"/>
        <v>descr55</v>
      </c>
      <c r="AX55" s="71" t="str">
        <f t="shared" si="17"/>
        <v>reason55</v>
      </c>
    </row>
    <row r="56" spans="1:50" s="73" customFormat="1" ht="40.5" customHeight="1" thickTop="1" thickBot="1">
      <c r="A56" s="120" t="s">
        <v>27</v>
      </c>
      <c r="B56" s="120" t="str">
        <f t="shared" si="22"/>
        <v>N</v>
      </c>
      <c r="C56" s="120"/>
      <c r="D56" s="121">
        <v>15</v>
      </c>
      <c r="E56" s="121"/>
      <c r="F56" s="122" t="str">
        <f t="shared" si="1"/>
        <v>PRD-BLG-2020-00015</v>
      </c>
      <c r="G56" s="123" t="s">
        <v>200</v>
      </c>
      <c r="H56" s="124" t="s">
        <v>445</v>
      </c>
      <c r="I56" s="239"/>
      <c r="J56" s="80">
        <f t="shared" si="2"/>
        <v>0</v>
      </c>
      <c r="K56" s="177">
        <f t="shared" si="74"/>
        <v>44020</v>
      </c>
      <c r="L56" s="148">
        <v>44020</v>
      </c>
      <c r="M56" s="149"/>
      <c r="N56" s="150"/>
      <c r="O56" s="150"/>
      <c r="P56" s="150"/>
      <c r="Q56" s="200" t="s">
        <v>14</v>
      </c>
      <c r="R56" s="200" t="s">
        <v>4</v>
      </c>
      <c r="S56" s="200"/>
      <c r="T56" s="200"/>
      <c r="U56" s="200"/>
      <c r="V56" s="200"/>
      <c r="W56" s="200"/>
      <c r="X56" s="144" t="s">
        <v>444</v>
      </c>
      <c r="Y56" s="173">
        <f t="shared" si="61"/>
        <v>0</v>
      </c>
      <c r="Z56" s="83">
        <f t="shared" si="5"/>
        <v>0</v>
      </c>
      <c r="AA56" s="84">
        <f t="shared" si="111"/>
        <v>0</v>
      </c>
      <c r="AB56" s="84">
        <f t="shared" si="60"/>
        <v>0</v>
      </c>
      <c r="AC56" s="84">
        <f t="shared" si="8"/>
        <v>0</v>
      </c>
      <c r="AD56" s="84"/>
      <c r="AE56" s="84">
        <f t="shared" si="20"/>
        <v>0</v>
      </c>
      <c r="AF56" s="84">
        <f t="shared" si="63"/>
        <v>0</v>
      </c>
      <c r="AG56" s="94">
        <f t="shared" si="21"/>
        <v>0</v>
      </c>
      <c r="AH56" s="85">
        <f>IFERROR(VLOOKUP(A56,CUSTOMERS!$A:$E,4),"")</f>
        <v>-150</v>
      </c>
      <c r="AI56" s="86" t="str">
        <f t="shared" si="112"/>
        <v/>
      </c>
      <c r="AJ56" s="87">
        <f>IFERROR(VLOOKUP(A56,CUSTOMERS!$A:$F,5),"")</f>
        <v>0</v>
      </c>
      <c r="AK56" s="96"/>
      <c r="AL56" s="96">
        <v>0</v>
      </c>
      <c r="AM56" s="96">
        <v>0</v>
      </c>
      <c r="AN56" s="96"/>
      <c r="AO56" s="96">
        <v>0</v>
      </c>
      <c r="AP56" s="102">
        <f t="shared" si="13"/>
        <v>0</v>
      </c>
      <c r="AQ56" s="102">
        <f t="shared" si="110"/>
        <v>0</v>
      </c>
      <c r="AR56" s="68" t="str">
        <f>IFERROR(VLOOKUP(A56,CUSTOMERS!$A:$B,2),"")</f>
        <v>PRD</v>
      </c>
      <c r="AS56" s="68" t="str">
        <f>IFERROR(VLOOKUP(A56,CUSTOMERS!$A:$D,3),"")</f>
        <v>BLG</v>
      </c>
      <c r="AT56" s="68" t="str">
        <f>IFERROR(VLOOKUP(A56,CUSTOMERS!$A:$F,6),"")</f>
        <v>N</v>
      </c>
      <c r="AU56" s="69">
        <f>IFERROR(VLOOKUP(A56,CUSTOMERS!$A:$E,4),"")</f>
        <v>-150</v>
      </c>
      <c r="AV56" s="68" t="str">
        <f t="shared" si="85"/>
        <v/>
      </c>
      <c r="AW56" s="70" t="str">
        <f t="shared" si="16"/>
        <v>descr56</v>
      </c>
      <c r="AX56" s="71" t="str">
        <f t="shared" si="17"/>
        <v>reason56</v>
      </c>
    </row>
    <row r="57" spans="1:50" s="73" customFormat="1" ht="40.5" customHeight="1" thickTop="1" thickBot="1">
      <c r="A57" s="120" t="s">
        <v>27</v>
      </c>
      <c r="B57" s="120" t="str">
        <f t="shared" si="22"/>
        <v>N</v>
      </c>
      <c r="C57" s="120"/>
      <c r="D57" s="121">
        <v>33245</v>
      </c>
      <c r="E57" s="121"/>
      <c r="F57" s="122" t="str">
        <f t="shared" si="1"/>
        <v>PRD-BLG-2020-33245</v>
      </c>
      <c r="G57" s="123" t="s">
        <v>339</v>
      </c>
      <c r="H57" s="124" t="s">
        <v>446</v>
      </c>
      <c r="I57" s="239"/>
      <c r="J57" s="80">
        <f t="shared" si="2"/>
        <v>0</v>
      </c>
      <c r="K57" s="177">
        <f t="shared" si="74"/>
        <v>44057</v>
      </c>
      <c r="L57" s="141">
        <v>44057</v>
      </c>
      <c r="M57" s="149"/>
      <c r="N57" s="150"/>
      <c r="O57" s="150"/>
      <c r="P57" s="150"/>
      <c r="Q57" s="200" t="s">
        <v>15</v>
      </c>
      <c r="R57" s="200" t="s">
        <v>25</v>
      </c>
      <c r="S57" s="200"/>
      <c r="T57" s="200"/>
      <c r="U57" s="200"/>
      <c r="V57" s="200"/>
      <c r="W57" s="200"/>
      <c r="X57" s="144"/>
      <c r="Y57" s="173">
        <f t="shared" si="61"/>
        <v>0</v>
      </c>
      <c r="Z57" s="83">
        <f t="shared" si="5"/>
        <v>0</v>
      </c>
      <c r="AA57" s="84">
        <f t="shared" si="111"/>
        <v>0</v>
      </c>
      <c r="AB57" s="84">
        <f t="shared" si="60"/>
        <v>0</v>
      </c>
      <c r="AC57" s="84">
        <f t="shared" si="8"/>
        <v>0</v>
      </c>
      <c r="AD57" s="84"/>
      <c r="AE57" s="84">
        <f t="shared" si="20"/>
        <v>0</v>
      </c>
      <c r="AF57" s="84">
        <f t="shared" si="63"/>
        <v>0</v>
      </c>
      <c r="AG57" s="94">
        <f t="shared" si="21"/>
        <v>0</v>
      </c>
      <c r="AH57" s="85">
        <f>IFERROR(VLOOKUP(A57,CUSTOMERS!$A:$E,4),"")</f>
        <v>-150</v>
      </c>
      <c r="AI57" s="86" t="str">
        <f t="shared" si="112"/>
        <v/>
      </c>
      <c r="AJ57" s="87">
        <f>IFERROR(VLOOKUP(A57,CUSTOMERS!$A:$F,5),"")</f>
        <v>0</v>
      </c>
      <c r="AK57" s="96"/>
      <c r="AL57" s="96">
        <v>0</v>
      </c>
      <c r="AM57" s="96">
        <v>0</v>
      </c>
      <c r="AN57" s="96"/>
      <c r="AO57" s="96">
        <v>0</v>
      </c>
      <c r="AP57" s="102">
        <f t="shared" si="13"/>
        <v>0</v>
      </c>
      <c r="AQ57" s="102">
        <f t="shared" si="110"/>
        <v>0</v>
      </c>
      <c r="AR57" s="68" t="str">
        <f>IFERROR(VLOOKUP(A57,CUSTOMERS!$A:$B,2),"")</f>
        <v>PRD</v>
      </c>
      <c r="AS57" s="68" t="str">
        <f>IFERROR(VLOOKUP(A57,CUSTOMERS!$A:$D,3),"")</f>
        <v>BLG</v>
      </c>
      <c r="AT57" s="68" t="str">
        <f>IFERROR(VLOOKUP(A57,CUSTOMERS!$A:$F,6),"")</f>
        <v>N</v>
      </c>
      <c r="AU57" s="69">
        <f>IFERROR(VLOOKUP(A57,CUSTOMERS!$A:$E,4),"")</f>
        <v>-150</v>
      </c>
      <c r="AV57" s="68" t="str">
        <f t="shared" si="85"/>
        <v/>
      </c>
      <c r="AW57" s="70" t="str">
        <f t="shared" si="16"/>
        <v>descr57</v>
      </c>
      <c r="AX57" s="71" t="str">
        <f t="shared" si="17"/>
        <v>reason57</v>
      </c>
    </row>
    <row r="58" spans="1:50" s="73" customFormat="1" ht="40.5" customHeight="1" thickTop="1" thickBot="1">
      <c r="A58" s="120" t="s">
        <v>27</v>
      </c>
      <c r="B58" s="120" t="str">
        <f t="shared" si="22"/>
        <v>N</v>
      </c>
      <c r="C58" s="120"/>
      <c r="D58" s="121">
        <v>33252</v>
      </c>
      <c r="E58" s="121"/>
      <c r="F58" s="122" t="str">
        <f t="shared" si="1"/>
        <v>PRD-BLG-2020-33252</v>
      </c>
      <c r="G58" s="123" t="s">
        <v>339</v>
      </c>
      <c r="H58" s="124" t="s">
        <v>447</v>
      </c>
      <c r="I58" s="239"/>
      <c r="J58" s="80">
        <f t="shared" si="2"/>
        <v>0</v>
      </c>
      <c r="K58" s="177">
        <f t="shared" si="74"/>
        <v>44061</v>
      </c>
      <c r="L58" s="141">
        <v>44061</v>
      </c>
      <c r="M58" s="142"/>
      <c r="N58" s="142"/>
      <c r="O58" s="142"/>
      <c r="P58" s="142"/>
      <c r="Q58" s="199" t="s">
        <v>15</v>
      </c>
      <c r="R58" s="199" t="s">
        <v>25</v>
      </c>
      <c r="S58" s="199"/>
      <c r="T58" s="199"/>
      <c r="U58" s="199"/>
      <c r="V58" s="199"/>
      <c r="W58" s="199"/>
      <c r="X58" s="144"/>
      <c r="Y58" s="173">
        <f t="shared" si="61"/>
        <v>0</v>
      </c>
      <c r="Z58" s="83">
        <f t="shared" si="5"/>
        <v>0</v>
      </c>
      <c r="AA58" s="84">
        <f t="shared" si="111"/>
        <v>0</v>
      </c>
      <c r="AB58" s="84">
        <f t="shared" si="60"/>
        <v>0</v>
      </c>
      <c r="AC58" s="84">
        <f t="shared" si="8"/>
        <v>0</v>
      </c>
      <c r="AD58" s="84"/>
      <c r="AE58" s="84">
        <f t="shared" si="20"/>
        <v>0</v>
      </c>
      <c r="AF58" s="84">
        <f t="shared" si="63"/>
        <v>0</v>
      </c>
      <c r="AG58" s="94">
        <f t="shared" si="21"/>
        <v>0</v>
      </c>
      <c r="AH58" s="85">
        <f>IFERROR(VLOOKUP(A58,CUSTOMERS!$A:$E,4),"")</f>
        <v>-150</v>
      </c>
      <c r="AI58" s="86" t="str">
        <f t="shared" si="112"/>
        <v/>
      </c>
      <c r="AJ58" s="87">
        <f>IFERROR(VLOOKUP(A58,CUSTOMERS!$A:$F,5),"")</f>
        <v>0</v>
      </c>
      <c r="AK58" s="96"/>
      <c r="AL58" s="96">
        <v>0</v>
      </c>
      <c r="AM58" s="96">
        <v>0</v>
      </c>
      <c r="AN58" s="96"/>
      <c r="AO58" s="96">
        <v>0</v>
      </c>
      <c r="AP58" s="102">
        <f t="shared" si="13"/>
        <v>0</v>
      </c>
      <c r="AQ58" s="102">
        <f t="shared" si="110"/>
        <v>0</v>
      </c>
      <c r="AR58" s="68" t="str">
        <f>IFERROR(VLOOKUP(A58,CUSTOMERS!$A:$B,2),"")</f>
        <v>PRD</v>
      </c>
      <c r="AS58" s="68" t="str">
        <f>IFERROR(VLOOKUP(A58,CUSTOMERS!$A:$D,3),"")</f>
        <v>BLG</v>
      </c>
      <c r="AT58" s="68" t="str">
        <f>IFERROR(VLOOKUP(A58,CUSTOMERS!$A:$F,6),"")</f>
        <v>N</v>
      </c>
      <c r="AU58" s="69">
        <f>IFERROR(VLOOKUP(A58,CUSTOMERS!$A:$E,4),"")</f>
        <v>-150</v>
      </c>
      <c r="AV58" s="68" t="str">
        <f t="shared" si="85"/>
        <v/>
      </c>
      <c r="AW58" s="70" t="str">
        <f t="shared" si="16"/>
        <v>descr58</v>
      </c>
      <c r="AX58" s="71" t="str">
        <f t="shared" si="17"/>
        <v>reason58</v>
      </c>
    </row>
    <row r="59" spans="1:50" s="73" customFormat="1" ht="40.5" customHeight="1" thickTop="1" thickBot="1">
      <c r="A59" s="120" t="s">
        <v>27</v>
      </c>
      <c r="B59" s="120" t="str">
        <f t="shared" si="22"/>
        <v>N</v>
      </c>
      <c r="C59" s="120"/>
      <c r="D59" s="121">
        <v>3</v>
      </c>
      <c r="E59" s="121"/>
      <c r="F59" s="122" t="str">
        <f t="shared" si="1"/>
        <v>PRD-BLG-2020-00003</v>
      </c>
      <c r="G59" s="123" t="s">
        <v>100</v>
      </c>
      <c r="H59" s="124" t="s">
        <v>448</v>
      </c>
      <c r="I59" s="239"/>
      <c r="J59" s="80">
        <f t="shared" si="2"/>
        <v>0</v>
      </c>
      <c r="K59" s="177">
        <f t="shared" si="74"/>
        <v>43952</v>
      </c>
      <c r="L59" s="148">
        <v>43952</v>
      </c>
      <c r="M59" s="149"/>
      <c r="N59" s="150"/>
      <c r="O59" s="150"/>
      <c r="P59" s="150"/>
      <c r="Q59" s="200" t="s">
        <v>15</v>
      </c>
      <c r="R59" s="200" t="s">
        <v>25</v>
      </c>
      <c r="S59" s="200"/>
      <c r="T59" s="200"/>
      <c r="U59" s="200"/>
      <c r="V59" s="200"/>
      <c r="W59" s="200"/>
      <c r="X59" s="144" t="s">
        <v>449</v>
      </c>
      <c r="Y59" s="173">
        <f t="shared" si="61"/>
        <v>0</v>
      </c>
      <c r="Z59" s="83">
        <f t="shared" si="5"/>
        <v>0</v>
      </c>
      <c r="AA59" s="84">
        <f t="shared" si="111"/>
        <v>0</v>
      </c>
      <c r="AB59" s="84">
        <f t="shared" si="60"/>
        <v>0</v>
      </c>
      <c r="AC59" s="84">
        <f t="shared" si="8"/>
        <v>0</v>
      </c>
      <c r="AD59" s="84"/>
      <c r="AE59" s="84">
        <f t="shared" si="20"/>
        <v>0</v>
      </c>
      <c r="AF59" s="84">
        <f t="shared" si="63"/>
        <v>0</v>
      </c>
      <c r="AG59" s="94">
        <f t="shared" si="21"/>
        <v>0</v>
      </c>
      <c r="AH59" s="85">
        <f>IFERROR(VLOOKUP(A59,CUSTOMERS!$A:$E,4),"")</f>
        <v>-150</v>
      </c>
      <c r="AI59" s="86" t="str">
        <f t="shared" si="112"/>
        <v/>
      </c>
      <c r="AJ59" s="87">
        <f>IFERROR(VLOOKUP(A59,CUSTOMERS!$A:$F,5),"")</f>
        <v>0</v>
      </c>
      <c r="AK59" s="96"/>
      <c r="AL59" s="96">
        <v>0</v>
      </c>
      <c r="AM59" s="96">
        <v>0</v>
      </c>
      <c r="AN59" s="96"/>
      <c r="AO59" s="96">
        <v>0</v>
      </c>
      <c r="AP59" s="102">
        <f t="shared" si="13"/>
        <v>0</v>
      </c>
      <c r="AQ59" s="102">
        <f t="shared" si="110"/>
        <v>0</v>
      </c>
      <c r="AR59" s="68" t="str">
        <f>IFERROR(VLOOKUP(A59,CUSTOMERS!$A:$B,2),"")</f>
        <v>PRD</v>
      </c>
      <c r="AS59" s="68" t="str">
        <f>IFERROR(VLOOKUP(A59,CUSTOMERS!$A:$D,3),"")</f>
        <v>BLG</v>
      </c>
      <c r="AT59" s="68" t="str">
        <f>IFERROR(VLOOKUP(A59,CUSTOMERS!$A:$F,6),"")</f>
        <v>N</v>
      </c>
      <c r="AU59" s="69">
        <f>IFERROR(VLOOKUP(A59,CUSTOMERS!$A:$E,4),"")</f>
        <v>-150</v>
      </c>
      <c r="AV59" s="68" t="str">
        <f t="shared" si="85"/>
        <v/>
      </c>
      <c r="AW59" s="70" t="str">
        <f t="shared" si="16"/>
        <v>descr59</v>
      </c>
      <c r="AX59" s="71" t="str">
        <f t="shared" si="17"/>
        <v>reason59</v>
      </c>
    </row>
    <row r="60" spans="1:50" s="73" customFormat="1" ht="50.25" customHeight="1" thickTop="1" thickBot="1">
      <c r="A60" s="120" t="s">
        <v>27</v>
      </c>
      <c r="B60" s="120" t="str">
        <f t="shared" si="22"/>
        <v>N</v>
      </c>
      <c r="C60" s="120"/>
      <c r="D60" s="121">
        <v>11</v>
      </c>
      <c r="E60" s="121"/>
      <c r="F60" s="122" t="str">
        <f t="shared" si="1"/>
        <v>PRD-BLG-2020-00011</v>
      </c>
      <c r="G60" s="123" t="s">
        <v>339</v>
      </c>
      <c r="H60" s="124" t="s">
        <v>30</v>
      </c>
      <c r="I60" s="239"/>
      <c r="J60" s="80">
        <f t="shared" si="2"/>
        <v>0</v>
      </c>
      <c r="K60" s="177">
        <f t="shared" si="74"/>
        <v>44012</v>
      </c>
      <c r="L60" s="148">
        <v>44012</v>
      </c>
      <c r="M60" s="149"/>
      <c r="N60" s="150"/>
      <c r="O60" s="150"/>
      <c r="P60" s="150"/>
      <c r="Q60" s="200" t="s">
        <v>18</v>
      </c>
      <c r="R60" s="200" t="s">
        <v>31</v>
      </c>
      <c r="S60" s="200" t="s">
        <v>311</v>
      </c>
      <c r="T60" s="200" t="s">
        <v>450</v>
      </c>
      <c r="U60" s="200" t="s">
        <v>451</v>
      </c>
      <c r="V60" s="200">
        <v>44356</v>
      </c>
      <c r="W60" s="200" t="s">
        <v>452</v>
      </c>
      <c r="X60" s="144" t="s">
        <v>453</v>
      </c>
      <c r="Y60" s="173">
        <f t="shared" si="61"/>
        <v>0</v>
      </c>
      <c r="Z60" s="83">
        <f t="shared" si="5"/>
        <v>0</v>
      </c>
      <c r="AA60" s="84">
        <f t="shared" si="111"/>
        <v>0</v>
      </c>
      <c r="AB60" s="84">
        <f t="shared" si="60"/>
        <v>0</v>
      </c>
      <c r="AC60" s="84">
        <f t="shared" si="8"/>
        <v>0</v>
      </c>
      <c r="AD60" s="84"/>
      <c r="AE60" s="84">
        <f t="shared" si="20"/>
        <v>0</v>
      </c>
      <c r="AF60" s="84">
        <f t="shared" si="63"/>
        <v>0</v>
      </c>
      <c r="AG60" s="94">
        <f t="shared" si="21"/>
        <v>0</v>
      </c>
      <c r="AH60" s="85">
        <f>IFERROR(VLOOKUP(A60,CUSTOMERS!$A:$E,4),"")</f>
        <v>-150</v>
      </c>
      <c r="AI60" s="86" t="str">
        <f t="shared" si="112"/>
        <v/>
      </c>
      <c r="AJ60" s="87">
        <f>IFERROR(VLOOKUP(A60,CUSTOMERS!$A:$F,5),"")</f>
        <v>0</v>
      </c>
      <c r="AK60" s="96"/>
      <c r="AL60" s="96">
        <v>0</v>
      </c>
      <c r="AM60" s="96">
        <v>0</v>
      </c>
      <c r="AN60" s="96"/>
      <c r="AO60" s="96">
        <v>0</v>
      </c>
      <c r="AP60" s="102">
        <f t="shared" si="13"/>
        <v>0</v>
      </c>
      <c r="AQ60" s="102">
        <f t="shared" si="110"/>
        <v>0</v>
      </c>
      <c r="AR60" s="68" t="str">
        <f>IFERROR(VLOOKUP(A60,CUSTOMERS!$A:$B,2),"")</f>
        <v>PRD</v>
      </c>
      <c r="AS60" s="68" t="str">
        <f>IFERROR(VLOOKUP(A60,CUSTOMERS!$A:$D,3),"")</f>
        <v>BLG</v>
      </c>
      <c r="AT60" s="68" t="str">
        <f>IFERROR(VLOOKUP(A60,CUSTOMERS!$A:$F,6),"")</f>
        <v>N</v>
      </c>
      <c r="AU60" s="69">
        <f>IFERROR(VLOOKUP(A60,CUSTOMERS!$A:$E,4),"")</f>
        <v>-150</v>
      </c>
      <c r="AV60" s="68" t="str">
        <f t="shared" si="85"/>
        <v/>
      </c>
      <c r="AW60" s="70" t="str">
        <f t="shared" si="16"/>
        <v>descr60</v>
      </c>
      <c r="AX60" s="71" t="str">
        <f t="shared" si="17"/>
        <v>reason60</v>
      </c>
    </row>
    <row r="61" spans="1:50" s="73" customFormat="1" ht="52.5" customHeight="1" thickTop="1" thickBot="1">
      <c r="A61" s="120" t="s">
        <v>27</v>
      </c>
      <c r="B61" s="120" t="str">
        <f t="shared" si="22"/>
        <v>N</v>
      </c>
      <c r="C61" s="120"/>
      <c r="D61" s="121">
        <v>12</v>
      </c>
      <c r="E61" s="121"/>
      <c r="F61" s="122" t="str">
        <f t="shared" si="1"/>
        <v>PRD-BLG-2020-00012</v>
      </c>
      <c r="G61" s="123" t="s">
        <v>29</v>
      </c>
      <c r="H61" s="124" t="s">
        <v>454</v>
      </c>
      <c r="I61" s="239"/>
      <c r="J61" s="80">
        <f t="shared" si="2"/>
        <v>0</v>
      </c>
      <c r="K61" s="177">
        <f t="shared" si="74"/>
        <v>44012</v>
      </c>
      <c r="L61" s="148">
        <v>44012</v>
      </c>
      <c r="M61" s="149"/>
      <c r="N61" s="150"/>
      <c r="O61" s="150"/>
      <c r="P61" s="150"/>
      <c r="Q61" s="200" t="s">
        <v>18</v>
      </c>
      <c r="R61" s="200" t="s">
        <v>31</v>
      </c>
      <c r="S61" s="200" t="s">
        <v>313</v>
      </c>
      <c r="T61" s="200" t="s">
        <v>451</v>
      </c>
      <c r="U61" s="200" t="s">
        <v>455</v>
      </c>
      <c r="V61" s="200"/>
      <c r="W61" s="200"/>
      <c r="X61" s="144" t="s">
        <v>456</v>
      </c>
      <c r="Y61" s="173">
        <f t="shared" si="61"/>
        <v>0</v>
      </c>
      <c r="Z61" s="83">
        <f t="shared" si="5"/>
        <v>0</v>
      </c>
      <c r="AA61" s="84">
        <f t="shared" si="111"/>
        <v>0</v>
      </c>
      <c r="AB61" s="84">
        <f t="shared" si="60"/>
        <v>0</v>
      </c>
      <c r="AC61" s="84">
        <f t="shared" si="8"/>
        <v>0</v>
      </c>
      <c r="AD61" s="84"/>
      <c r="AE61" s="84">
        <f t="shared" si="20"/>
        <v>0</v>
      </c>
      <c r="AF61" s="84">
        <f t="shared" si="63"/>
        <v>0</v>
      </c>
      <c r="AG61" s="94">
        <f t="shared" si="21"/>
        <v>0</v>
      </c>
      <c r="AH61" s="85">
        <f>IFERROR(VLOOKUP(A61,CUSTOMERS!$A:$E,4),"")</f>
        <v>-150</v>
      </c>
      <c r="AI61" s="86" t="str">
        <f t="shared" si="112"/>
        <v/>
      </c>
      <c r="AJ61" s="87">
        <f>IFERROR(VLOOKUP(A61,CUSTOMERS!$A:$F,5),"")</f>
        <v>0</v>
      </c>
      <c r="AK61" s="96"/>
      <c r="AL61" s="96">
        <v>0</v>
      </c>
      <c r="AM61" s="96">
        <v>0</v>
      </c>
      <c r="AN61" s="96"/>
      <c r="AO61" s="96">
        <v>0</v>
      </c>
      <c r="AP61" s="102">
        <f t="shared" si="13"/>
        <v>0</v>
      </c>
      <c r="AQ61" s="102">
        <f t="shared" si="110"/>
        <v>0</v>
      </c>
      <c r="AR61" s="68" t="str">
        <f>IFERROR(VLOOKUP(A61,CUSTOMERS!$A:$B,2),"")</f>
        <v>PRD</v>
      </c>
      <c r="AS61" s="68" t="str">
        <f>IFERROR(VLOOKUP(A61,CUSTOMERS!$A:$D,3),"")</f>
        <v>BLG</v>
      </c>
      <c r="AT61" s="68" t="str">
        <f>IFERROR(VLOOKUP(A61,CUSTOMERS!$A:$F,6),"")</f>
        <v>N</v>
      </c>
      <c r="AU61" s="69">
        <f>IFERROR(VLOOKUP(A61,CUSTOMERS!$A:$E,4),"")</f>
        <v>-150</v>
      </c>
      <c r="AV61" s="68" t="str">
        <f t="shared" si="85"/>
        <v/>
      </c>
      <c r="AW61" s="70" t="str">
        <f t="shared" si="16"/>
        <v>descr61</v>
      </c>
      <c r="AX61" s="71" t="str">
        <f t="shared" si="17"/>
        <v>reason61</v>
      </c>
    </row>
    <row r="62" spans="1:50" s="73" customFormat="1" ht="40.5" customHeight="1" thickTop="1" thickBot="1">
      <c r="A62" s="120" t="s">
        <v>27</v>
      </c>
      <c r="B62" s="120" t="str">
        <f t="shared" si="22"/>
        <v>N</v>
      </c>
      <c r="C62" s="120"/>
      <c r="D62" s="121">
        <v>14</v>
      </c>
      <c r="E62" s="121"/>
      <c r="F62" s="122" t="str">
        <f t="shared" si="1"/>
        <v>PRD-BLG-2020-00014</v>
      </c>
      <c r="G62" s="123" t="s">
        <v>339</v>
      </c>
      <c r="H62" s="124" t="s">
        <v>457</v>
      </c>
      <c r="I62" s="239"/>
      <c r="J62" s="80">
        <f t="shared" si="2"/>
        <v>0</v>
      </c>
      <c r="K62" s="177">
        <f t="shared" si="74"/>
        <v>44061</v>
      </c>
      <c r="L62" s="141">
        <v>44061</v>
      </c>
      <c r="M62" s="142"/>
      <c r="N62" s="142"/>
      <c r="O62" s="142"/>
      <c r="P62" s="142"/>
      <c r="Q62" s="199" t="s">
        <v>14</v>
      </c>
      <c r="R62" s="199" t="s">
        <v>31</v>
      </c>
      <c r="S62" s="199"/>
      <c r="T62" s="199"/>
      <c r="U62" s="199"/>
      <c r="V62" s="199"/>
      <c r="W62" s="199"/>
      <c r="X62" s="144" t="s">
        <v>458</v>
      </c>
      <c r="Y62" s="173">
        <f t="shared" si="61"/>
        <v>0</v>
      </c>
      <c r="Z62" s="83">
        <f t="shared" si="5"/>
        <v>0</v>
      </c>
      <c r="AA62" s="84">
        <f t="shared" si="111"/>
        <v>0</v>
      </c>
      <c r="AB62" s="84">
        <f t="shared" si="60"/>
        <v>0</v>
      </c>
      <c r="AC62" s="84">
        <f t="shared" si="8"/>
        <v>0</v>
      </c>
      <c r="AD62" s="84"/>
      <c r="AE62" s="84">
        <f t="shared" si="20"/>
        <v>0</v>
      </c>
      <c r="AF62" s="84">
        <f t="shared" si="63"/>
        <v>0</v>
      </c>
      <c r="AG62" s="94">
        <f t="shared" si="21"/>
        <v>0</v>
      </c>
      <c r="AH62" s="85">
        <f>IFERROR(VLOOKUP(A62,CUSTOMERS!$A:$E,4),"")</f>
        <v>-150</v>
      </c>
      <c r="AI62" s="86" t="str">
        <f t="shared" si="112"/>
        <v/>
      </c>
      <c r="AJ62" s="87">
        <f>IFERROR(VLOOKUP(A62,CUSTOMERS!$A:$F,5),"")</f>
        <v>0</v>
      </c>
      <c r="AK62" s="96"/>
      <c r="AL62" s="96">
        <v>0</v>
      </c>
      <c r="AM62" s="96">
        <v>0</v>
      </c>
      <c r="AN62" s="96"/>
      <c r="AO62" s="96">
        <v>0</v>
      </c>
      <c r="AP62" s="102">
        <f t="shared" si="13"/>
        <v>0</v>
      </c>
      <c r="AQ62" s="102">
        <f t="shared" si="110"/>
        <v>0</v>
      </c>
      <c r="AR62" s="68" t="str">
        <f>IFERROR(VLOOKUP(A62,CUSTOMERS!$A:$B,2),"")</f>
        <v>PRD</v>
      </c>
      <c r="AS62" s="68" t="str">
        <f>IFERROR(VLOOKUP(A62,CUSTOMERS!$A:$D,3),"")</f>
        <v>BLG</v>
      </c>
      <c r="AT62" s="68" t="str">
        <f>IFERROR(VLOOKUP(A62,CUSTOMERS!$A:$F,6),"")</f>
        <v>N</v>
      </c>
      <c r="AU62" s="69">
        <f>IFERROR(VLOOKUP(A62,CUSTOMERS!$A:$E,4),"")</f>
        <v>-150</v>
      </c>
      <c r="AV62" s="68" t="str">
        <f t="shared" si="85"/>
        <v/>
      </c>
      <c r="AW62" s="70" t="str">
        <f t="shared" si="16"/>
        <v>descr62</v>
      </c>
      <c r="AX62" s="71" t="str">
        <f t="shared" si="17"/>
        <v>reason62</v>
      </c>
    </row>
    <row r="63" spans="1:50" s="73" customFormat="1" ht="40.5" customHeight="1" thickTop="1" thickBot="1">
      <c r="A63" s="120" t="s">
        <v>27</v>
      </c>
      <c r="B63" s="120" t="str">
        <f t="shared" si="22"/>
        <v>N</v>
      </c>
      <c r="C63" s="120"/>
      <c r="D63" s="121">
        <v>2</v>
      </c>
      <c r="E63" s="121"/>
      <c r="F63" s="122" t="str">
        <f t="shared" si="1"/>
        <v>PRD-BLG-2020-00002</v>
      </c>
      <c r="G63" s="123" t="s">
        <v>291</v>
      </c>
      <c r="H63" s="124" t="s">
        <v>459</v>
      </c>
      <c r="I63" s="239"/>
      <c r="J63" s="80">
        <f t="shared" si="2"/>
        <v>0</v>
      </c>
      <c r="K63" s="177">
        <f t="shared" si="74"/>
        <v>43952</v>
      </c>
      <c r="L63" s="148">
        <v>43952</v>
      </c>
      <c r="M63" s="149"/>
      <c r="N63" s="150"/>
      <c r="O63" s="150"/>
      <c r="P63" s="150"/>
      <c r="Q63" s="200" t="s">
        <v>15</v>
      </c>
      <c r="R63" s="200" t="s">
        <v>31</v>
      </c>
      <c r="S63" s="200"/>
      <c r="T63" s="200"/>
      <c r="U63" s="200"/>
      <c r="V63" s="200"/>
      <c r="W63" s="200"/>
      <c r="X63" s="144" t="s">
        <v>460</v>
      </c>
      <c r="Y63" s="173">
        <f t="shared" si="61"/>
        <v>0</v>
      </c>
      <c r="Z63" s="83">
        <f t="shared" si="5"/>
        <v>0</v>
      </c>
      <c r="AA63" s="84">
        <f t="shared" si="111"/>
        <v>0</v>
      </c>
      <c r="AB63" s="84">
        <f t="shared" si="60"/>
        <v>0</v>
      </c>
      <c r="AC63" s="84">
        <f t="shared" si="8"/>
        <v>0</v>
      </c>
      <c r="AD63" s="84"/>
      <c r="AE63" s="84">
        <f t="shared" si="20"/>
        <v>0</v>
      </c>
      <c r="AF63" s="84">
        <f t="shared" si="63"/>
        <v>0</v>
      </c>
      <c r="AG63" s="94">
        <f t="shared" si="21"/>
        <v>0</v>
      </c>
      <c r="AH63" s="85">
        <f>IFERROR(VLOOKUP(A63,CUSTOMERS!$A:$E,4),"")</f>
        <v>-150</v>
      </c>
      <c r="AI63" s="86" t="str">
        <f t="shared" si="112"/>
        <v/>
      </c>
      <c r="AJ63" s="87">
        <f>IFERROR(VLOOKUP(A63,CUSTOMERS!$A:$F,5),"")</f>
        <v>0</v>
      </c>
      <c r="AK63" s="96"/>
      <c r="AL63" s="96">
        <v>0</v>
      </c>
      <c r="AM63" s="96">
        <v>0</v>
      </c>
      <c r="AN63" s="96"/>
      <c r="AO63" s="96">
        <v>0</v>
      </c>
      <c r="AP63" s="102">
        <f t="shared" si="13"/>
        <v>0</v>
      </c>
      <c r="AQ63" s="102">
        <f t="shared" si="110"/>
        <v>0</v>
      </c>
      <c r="AR63" s="68" t="str">
        <f>IFERROR(VLOOKUP(A63,CUSTOMERS!$A:$B,2),"")</f>
        <v>PRD</v>
      </c>
      <c r="AS63" s="68" t="str">
        <f>IFERROR(VLOOKUP(A63,CUSTOMERS!$A:$D,3),"")</f>
        <v>BLG</v>
      </c>
      <c r="AT63" s="68" t="str">
        <f>IFERROR(VLOOKUP(A63,CUSTOMERS!$A:$F,6),"")</f>
        <v>N</v>
      </c>
      <c r="AU63" s="69">
        <f>IFERROR(VLOOKUP(A63,CUSTOMERS!$A:$E,4),"")</f>
        <v>-150</v>
      </c>
      <c r="AV63" s="68" t="str">
        <f t="shared" si="85"/>
        <v/>
      </c>
      <c r="AW63" s="70" t="str">
        <f t="shared" si="16"/>
        <v>descr63</v>
      </c>
      <c r="AX63" s="71" t="str">
        <f t="shared" si="17"/>
        <v>reason63</v>
      </c>
    </row>
    <row r="64" spans="1:50" s="73" customFormat="1" ht="71.25" customHeight="1" thickTop="1" thickBot="1">
      <c r="A64" s="120" t="s">
        <v>50</v>
      </c>
      <c r="B64" s="120" t="str">
        <f t="shared" si="22"/>
        <v>N</v>
      </c>
      <c r="C64" s="120"/>
      <c r="D64" s="121"/>
      <c r="E64" s="121"/>
      <c r="F64" s="122" t="str">
        <f t="shared" si="1"/>
        <v>PRD-REQ-2020-00000</v>
      </c>
      <c r="G64" s="123" t="s">
        <v>35</v>
      </c>
      <c r="H64" s="124" t="s">
        <v>36</v>
      </c>
      <c r="I64" s="239"/>
      <c r="J64" s="80">
        <f t="shared" si="2"/>
        <v>0</v>
      </c>
      <c r="K64" s="177">
        <f t="shared" si="74"/>
        <v>43831</v>
      </c>
      <c r="L64" s="141">
        <v>43831</v>
      </c>
      <c r="M64" s="142"/>
      <c r="N64" s="142"/>
      <c r="O64" s="142"/>
      <c r="P64" s="142"/>
      <c r="Q64" s="199" t="s">
        <v>15</v>
      </c>
      <c r="R64" s="199" t="s">
        <v>25</v>
      </c>
      <c r="S64" s="199" t="s">
        <v>311</v>
      </c>
      <c r="T64" s="199" t="s">
        <v>455</v>
      </c>
      <c r="U64" s="199" t="s">
        <v>455</v>
      </c>
      <c r="V64" s="199"/>
      <c r="W64" s="199"/>
      <c r="X64" s="144" t="s">
        <v>461</v>
      </c>
      <c r="Y64" s="173">
        <f t="shared" si="61"/>
        <v>0</v>
      </c>
      <c r="Z64" s="83">
        <f t="shared" si="5"/>
        <v>0</v>
      </c>
      <c r="AA64" s="84">
        <f t="shared" si="111"/>
        <v>0</v>
      </c>
      <c r="AB64" s="84">
        <f t="shared" si="60"/>
        <v>0</v>
      </c>
      <c r="AC64" s="84">
        <f t="shared" si="8"/>
        <v>0</v>
      </c>
      <c r="AD64" s="84"/>
      <c r="AE64" s="84">
        <f t="shared" si="20"/>
        <v>0</v>
      </c>
      <c r="AF64" s="84">
        <f t="shared" si="63"/>
        <v>0</v>
      </c>
      <c r="AG64" s="94">
        <f t="shared" si="21"/>
        <v>0</v>
      </c>
      <c r="AH64" s="85">
        <f>IFERROR(VLOOKUP(A64,CUSTOMERS!$A:$E,4),"")</f>
        <v>-150</v>
      </c>
      <c r="AI64" s="86" t="str">
        <f t="shared" si="112"/>
        <v/>
      </c>
      <c r="AJ64" s="87">
        <f>IFERROR(VLOOKUP(A64,CUSTOMERS!$A:$F,5),"")</f>
        <v>0</v>
      </c>
      <c r="AK64" s="96"/>
      <c r="AL64" s="96">
        <v>0</v>
      </c>
      <c r="AM64" s="96">
        <v>0</v>
      </c>
      <c r="AN64" s="96"/>
      <c r="AO64" s="96">
        <v>0</v>
      </c>
      <c r="AP64" s="102">
        <f t="shared" si="13"/>
        <v>0</v>
      </c>
      <c r="AQ64" s="102">
        <f t="shared" si="110"/>
        <v>0</v>
      </c>
      <c r="AR64" s="68" t="str">
        <f>IFERROR(VLOOKUP(A64,CUSTOMERS!$A:$B,2),"")</f>
        <v>PRD</v>
      </c>
      <c r="AS64" s="68" t="str">
        <f>IFERROR(VLOOKUP(A64,CUSTOMERS!$A:$D,3),"")</f>
        <v>REQ</v>
      </c>
      <c r="AT64" s="68" t="str">
        <f>IFERROR(VLOOKUP(A64,CUSTOMERS!$A:$F,6),"")</f>
        <v>N</v>
      </c>
      <c r="AU64" s="69">
        <f>IFERROR(VLOOKUP(A64,CUSTOMERS!$A:$E,4),"")</f>
        <v>-150</v>
      </c>
      <c r="AV64" s="68" t="str">
        <f t="shared" si="85"/>
        <v/>
      </c>
      <c r="AW64" s="70" t="str">
        <f t="shared" si="16"/>
        <v>descr64</v>
      </c>
      <c r="AX64" s="71" t="str">
        <f t="shared" si="17"/>
        <v>reason64</v>
      </c>
    </row>
    <row r="65" spans="1:50" s="73" customFormat="1" ht="40.5" customHeight="1" thickTop="1" thickBot="1">
      <c r="A65" s="120" t="s">
        <v>27</v>
      </c>
      <c r="B65" s="120" t="str">
        <f t="shared" si="22"/>
        <v>N</v>
      </c>
      <c r="C65" s="120"/>
      <c r="D65" s="121"/>
      <c r="E65" s="121"/>
      <c r="F65" s="122" t="str">
        <f t="shared" si="1"/>
        <v>PRD-BLG-2020-00000</v>
      </c>
      <c r="G65" s="207" t="s">
        <v>339</v>
      </c>
      <c r="H65" s="124" t="s">
        <v>462</v>
      </c>
      <c r="I65" s="239"/>
      <c r="J65" s="80">
        <f t="shared" si="2"/>
        <v>0</v>
      </c>
      <c r="K65" s="177">
        <f t="shared" si="74"/>
        <v>44081</v>
      </c>
      <c r="L65" s="141">
        <v>44081</v>
      </c>
      <c r="M65" s="142"/>
      <c r="N65" s="142"/>
      <c r="O65" s="142"/>
      <c r="P65" s="142"/>
      <c r="Q65" s="199" t="s">
        <v>15</v>
      </c>
      <c r="R65" s="199" t="s">
        <v>31</v>
      </c>
      <c r="S65" s="199"/>
      <c r="T65" s="199"/>
      <c r="U65" s="199"/>
      <c r="V65" s="199"/>
      <c r="W65" s="199"/>
      <c r="X65" s="144"/>
      <c r="Y65" s="173">
        <f t="shared" si="61"/>
        <v>0</v>
      </c>
      <c r="Z65" s="83">
        <f t="shared" si="5"/>
        <v>0</v>
      </c>
      <c r="AA65" s="84">
        <f t="shared" si="111"/>
        <v>0</v>
      </c>
      <c r="AB65" s="84">
        <f t="shared" si="60"/>
        <v>0</v>
      </c>
      <c r="AC65" s="84">
        <f t="shared" si="8"/>
        <v>0</v>
      </c>
      <c r="AD65" s="84"/>
      <c r="AE65" s="84">
        <f t="shared" si="20"/>
        <v>0</v>
      </c>
      <c r="AF65" s="84">
        <f t="shared" si="63"/>
        <v>0</v>
      </c>
      <c r="AG65" s="94">
        <f t="shared" si="21"/>
        <v>0</v>
      </c>
      <c r="AH65" s="85">
        <f>IFERROR(VLOOKUP(A65,CUSTOMERS!$A:$E,4),"")</f>
        <v>-150</v>
      </c>
      <c r="AI65" s="86" t="str">
        <f t="shared" si="112"/>
        <v/>
      </c>
      <c r="AJ65" s="87">
        <f>IFERROR(VLOOKUP(A65,CUSTOMERS!$A:$F,5),"")</f>
        <v>0</v>
      </c>
      <c r="AK65" s="96"/>
      <c r="AL65" s="96">
        <v>0</v>
      </c>
      <c r="AM65" s="96">
        <v>0</v>
      </c>
      <c r="AN65" s="96"/>
      <c r="AO65" s="96">
        <v>0</v>
      </c>
      <c r="AP65" s="102">
        <f t="shared" si="13"/>
        <v>0</v>
      </c>
      <c r="AQ65" s="102">
        <f t="shared" si="110"/>
        <v>0</v>
      </c>
      <c r="AR65" s="68" t="str">
        <f>IFERROR(VLOOKUP(A65,CUSTOMERS!$A:$B,2),"")</f>
        <v>PRD</v>
      </c>
      <c r="AS65" s="68" t="str">
        <f>IFERROR(VLOOKUP(A65,CUSTOMERS!$A:$D,3),"")</f>
        <v>BLG</v>
      </c>
      <c r="AT65" s="68" t="str">
        <f>IFERROR(VLOOKUP(A65,CUSTOMERS!$A:$F,6),"")</f>
        <v>N</v>
      </c>
      <c r="AU65" s="69">
        <f>IFERROR(VLOOKUP(A65,CUSTOMERS!$A:$E,4),"")</f>
        <v>-150</v>
      </c>
      <c r="AV65" s="68" t="str">
        <f t="shared" si="85"/>
        <v/>
      </c>
      <c r="AW65" s="70" t="str">
        <f t="shared" si="16"/>
        <v>descr65</v>
      </c>
      <c r="AX65" s="71" t="str">
        <f t="shared" si="17"/>
        <v>reason65</v>
      </c>
    </row>
    <row r="66" spans="1:50" s="73" customFormat="1" ht="40.5" customHeight="1" thickTop="1" thickBot="1">
      <c r="A66" s="120" t="s">
        <v>27</v>
      </c>
      <c r="B66" s="120" t="str">
        <f t="shared" si="22"/>
        <v>N</v>
      </c>
      <c r="C66" s="120"/>
      <c r="D66" s="121"/>
      <c r="E66" s="121"/>
      <c r="F66" s="122" t="str">
        <f t="shared" si="1"/>
        <v>PRD-BLG-2020-00000</v>
      </c>
      <c r="G66" s="207" t="s">
        <v>339</v>
      </c>
      <c r="H66" s="124" t="s">
        <v>463</v>
      </c>
      <c r="I66" s="239"/>
      <c r="J66" s="80">
        <f t="shared" si="2"/>
        <v>0</v>
      </c>
      <c r="K66" s="177">
        <f t="shared" si="74"/>
        <v>44091</v>
      </c>
      <c r="L66" s="141">
        <v>44091</v>
      </c>
      <c r="M66" s="142"/>
      <c r="N66" s="142"/>
      <c r="O66" s="142"/>
      <c r="P66" s="142"/>
      <c r="Q66" s="199" t="s">
        <v>18</v>
      </c>
      <c r="R66" s="199" t="s">
        <v>31</v>
      </c>
      <c r="S66" s="199"/>
      <c r="T66" s="199"/>
      <c r="U66" s="199"/>
      <c r="V66" s="199"/>
      <c r="W66" s="199"/>
      <c r="X66" s="144" t="s">
        <v>412</v>
      </c>
      <c r="Y66" s="173">
        <f t="shared" si="61"/>
        <v>0</v>
      </c>
      <c r="Z66" s="83">
        <f t="shared" si="5"/>
        <v>0</v>
      </c>
      <c r="AA66" s="84">
        <f t="shared" si="111"/>
        <v>0</v>
      </c>
      <c r="AB66" s="84">
        <f t="shared" si="60"/>
        <v>0</v>
      </c>
      <c r="AC66" s="84">
        <f t="shared" si="8"/>
        <v>0</v>
      </c>
      <c r="AD66" s="84"/>
      <c r="AE66" s="84">
        <f t="shared" si="20"/>
        <v>0</v>
      </c>
      <c r="AF66" s="84">
        <f t="shared" si="63"/>
        <v>0</v>
      </c>
      <c r="AG66" s="94">
        <f t="shared" si="21"/>
        <v>0</v>
      </c>
      <c r="AH66" s="85">
        <f>IFERROR(VLOOKUP(A66,CUSTOMERS!$A:$E,4),"")</f>
        <v>-150</v>
      </c>
      <c r="AI66" s="86" t="str">
        <f t="shared" si="112"/>
        <v/>
      </c>
      <c r="AJ66" s="87">
        <f>IFERROR(VLOOKUP(A66,CUSTOMERS!$A:$F,5),"")</f>
        <v>0</v>
      </c>
      <c r="AK66" s="96"/>
      <c r="AL66" s="96">
        <v>0</v>
      </c>
      <c r="AM66" s="96">
        <v>0</v>
      </c>
      <c r="AN66" s="96"/>
      <c r="AO66" s="96">
        <v>0</v>
      </c>
      <c r="AP66" s="102">
        <f t="shared" si="13"/>
        <v>0</v>
      </c>
      <c r="AQ66" s="102">
        <f t="shared" si="110"/>
        <v>0</v>
      </c>
      <c r="AR66" s="68" t="str">
        <f>IFERROR(VLOOKUP(A66,CUSTOMERS!$A:$B,2),"")</f>
        <v>PRD</v>
      </c>
      <c r="AS66" s="68" t="str">
        <f>IFERROR(VLOOKUP(A66,CUSTOMERS!$A:$D,3),"")</f>
        <v>BLG</v>
      </c>
      <c r="AT66" s="68" t="str">
        <f>IFERROR(VLOOKUP(A66,CUSTOMERS!$A:$F,6),"")</f>
        <v>N</v>
      </c>
      <c r="AU66" s="69">
        <f>IFERROR(VLOOKUP(A66,CUSTOMERS!$A:$E,4),"")</f>
        <v>-150</v>
      </c>
      <c r="AV66" s="68" t="str">
        <f t="shared" si="85"/>
        <v/>
      </c>
      <c r="AW66" s="70" t="str">
        <f t="shared" si="16"/>
        <v>descr66</v>
      </c>
      <c r="AX66" s="71" t="str">
        <f t="shared" si="17"/>
        <v>reason66</v>
      </c>
    </row>
    <row r="67" spans="1:50" ht="40.5" customHeight="1" thickTop="1" thickBot="1">
      <c r="A67" s="120" t="s">
        <v>27</v>
      </c>
      <c r="B67" s="120" t="str">
        <f t="shared" si="22"/>
        <v>N</v>
      </c>
      <c r="C67" s="120"/>
      <c r="D67" s="121">
        <v>7</v>
      </c>
      <c r="E67" s="121"/>
      <c r="F67" s="122" t="str">
        <f t="shared" si="1"/>
        <v>PRD-BLG-2020-00007</v>
      </c>
      <c r="G67" s="123" t="s">
        <v>291</v>
      </c>
      <c r="H67" s="124" t="s">
        <v>464</v>
      </c>
      <c r="I67" s="239"/>
      <c r="J67" s="80">
        <f t="shared" si="2"/>
        <v>0</v>
      </c>
      <c r="K67" s="177">
        <f t="shared" si="74"/>
        <v>43952</v>
      </c>
      <c r="L67" s="148">
        <v>43952</v>
      </c>
      <c r="M67" s="149"/>
      <c r="N67" s="150"/>
      <c r="O67" s="150"/>
      <c r="P67" s="150"/>
      <c r="Q67" s="200" t="s">
        <v>18</v>
      </c>
      <c r="R67" s="200" t="s">
        <v>31</v>
      </c>
      <c r="S67" s="200"/>
      <c r="T67" s="200"/>
      <c r="U67" s="200"/>
      <c r="V67" s="200"/>
      <c r="W67" s="200"/>
      <c r="X67" s="144"/>
      <c r="Y67" s="173">
        <f t="shared" si="61"/>
        <v>0</v>
      </c>
      <c r="Z67" s="83">
        <f t="shared" si="5"/>
        <v>0</v>
      </c>
      <c r="AA67" s="84">
        <f t="shared" si="111"/>
        <v>0</v>
      </c>
      <c r="AB67" s="84">
        <f t="shared" si="60"/>
        <v>0</v>
      </c>
      <c r="AC67" s="84">
        <f t="shared" si="8"/>
        <v>0</v>
      </c>
      <c r="AD67" s="84"/>
      <c r="AE67" s="84">
        <f t="shared" si="20"/>
        <v>0</v>
      </c>
      <c r="AF67" s="84">
        <f t="shared" si="63"/>
        <v>0</v>
      </c>
      <c r="AG67" s="94">
        <f t="shared" si="21"/>
        <v>0</v>
      </c>
      <c r="AH67" s="85">
        <f>IFERROR(VLOOKUP(A67,CUSTOMERS!$A:$E,4),"")</f>
        <v>-150</v>
      </c>
      <c r="AI67" s="86" t="str">
        <f t="shared" si="112"/>
        <v/>
      </c>
      <c r="AJ67" s="87">
        <f>IFERROR(VLOOKUP(A67,CUSTOMERS!$A:$F,5),"")</f>
        <v>0</v>
      </c>
      <c r="AK67" s="96"/>
      <c r="AL67" s="96">
        <v>0</v>
      </c>
      <c r="AM67" s="96">
        <v>0</v>
      </c>
      <c r="AN67" s="96"/>
      <c r="AO67" s="96">
        <v>0</v>
      </c>
      <c r="AP67" s="102">
        <f t="shared" si="13"/>
        <v>0</v>
      </c>
      <c r="AQ67" s="102">
        <f t="shared" si="110"/>
        <v>0</v>
      </c>
      <c r="AR67" s="68" t="str">
        <f>IFERROR(VLOOKUP(A67,CUSTOMERS!$A:$B,2),"")</f>
        <v>PRD</v>
      </c>
      <c r="AS67" s="68" t="str">
        <f>IFERROR(VLOOKUP(A67,CUSTOMERS!$A:$D,3),"")</f>
        <v>BLG</v>
      </c>
      <c r="AT67" s="68" t="str">
        <f>IFERROR(VLOOKUP(A67,CUSTOMERS!$A:$F,6),"")</f>
        <v>N</v>
      </c>
      <c r="AU67" s="69">
        <f>IFERROR(VLOOKUP(A67,CUSTOMERS!$A:$E,4),"")</f>
        <v>-150</v>
      </c>
      <c r="AV67" s="68" t="str">
        <f t="shared" si="85"/>
        <v/>
      </c>
      <c r="AW67" s="70" t="str">
        <f t="shared" si="16"/>
        <v>descr67</v>
      </c>
      <c r="AX67" s="71" t="str">
        <f t="shared" si="17"/>
        <v>reason67</v>
      </c>
    </row>
    <row r="68" spans="1:50" ht="40.5" customHeight="1" thickTop="1" thickBot="1">
      <c r="A68" s="120" t="s">
        <v>27</v>
      </c>
      <c r="B68" s="120" t="str">
        <f t="shared" ref="B68:B99" si="113">AT68</f>
        <v>N</v>
      </c>
      <c r="C68" s="120"/>
      <c r="D68" s="121">
        <v>23</v>
      </c>
      <c r="E68" s="121"/>
      <c r="F68" s="122" t="str">
        <f t="shared" si="1"/>
        <v>PRD-BLG-2020-00023</v>
      </c>
      <c r="G68" s="123" t="s">
        <v>339</v>
      </c>
      <c r="H68" s="124" t="s">
        <v>38</v>
      </c>
      <c r="I68" s="239"/>
      <c r="J68" s="80">
        <f t="shared" si="2"/>
        <v>0</v>
      </c>
      <c r="K68" s="177">
        <f t="shared" si="74"/>
        <v>44131</v>
      </c>
      <c r="L68" s="141">
        <v>44131</v>
      </c>
      <c r="M68" s="142"/>
      <c r="N68" s="142"/>
      <c r="O68" s="142"/>
      <c r="P68" s="142"/>
      <c r="Q68" s="199" t="s">
        <v>15</v>
      </c>
      <c r="R68" s="199" t="s">
        <v>25</v>
      </c>
      <c r="S68" s="199" t="s">
        <v>313</v>
      </c>
      <c r="T68" s="199"/>
      <c r="U68" s="199"/>
      <c r="V68" s="199">
        <v>44356</v>
      </c>
      <c r="W68" s="199" t="s">
        <v>465</v>
      </c>
      <c r="X68" s="144" t="s">
        <v>466</v>
      </c>
      <c r="Y68" s="173">
        <f t="shared" si="61"/>
        <v>0</v>
      </c>
      <c r="Z68" s="83">
        <f t="shared" si="5"/>
        <v>0</v>
      </c>
      <c r="AA68" s="84">
        <f t="shared" si="111"/>
        <v>0</v>
      </c>
      <c r="AB68" s="84">
        <f t="shared" si="60"/>
        <v>0</v>
      </c>
      <c r="AC68" s="84">
        <f t="shared" si="8"/>
        <v>0</v>
      </c>
      <c r="AD68" s="84"/>
      <c r="AE68" s="84">
        <f t="shared" si="20"/>
        <v>0</v>
      </c>
      <c r="AF68" s="84">
        <f t="shared" si="63"/>
        <v>0</v>
      </c>
      <c r="AG68" s="94">
        <f t="shared" si="21"/>
        <v>0</v>
      </c>
      <c r="AH68" s="85">
        <f>IFERROR(VLOOKUP(A68,CUSTOMERS!$A:$E,4),"")</f>
        <v>-150</v>
      </c>
      <c r="AI68" s="86" t="str">
        <f t="shared" si="112"/>
        <v/>
      </c>
      <c r="AJ68" s="87">
        <f>IFERROR(VLOOKUP(A68,CUSTOMERS!$A:$F,5),"")</f>
        <v>0</v>
      </c>
      <c r="AK68" s="96"/>
      <c r="AL68" s="96">
        <v>0</v>
      </c>
      <c r="AM68" s="96">
        <v>0</v>
      </c>
      <c r="AN68" s="96"/>
      <c r="AO68" s="96">
        <v>0</v>
      </c>
      <c r="AP68" s="102">
        <f t="shared" si="13"/>
        <v>0</v>
      </c>
      <c r="AQ68" s="102">
        <f t="shared" si="110"/>
        <v>0</v>
      </c>
      <c r="AR68" s="68" t="str">
        <f>IFERROR(VLOOKUP(A68,CUSTOMERS!$A:$B,2),"")</f>
        <v>PRD</v>
      </c>
      <c r="AS68" s="68" t="str">
        <f>IFERROR(VLOOKUP(A68,CUSTOMERS!$A:$D,3),"")</f>
        <v>BLG</v>
      </c>
      <c r="AT68" s="68" t="str">
        <f>IFERROR(VLOOKUP(A68,CUSTOMERS!$A:$F,6),"")</f>
        <v>N</v>
      </c>
      <c r="AU68" s="69">
        <f>IFERROR(VLOOKUP(A68,CUSTOMERS!$A:$E,4),"")</f>
        <v>-150</v>
      </c>
      <c r="AV68" s="68" t="str">
        <f t="shared" si="85"/>
        <v/>
      </c>
      <c r="AW68" s="70" t="str">
        <f t="shared" si="16"/>
        <v>descr68</v>
      </c>
      <c r="AX68" s="71" t="str">
        <f t="shared" si="17"/>
        <v>reason68</v>
      </c>
    </row>
    <row r="69" spans="1:50" ht="40.5" customHeight="1" thickTop="1" thickBot="1">
      <c r="A69" s="120" t="s">
        <v>27</v>
      </c>
      <c r="B69" s="120" t="str">
        <f t="shared" si="113"/>
        <v>N</v>
      </c>
      <c r="C69" s="120"/>
      <c r="D69" s="121">
        <v>25</v>
      </c>
      <c r="E69" s="121"/>
      <c r="F69" s="122" t="str">
        <f t="shared" ref="F69:F133" si="114">IF(AS69&lt;&gt;"",_xlfn.CONCAT(AR69,"-",AS69,"-",IF(L69&lt;&gt;"",TEXT(L69,"yyyy"),"0000"),"-",REPT(0,5-LEN(D69))&amp;D69),"")</f>
        <v>PRD-BLG-0000-00025</v>
      </c>
      <c r="G69" s="123" t="s">
        <v>35</v>
      </c>
      <c r="H69" s="124" t="s">
        <v>40</v>
      </c>
      <c r="I69" s="239"/>
      <c r="J69" s="80">
        <f t="shared" si="2"/>
        <v>0</v>
      </c>
      <c r="K69" s="177">
        <f t="shared" si="74"/>
        <v>0</v>
      </c>
      <c r="L69" s="141"/>
      <c r="M69" s="142"/>
      <c r="N69" s="142"/>
      <c r="O69" s="142"/>
      <c r="P69" s="142"/>
      <c r="Q69" s="199" t="s">
        <v>18</v>
      </c>
      <c r="R69" s="199" t="s">
        <v>31</v>
      </c>
      <c r="S69" s="199" t="s">
        <v>313</v>
      </c>
      <c r="T69" s="199" t="s">
        <v>455</v>
      </c>
      <c r="U69" s="199" t="s">
        <v>450</v>
      </c>
      <c r="V69" s="199"/>
      <c r="W69" s="199"/>
      <c r="X69" s="144" t="s">
        <v>467</v>
      </c>
      <c r="Y69" s="173">
        <f t="shared" si="61"/>
        <v>0</v>
      </c>
      <c r="Z69" s="83">
        <f t="shared" si="5"/>
        <v>0</v>
      </c>
      <c r="AA69" s="84">
        <f t="shared" si="111"/>
        <v>0</v>
      </c>
      <c r="AB69" s="84">
        <f t="shared" si="60"/>
        <v>0</v>
      </c>
      <c r="AC69" s="84">
        <f t="shared" si="8"/>
        <v>0</v>
      </c>
      <c r="AD69" s="84"/>
      <c r="AE69" s="84">
        <f t="shared" si="20"/>
        <v>0</v>
      </c>
      <c r="AF69" s="84">
        <f t="shared" si="63"/>
        <v>0</v>
      </c>
      <c r="AG69" s="94">
        <f t="shared" si="21"/>
        <v>0</v>
      </c>
      <c r="AH69" s="85">
        <f>IFERROR(VLOOKUP(A69,CUSTOMERS!$A:$E,4),"")</f>
        <v>-150</v>
      </c>
      <c r="AI69" s="86" t="str">
        <f t="shared" si="112"/>
        <v/>
      </c>
      <c r="AJ69" s="87">
        <f>IFERROR(VLOOKUP(A69,CUSTOMERS!$A:$F,5),"")</f>
        <v>0</v>
      </c>
      <c r="AK69" s="96"/>
      <c r="AL69" s="96">
        <v>0</v>
      </c>
      <c r="AM69" s="96">
        <v>0</v>
      </c>
      <c r="AN69" s="96"/>
      <c r="AO69" s="96">
        <v>0</v>
      </c>
      <c r="AP69" s="102">
        <f t="shared" si="13"/>
        <v>0</v>
      </c>
      <c r="AQ69" s="102">
        <f t="shared" si="110"/>
        <v>0</v>
      </c>
      <c r="AR69" s="68" t="str">
        <f>IFERROR(VLOOKUP(A69,CUSTOMERS!$A:$B,2),"")</f>
        <v>PRD</v>
      </c>
      <c r="AS69" s="68" t="str">
        <f>IFERROR(VLOOKUP(A69,CUSTOMERS!$A:$D,3),"")</f>
        <v>BLG</v>
      </c>
      <c r="AT69" s="68" t="str">
        <f>IFERROR(VLOOKUP(A69,CUSTOMERS!$A:$F,6),"")</f>
        <v>N</v>
      </c>
      <c r="AU69" s="69">
        <f>IFERROR(VLOOKUP(A69,CUSTOMERS!$A:$E,4),"")</f>
        <v>-150</v>
      </c>
      <c r="AV69" s="68" t="str">
        <f t="shared" si="85"/>
        <v/>
      </c>
      <c r="AW69" s="70" t="str">
        <f>"descr"&amp;ROW()</f>
        <v>descr69</v>
      </c>
      <c r="AX69" s="71" t="str">
        <f t="shared" si="17"/>
        <v>reason69</v>
      </c>
    </row>
    <row r="70" spans="1:50" ht="40.5" customHeight="1" thickTop="1" thickBot="1">
      <c r="A70" s="120" t="s">
        <v>27</v>
      </c>
      <c r="B70" s="120" t="str">
        <f t="shared" si="113"/>
        <v>N</v>
      </c>
      <c r="C70" s="120"/>
      <c r="D70" s="121">
        <v>18</v>
      </c>
      <c r="E70" s="121"/>
      <c r="F70" s="122" t="str">
        <f t="shared" si="114"/>
        <v>PRD-BLG-2020-00018</v>
      </c>
      <c r="G70" s="207" t="s">
        <v>339</v>
      </c>
      <c r="H70" s="124" t="s">
        <v>468</v>
      </c>
      <c r="I70" s="239"/>
      <c r="J70" s="80">
        <f t="shared" si="2"/>
        <v>0</v>
      </c>
      <c r="K70" s="177">
        <f t="shared" si="74"/>
        <v>44070</v>
      </c>
      <c r="L70" s="141">
        <v>44070</v>
      </c>
      <c r="M70" s="142"/>
      <c r="N70" s="142"/>
      <c r="O70" s="142"/>
      <c r="P70" s="142"/>
      <c r="Q70" s="200" t="s">
        <v>18</v>
      </c>
      <c r="R70" s="199" t="s">
        <v>31</v>
      </c>
      <c r="S70" s="199"/>
      <c r="T70" s="199"/>
      <c r="U70" s="199"/>
      <c r="V70" s="199"/>
      <c r="W70" s="199"/>
      <c r="X70" s="144" t="s">
        <v>469</v>
      </c>
      <c r="Y70" s="173">
        <f t="shared" si="61"/>
        <v>0</v>
      </c>
      <c r="Z70" s="83">
        <f t="shared" si="5"/>
        <v>0</v>
      </c>
      <c r="AA70" s="84">
        <f t="shared" si="111"/>
        <v>0</v>
      </c>
      <c r="AB70" s="84">
        <f t="shared" si="60"/>
        <v>0</v>
      </c>
      <c r="AC70" s="84">
        <f t="shared" si="8"/>
        <v>0</v>
      </c>
      <c r="AD70" s="84"/>
      <c r="AE70" s="84">
        <f t="shared" si="20"/>
        <v>0</v>
      </c>
      <c r="AF70" s="84">
        <f t="shared" si="63"/>
        <v>0</v>
      </c>
      <c r="AG70" s="94">
        <f t="shared" si="21"/>
        <v>0</v>
      </c>
      <c r="AH70" s="85">
        <f>IFERROR(VLOOKUP(A70,CUSTOMERS!$A:$E,4),"")</f>
        <v>-150</v>
      </c>
      <c r="AI70" s="86" t="str">
        <f t="shared" si="112"/>
        <v/>
      </c>
      <c r="AJ70" s="87">
        <f>IFERROR(VLOOKUP(A70,CUSTOMERS!$A:$F,5),"")</f>
        <v>0</v>
      </c>
      <c r="AK70" s="96"/>
      <c r="AL70" s="96">
        <v>0</v>
      </c>
      <c r="AM70" s="96">
        <v>0</v>
      </c>
      <c r="AN70" s="96"/>
      <c r="AO70" s="96">
        <v>0</v>
      </c>
      <c r="AP70" s="102">
        <f t="shared" si="13"/>
        <v>0</v>
      </c>
      <c r="AQ70" s="102">
        <f t="shared" si="110"/>
        <v>0</v>
      </c>
      <c r="AR70" s="68" t="str">
        <f>IFERROR(VLOOKUP(A70,CUSTOMERS!$A:$B,2),"")</f>
        <v>PRD</v>
      </c>
      <c r="AS70" s="68" t="str">
        <f>IFERROR(VLOOKUP(A70,CUSTOMERS!$A:$D,3),"")</f>
        <v>BLG</v>
      </c>
      <c r="AT70" s="68" t="str">
        <f>IFERROR(VLOOKUP(A70,CUSTOMERS!$A:$F,6),"")</f>
        <v>N</v>
      </c>
      <c r="AU70" s="69">
        <f>IFERROR(VLOOKUP(A70,CUSTOMERS!$A:$E,4),"")</f>
        <v>-150</v>
      </c>
      <c r="AV70" s="68" t="str">
        <f t="shared" si="85"/>
        <v/>
      </c>
      <c r="AW70" s="70" t="str">
        <f t="shared" ref="AW70:AW91" si="115">"descr"&amp;ROW()</f>
        <v>descr70</v>
      </c>
      <c r="AX70" s="71" t="str">
        <f t="shared" si="17"/>
        <v>reason70</v>
      </c>
    </row>
    <row r="71" spans="1:50" ht="40.5" customHeight="1" thickTop="1" thickBot="1">
      <c r="A71" s="120" t="s">
        <v>27</v>
      </c>
      <c r="B71" s="120" t="str">
        <f t="shared" si="113"/>
        <v>N</v>
      </c>
      <c r="C71" s="120"/>
      <c r="D71" s="121">
        <v>20</v>
      </c>
      <c r="E71" s="121"/>
      <c r="F71" s="122" t="str">
        <f t="shared" si="114"/>
        <v>PRD-BLG-2020-00020</v>
      </c>
      <c r="G71" s="123" t="s">
        <v>291</v>
      </c>
      <c r="H71" s="124" t="s">
        <v>470</v>
      </c>
      <c r="I71" s="239"/>
      <c r="J71" s="80">
        <f t="shared" si="2"/>
        <v>0</v>
      </c>
      <c r="K71" s="177">
        <f t="shared" si="74"/>
        <v>44070</v>
      </c>
      <c r="L71" s="141">
        <v>44070</v>
      </c>
      <c r="M71" s="142"/>
      <c r="N71" s="142"/>
      <c r="O71" s="142"/>
      <c r="P71" s="142"/>
      <c r="Q71" s="199" t="s">
        <v>291</v>
      </c>
      <c r="R71" s="199" t="s">
        <v>31</v>
      </c>
      <c r="S71" s="199"/>
      <c r="T71" s="199"/>
      <c r="U71" s="199"/>
      <c r="V71" s="199"/>
      <c r="W71" s="199"/>
      <c r="X71" s="144" t="s">
        <v>469</v>
      </c>
      <c r="Y71" s="173">
        <f t="shared" si="61"/>
        <v>0</v>
      </c>
      <c r="Z71" s="83">
        <f t="shared" si="5"/>
        <v>0</v>
      </c>
      <c r="AA71" s="84">
        <f t="shared" si="111"/>
        <v>0</v>
      </c>
      <c r="AB71" s="84">
        <f t="shared" si="60"/>
        <v>0</v>
      </c>
      <c r="AC71" s="84">
        <f t="shared" si="8"/>
        <v>0</v>
      </c>
      <c r="AD71" s="84"/>
      <c r="AE71" s="84">
        <f t="shared" si="20"/>
        <v>0</v>
      </c>
      <c r="AF71" s="84">
        <f t="shared" si="63"/>
        <v>0</v>
      </c>
      <c r="AG71" s="94">
        <f t="shared" si="21"/>
        <v>0</v>
      </c>
      <c r="AH71" s="85">
        <f>IFERROR(VLOOKUP(A71,CUSTOMERS!$A:$E,4),"")</f>
        <v>-150</v>
      </c>
      <c r="AI71" s="86" t="str">
        <f t="shared" si="112"/>
        <v/>
      </c>
      <c r="AJ71" s="87">
        <f>IFERROR(VLOOKUP(A71,CUSTOMERS!$A:$F,5),"")</f>
        <v>0</v>
      </c>
      <c r="AK71" s="96"/>
      <c r="AL71" s="96">
        <v>0</v>
      </c>
      <c r="AM71" s="96">
        <v>0</v>
      </c>
      <c r="AN71" s="96"/>
      <c r="AO71" s="96">
        <v>0</v>
      </c>
      <c r="AP71" s="102">
        <f t="shared" si="13"/>
        <v>0</v>
      </c>
      <c r="AQ71" s="102">
        <f t="shared" si="110"/>
        <v>0</v>
      </c>
      <c r="AR71" s="68" t="str">
        <f>IFERROR(VLOOKUP(A71,CUSTOMERS!$A:$B,2),"")</f>
        <v>PRD</v>
      </c>
      <c r="AS71" s="68" t="str">
        <f>IFERROR(VLOOKUP(A71,CUSTOMERS!$A:$D,3),"")</f>
        <v>BLG</v>
      </c>
      <c r="AT71" s="68" t="str">
        <f>IFERROR(VLOOKUP(A71,CUSTOMERS!$A:$F,6),"")</f>
        <v>N</v>
      </c>
      <c r="AU71" s="69">
        <f>IFERROR(VLOOKUP(A71,CUSTOMERS!$A:$E,4),"")</f>
        <v>-150</v>
      </c>
      <c r="AV71" s="68" t="str">
        <f t="shared" si="85"/>
        <v/>
      </c>
      <c r="AW71" s="70" t="str">
        <f t="shared" si="115"/>
        <v>descr71</v>
      </c>
      <c r="AX71" s="71" t="str">
        <f t="shared" si="17"/>
        <v>reason71</v>
      </c>
    </row>
    <row r="72" spans="1:50" ht="40.5" customHeight="1" thickTop="1" thickBot="1">
      <c r="A72" s="120" t="s">
        <v>27</v>
      </c>
      <c r="B72" s="120" t="str">
        <f t="shared" si="113"/>
        <v>N</v>
      </c>
      <c r="C72" s="120"/>
      <c r="D72" s="121">
        <v>33665</v>
      </c>
      <c r="E72" s="121"/>
      <c r="F72" s="122" t="str">
        <f t="shared" si="114"/>
        <v>PRD-BLG-2020-33665</v>
      </c>
      <c r="G72" s="207" t="s">
        <v>339</v>
      </c>
      <c r="H72" s="124" t="s">
        <v>471</v>
      </c>
      <c r="I72" s="239"/>
      <c r="J72" s="80">
        <f t="shared" si="2"/>
        <v>0</v>
      </c>
      <c r="K72" s="177">
        <v>44152</v>
      </c>
      <c r="L72" s="141">
        <v>44083</v>
      </c>
      <c r="M72" s="142"/>
      <c r="N72" s="142"/>
      <c r="O72" s="142"/>
      <c r="P72" s="142"/>
      <c r="Q72" s="199" t="s">
        <v>15</v>
      </c>
      <c r="R72" s="199" t="s">
        <v>31</v>
      </c>
      <c r="S72" s="199"/>
      <c r="T72" s="199"/>
      <c r="U72" s="199"/>
      <c r="V72" s="199"/>
      <c r="W72" s="199"/>
      <c r="X72" s="144" t="s">
        <v>472</v>
      </c>
      <c r="Y72" s="173">
        <f t="shared" si="61"/>
        <v>0</v>
      </c>
      <c r="Z72" s="83">
        <f t="shared" si="5"/>
        <v>0</v>
      </c>
      <c r="AA72" s="84">
        <f t="shared" si="111"/>
        <v>0</v>
      </c>
      <c r="AB72" s="84">
        <f t="shared" si="60"/>
        <v>0</v>
      </c>
      <c r="AC72" s="84">
        <f t="shared" si="8"/>
        <v>0</v>
      </c>
      <c r="AD72" s="84"/>
      <c r="AE72" s="84">
        <f t="shared" si="20"/>
        <v>0</v>
      </c>
      <c r="AF72" s="84">
        <f t="shared" si="63"/>
        <v>0</v>
      </c>
      <c r="AG72" s="94">
        <f t="shared" si="21"/>
        <v>0</v>
      </c>
      <c r="AH72" s="85">
        <f>IFERROR(VLOOKUP(A72,CUSTOMERS!$A:$E,4),"")</f>
        <v>-150</v>
      </c>
      <c r="AI72" s="86" t="str">
        <f t="shared" si="112"/>
        <v/>
      </c>
      <c r="AJ72" s="87">
        <f>IFERROR(VLOOKUP(A72,CUSTOMERS!$A:$F,5),"")</f>
        <v>0</v>
      </c>
      <c r="AK72" s="96"/>
      <c r="AL72" s="96">
        <v>0</v>
      </c>
      <c r="AM72" s="96">
        <v>0</v>
      </c>
      <c r="AN72" s="96"/>
      <c r="AO72" s="96">
        <v>0</v>
      </c>
      <c r="AP72" s="102">
        <f t="shared" si="13"/>
        <v>0</v>
      </c>
      <c r="AQ72" s="102">
        <f t="shared" si="110"/>
        <v>0</v>
      </c>
      <c r="AR72" s="68" t="str">
        <f>IFERROR(VLOOKUP(A72,CUSTOMERS!$A:$B,2),"")</f>
        <v>PRD</v>
      </c>
      <c r="AS72" s="68" t="str">
        <f>IFERROR(VLOOKUP(A72,CUSTOMERS!$A:$D,3),"")</f>
        <v>BLG</v>
      </c>
      <c r="AT72" s="68" t="str">
        <f>IFERROR(VLOOKUP(A72,CUSTOMERS!$A:$F,6),"")</f>
        <v>N</v>
      </c>
      <c r="AU72" s="69">
        <f>IFERROR(VLOOKUP(A72,CUSTOMERS!$A:$E,4),"")</f>
        <v>-150</v>
      </c>
      <c r="AV72" s="68" t="str">
        <f t="shared" si="85"/>
        <v/>
      </c>
      <c r="AW72" s="70" t="str">
        <f t="shared" si="115"/>
        <v>descr72</v>
      </c>
      <c r="AX72" s="71" t="str">
        <f t="shared" si="17"/>
        <v>reason72</v>
      </c>
    </row>
    <row r="73" spans="1:50" ht="40.5" customHeight="1" thickTop="1" thickBot="1">
      <c r="A73" s="120" t="s">
        <v>27</v>
      </c>
      <c r="B73" s="120" t="str">
        <f t="shared" si="113"/>
        <v>N</v>
      </c>
      <c r="C73" s="120"/>
      <c r="D73" s="121"/>
      <c r="E73" s="121"/>
      <c r="F73" s="122" t="str">
        <f t="shared" si="114"/>
        <v>PRD-BLG-2020-00000</v>
      </c>
      <c r="G73" s="207" t="s">
        <v>339</v>
      </c>
      <c r="H73" s="124" t="s">
        <v>473</v>
      </c>
      <c r="I73" s="239"/>
      <c r="J73" s="80">
        <f t="shared" si="2"/>
        <v>0</v>
      </c>
      <c r="K73" s="177">
        <v>44152</v>
      </c>
      <c r="L73" s="141">
        <v>44083</v>
      </c>
      <c r="M73" s="142"/>
      <c r="N73" s="142"/>
      <c r="O73" s="142"/>
      <c r="P73" s="142"/>
      <c r="Q73" s="199" t="s">
        <v>15</v>
      </c>
      <c r="R73" s="199" t="s">
        <v>31</v>
      </c>
      <c r="S73" s="199"/>
      <c r="T73" s="199"/>
      <c r="U73" s="199"/>
      <c r="V73" s="199"/>
      <c r="W73" s="199"/>
      <c r="X73" s="144" t="s">
        <v>474</v>
      </c>
      <c r="Y73" s="173">
        <f t="shared" si="61"/>
        <v>0</v>
      </c>
      <c r="Z73" s="83">
        <f t="shared" si="5"/>
        <v>0</v>
      </c>
      <c r="AA73" s="84">
        <f t="shared" si="111"/>
        <v>0</v>
      </c>
      <c r="AB73" s="84">
        <f t="shared" si="60"/>
        <v>0</v>
      </c>
      <c r="AC73" s="84">
        <f t="shared" si="8"/>
        <v>0</v>
      </c>
      <c r="AD73" s="84"/>
      <c r="AE73" s="84">
        <f t="shared" si="20"/>
        <v>0</v>
      </c>
      <c r="AF73" s="84">
        <f t="shared" si="63"/>
        <v>0</v>
      </c>
      <c r="AG73" s="94">
        <f t="shared" si="21"/>
        <v>0</v>
      </c>
      <c r="AH73" s="85">
        <f>IFERROR(VLOOKUP(A73,CUSTOMERS!$A:$E,4),"")</f>
        <v>-150</v>
      </c>
      <c r="AI73" s="86" t="str">
        <f t="shared" si="112"/>
        <v/>
      </c>
      <c r="AJ73" s="87">
        <f>IFERROR(VLOOKUP(A73,CUSTOMERS!$A:$F,5),"")</f>
        <v>0</v>
      </c>
      <c r="AK73" s="96"/>
      <c r="AL73" s="96">
        <v>0</v>
      </c>
      <c r="AM73" s="96">
        <v>0</v>
      </c>
      <c r="AN73" s="96"/>
      <c r="AO73" s="96">
        <v>0</v>
      </c>
      <c r="AP73" s="102">
        <f t="shared" si="13"/>
        <v>0</v>
      </c>
      <c r="AQ73" s="102">
        <f t="shared" si="110"/>
        <v>0</v>
      </c>
      <c r="AR73" s="68" t="str">
        <f>IFERROR(VLOOKUP(A73,CUSTOMERS!$A:$B,2),"")</f>
        <v>PRD</v>
      </c>
      <c r="AS73" s="68" t="str">
        <f>IFERROR(VLOOKUP(A73,CUSTOMERS!$A:$D,3),"")</f>
        <v>BLG</v>
      </c>
      <c r="AT73" s="68" t="str">
        <f>IFERROR(VLOOKUP(A73,CUSTOMERS!$A:$F,6),"")</f>
        <v>N</v>
      </c>
      <c r="AU73" s="69">
        <f>IFERROR(VLOOKUP(A73,CUSTOMERS!$A:$E,4),"")</f>
        <v>-150</v>
      </c>
      <c r="AV73" s="68" t="str">
        <f t="shared" si="85"/>
        <v/>
      </c>
      <c r="AW73" s="70" t="str">
        <f t="shared" si="115"/>
        <v>descr73</v>
      </c>
      <c r="AX73" s="71" t="str">
        <f t="shared" si="17"/>
        <v>reason73</v>
      </c>
    </row>
    <row r="74" spans="1:50" ht="40.5" customHeight="1" thickTop="1" thickBot="1">
      <c r="A74" s="120" t="s">
        <v>27</v>
      </c>
      <c r="B74" s="120" t="str">
        <f t="shared" si="113"/>
        <v>N</v>
      </c>
      <c r="C74" s="120"/>
      <c r="D74" s="121">
        <v>33669</v>
      </c>
      <c r="E74" s="121"/>
      <c r="F74" s="122" t="str">
        <f t="shared" si="114"/>
        <v>PRD-BLG-2020-33669</v>
      </c>
      <c r="G74" s="123" t="s">
        <v>339</v>
      </c>
      <c r="H74" s="124" t="s">
        <v>475</v>
      </c>
      <c r="I74" s="239"/>
      <c r="J74" s="80">
        <f t="shared" si="2"/>
        <v>0</v>
      </c>
      <c r="K74" s="177">
        <f>MAX(L74:R74)</f>
        <v>44098</v>
      </c>
      <c r="L74" s="141">
        <v>44098</v>
      </c>
      <c r="M74" s="142"/>
      <c r="N74" s="142"/>
      <c r="O74" s="142"/>
      <c r="P74" s="142"/>
      <c r="Q74" s="199" t="s">
        <v>15</v>
      </c>
      <c r="R74" s="199" t="s">
        <v>31</v>
      </c>
      <c r="S74" s="199"/>
      <c r="T74" s="199"/>
      <c r="U74" s="199"/>
      <c r="V74" s="199"/>
      <c r="W74" s="199"/>
      <c r="X74" s="144" t="s">
        <v>476</v>
      </c>
      <c r="Y74" s="173">
        <f t="shared" si="61"/>
        <v>0</v>
      </c>
      <c r="Z74" s="83">
        <f t="shared" si="5"/>
        <v>0</v>
      </c>
      <c r="AA74" s="84">
        <f t="shared" si="111"/>
        <v>0</v>
      </c>
      <c r="AB74" s="84">
        <f t="shared" si="60"/>
        <v>0</v>
      </c>
      <c r="AC74" s="84">
        <f t="shared" si="8"/>
        <v>0</v>
      </c>
      <c r="AD74" s="84"/>
      <c r="AE74" s="84">
        <f t="shared" si="20"/>
        <v>0</v>
      </c>
      <c r="AF74" s="84">
        <f t="shared" si="63"/>
        <v>0</v>
      </c>
      <c r="AG74" s="94">
        <f t="shared" si="21"/>
        <v>0</v>
      </c>
      <c r="AH74" s="85">
        <f>IFERROR(VLOOKUP(A74,CUSTOMERS!$A:$E,4),"")</f>
        <v>-150</v>
      </c>
      <c r="AI74" s="86" t="str">
        <f t="shared" si="112"/>
        <v/>
      </c>
      <c r="AJ74" s="87">
        <f>IFERROR(VLOOKUP(A74,CUSTOMERS!$A:$F,5),"")</f>
        <v>0</v>
      </c>
      <c r="AK74" s="96"/>
      <c r="AL74" s="96">
        <v>0</v>
      </c>
      <c r="AM74" s="96">
        <v>0</v>
      </c>
      <c r="AN74" s="96"/>
      <c r="AO74" s="96">
        <v>0</v>
      </c>
      <c r="AP74" s="102">
        <f t="shared" si="13"/>
        <v>0</v>
      </c>
      <c r="AQ74" s="102">
        <f t="shared" si="110"/>
        <v>0</v>
      </c>
      <c r="AR74" s="68" t="str">
        <f>IFERROR(VLOOKUP(A74,CUSTOMERS!$A:$B,2),"")</f>
        <v>PRD</v>
      </c>
      <c r="AS74" s="68" t="str">
        <f>IFERROR(VLOOKUP(A74,CUSTOMERS!$A:$D,3),"")</f>
        <v>BLG</v>
      </c>
      <c r="AT74" s="68" t="str">
        <f>IFERROR(VLOOKUP(A74,CUSTOMERS!$A:$F,6),"")</f>
        <v>N</v>
      </c>
      <c r="AU74" s="69">
        <f>IFERROR(VLOOKUP(A74,CUSTOMERS!$A:$E,4),"")</f>
        <v>-150</v>
      </c>
      <c r="AV74" s="68" t="str">
        <f t="shared" si="85"/>
        <v/>
      </c>
      <c r="AW74" s="70" t="str">
        <f t="shared" si="115"/>
        <v>descr74</v>
      </c>
      <c r="AX74" s="71" t="str">
        <f t="shared" si="17"/>
        <v>reason74</v>
      </c>
    </row>
    <row r="75" spans="1:50" ht="40.5" customHeight="1" thickTop="1" thickBot="1">
      <c r="A75" s="120" t="s">
        <v>27</v>
      </c>
      <c r="B75" s="120" t="str">
        <f t="shared" si="113"/>
        <v>N</v>
      </c>
      <c r="C75" s="120"/>
      <c r="D75" s="121">
        <v>27428</v>
      </c>
      <c r="E75" s="121"/>
      <c r="F75" s="122" t="str">
        <f t="shared" si="114"/>
        <v>PRD-BLG-2020-27428</v>
      </c>
      <c r="G75" s="123" t="s">
        <v>291</v>
      </c>
      <c r="H75" s="124" t="s">
        <v>477</v>
      </c>
      <c r="I75" s="239"/>
      <c r="J75" s="80">
        <f t="shared" si="2"/>
        <v>0</v>
      </c>
      <c r="K75" s="177">
        <v>44152</v>
      </c>
      <c r="L75" s="141">
        <v>44098</v>
      </c>
      <c r="M75" s="142"/>
      <c r="N75" s="142"/>
      <c r="O75" s="142"/>
      <c r="P75" s="142"/>
      <c r="Q75" s="199" t="s">
        <v>15</v>
      </c>
      <c r="R75" s="199" t="s">
        <v>31</v>
      </c>
      <c r="S75" s="199"/>
      <c r="T75" s="199"/>
      <c r="U75" s="199"/>
      <c r="V75" s="199"/>
      <c r="W75" s="199"/>
      <c r="X75" s="144" t="s">
        <v>474</v>
      </c>
      <c r="Y75" s="173">
        <f t="shared" si="61"/>
        <v>0</v>
      </c>
      <c r="Z75" s="83">
        <f t="shared" si="5"/>
        <v>0</v>
      </c>
      <c r="AA75" s="84">
        <f t="shared" si="111"/>
        <v>0</v>
      </c>
      <c r="AB75" s="84">
        <f t="shared" si="60"/>
        <v>0</v>
      </c>
      <c r="AC75" s="84">
        <f t="shared" si="8"/>
        <v>0</v>
      </c>
      <c r="AD75" s="84"/>
      <c r="AE75" s="84">
        <f t="shared" si="20"/>
        <v>0</v>
      </c>
      <c r="AF75" s="84">
        <f t="shared" si="63"/>
        <v>0</v>
      </c>
      <c r="AG75" s="94">
        <f t="shared" si="21"/>
        <v>0</v>
      </c>
      <c r="AH75" s="85">
        <f>IFERROR(VLOOKUP(A75,CUSTOMERS!$A:$E,4),"")</f>
        <v>-150</v>
      </c>
      <c r="AI75" s="86" t="str">
        <f t="shared" si="112"/>
        <v/>
      </c>
      <c r="AJ75" s="87">
        <f>IFERROR(VLOOKUP(A75,CUSTOMERS!$A:$F,5),"")</f>
        <v>0</v>
      </c>
      <c r="AK75" s="96"/>
      <c r="AL75" s="96">
        <v>0</v>
      </c>
      <c r="AM75" s="96">
        <v>0</v>
      </c>
      <c r="AN75" s="96"/>
      <c r="AO75" s="96">
        <v>0</v>
      </c>
      <c r="AP75" s="102">
        <f t="shared" si="13"/>
        <v>0</v>
      </c>
      <c r="AQ75" s="102">
        <f t="shared" si="110"/>
        <v>0</v>
      </c>
      <c r="AR75" s="68" t="str">
        <f>IFERROR(VLOOKUP(A75,CUSTOMERS!$A:$B,2),"")</f>
        <v>PRD</v>
      </c>
      <c r="AS75" s="68" t="str">
        <f>IFERROR(VLOOKUP(A75,CUSTOMERS!$A:$D,3),"")</f>
        <v>BLG</v>
      </c>
      <c r="AT75" s="68" t="str">
        <f>IFERROR(VLOOKUP(A75,CUSTOMERS!$A:$F,6),"")</f>
        <v>N</v>
      </c>
      <c r="AU75" s="69">
        <f>IFERROR(VLOOKUP(A75,CUSTOMERS!$A:$E,4),"")</f>
        <v>-150</v>
      </c>
      <c r="AV75" s="68" t="str">
        <f t="shared" si="85"/>
        <v/>
      </c>
      <c r="AW75" s="70" t="str">
        <f t="shared" si="115"/>
        <v>descr75</v>
      </c>
      <c r="AX75" s="71" t="str">
        <f t="shared" si="17"/>
        <v>reason75</v>
      </c>
    </row>
    <row r="76" spans="1:50" ht="40.5" customHeight="1" thickTop="1" thickBot="1">
      <c r="A76" s="120" t="s">
        <v>27</v>
      </c>
      <c r="B76" s="120" t="str">
        <f t="shared" si="113"/>
        <v>N</v>
      </c>
      <c r="C76" s="120"/>
      <c r="D76" s="121"/>
      <c r="E76" s="121"/>
      <c r="F76" s="122" t="str">
        <f t="shared" si="114"/>
        <v>PRD-BLG-2020-00000</v>
      </c>
      <c r="G76" s="123" t="s">
        <v>35</v>
      </c>
      <c r="H76" s="124" t="s">
        <v>41</v>
      </c>
      <c r="I76" s="239"/>
      <c r="J76" s="80">
        <f t="shared" si="2"/>
        <v>0</v>
      </c>
      <c r="K76" s="177">
        <f t="shared" ref="K76:K115" si="116">MAX(L76:R76)</f>
        <v>44153</v>
      </c>
      <c r="L76" s="141">
        <v>44153</v>
      </c>
      <c r="M76" s="142"/>
      <c r="N76" s="142"/>
      <c r="O76" s="142"/>
      <c r="P76" s="142"/>
      <c r="Q76" s="199" t="s">
        <v>15</v>
      </c>
      <c r="R76" s="199" t="s">
        <v>42</v>
      </c>
      <c r="S76" s="199" t="s">
        <v>311</v>
      </c>
      <c r="T76" s="199"/>
      <c r="U76" s="199"/>
      <c r="V76" s="199"/>
      <c r="W76" s="199"/>
      <c r="X76" s="144" t="s">
        <v>478</v>
      </c>
      <c r="Y76" s="173">
        <f t="shared" si="61"/>
        <v>0</v>
      </c>
      <c r="Z76" s="83">
        <f t="shared" si="5"/>
        <v>0</v>
      </c>
      <c r="AA76" s="84">
        <f t="shared" si="111"/>
        <v>0</v>
      </c>
      <c r="AB76" s="84">
        <f t="shared" si="60"/>
        <v>0</v>
      </c>
      <c r="AC76" s="84">
        <f t="shared" si="8"/>
        <v>0</v>
      </c>
      <c r="AD76" s="84"/>
      <c r="AE76" s="84">
        <f t="shared" si="20"/>
        <v>0</v>
      </c>
      <c r="AF76" s="84">
        <f t="shared" si="63"/>
        <v>0</v>
      </c>
      <c r="AG76" s="94">
        <f t="shared" si="21"/>
        <v>0</v>
      </c>
      <c r="AH76" s="85">
        <f>IFERROR(VLOOKUP(A76,CUSTOMERS!$A:$E,4),"")</f>
        <v>-150</v>
      </c>
      <c r="AI76" s="86" t="str">
        <f t="shared" si="112"/>
        <v/>
      </c>
      <c r="AJ76" s="87">
        <f>IFERROR(VLOOKUP(A76,CUSTOMERS!$A:$F,5),"")</f>
        <v>0</v>
      </c>
      <c r="AK76" s="96"/>
      <c r="AL76" s="96">
        <v>0</v>
      </c>
      <c r="AM76" s="96">
        <v>0</v>
      </c>
      <c r="AN76" s="96"/>
      <c r="AO76" s="96">
        <v>0</v>
      </c>
      <c r="AP76" s="103">
        <f t="shared" si="13"/>
        <v>0</v>
      </c>
      <c r="AQ76" s="103">
        <f t="shared" si="110"/>
        <v>0</v>
      </c>
      <c r="AR76" s="68" t="str">
        <f>IFERROR(VLOOKUP(A76,CUSTOMERS!$A:$B,2),"")</f>
        <v>PRD</v>
      </c>
      <c r="AS76" s="68" t="str">
        <f>IFERROR(VLOOKUP(A76,CUSTOMERS!$A:$D,3),"")</f>
        <v>BLG</v>
      </c>
      <c r="AT76" s="68" t="str">
        <f>IFERROR(VLOOKUP(A76,CUSTOMERS!$A:$F,6),"")</f>
        <v>N</v>
      </c>
      <c r="AU76" s="69">
        <f>IFERROR(VLOOKUP(A76,CUSTOMERS!$A:$E,4),"")</f>
        <v>-150</v>
      </c>
      <c r="AV76" s="68" t="str">
        <f t="shared" si="85"/>
        <v/>
      </c>
      <c r="AW76" s="74" t="s">
        <v>479</v>
      </c>
      <c r="AX76" s="75" t="s">
        <v>480</v>
      </c>
    </row>
    <row r="77" spans="1:50" ht="40.5" customHeight="1" thickTop="1" thickBot="1">
      <c r="A77" s="120" t="s">
        <v>27</v>
      </c>
      <c r="B77" s="120" t="str">
        <f t="shared" si="113"/>
        <v>N</v>
      </c>
      <c r="C77" s="120"/>
      <c r="D77" s="121"/>
      <c r="E77" s="121"/>
      <c r="F77" s="122" t="str">
        <f t="shared" si="114"/>
        <v>PRD-BLG-2020-00000</v>
      </c>
      <c r="G77" s="123" t="s">
        <v>35</v>
      </c>
      <c r="H77" s="124" t="s">
        <v>43</v>
      </c>
      <c r="I77" s="239"/>
      <c r="J77" s="80">
        <f t="shared" si="2"/>
        <v>0</v>
      </c>
      <c r="K77" s="177">
        <f t="shared" si="116"/>
        <v>44153</v>
      </c>
      <c r="L77" s="141">
        <v>44153</v>
      </c>
      <c r="M77" s="142"/>
      <c r="N77" s="142"/>
      <c r="O77" s="142"/>
      <c r="P77" s="142"/>
      <c r="Q77" s="199" t="s">
        <v>15</v>
      </c>
      <c r="R77" s="199" t="s">
        <v>42</v>
      </c>
      <c r="S77" s="199" t="s">
        <v>308</v>
      </c>
      <c r="T77" s="199"/>
      <c r="U77" s="199"/>
      <c r="V77" s="199"/>
      <c r="W77" s="199"/>
      <c r="X77" s="144" t="s">
        <v>481</v>
      </c>
      <c r="Y77" s="173">
        <f t="shared" si="61"/>
        <v>0</v>
      </c>
      <c r="Z77" s="83">
        <f t="shared" si="5"/>
        <v>0</v>
      </c>
      <c r="AA77" s="84">
        <f t="shared" si="111"/>
        <v>0</v>
      </c>
      <c r="AB77" s="84">
        <f t="shared" si="60"/>
        <v>0</v>
      </c>
      <c r="AC77" s="84">
        <f t="shared" si="8"/>
        <v>0</v>
      </c>
      <c r="AD77" s="84"/>
      <c r="AE77" s="84">
        <f t="shared" si="20"/>
        <v>0</v>
      </c>
      <c r="AF77" s="84">
        <f t="shared" si="63"/>
        <v>0</v>
      </c>
      <c r="AG77" s="94">
        <f t="shared" si="21"/>
        <v>0</v>
      </c>
      <c r="AH77" s="85">
        <f>IFERROR(VLOOKUP(A77,CUSTOMERS!$A:$E,4),"")</f>
        <v>-150</v>
      </c>
      <c r="AI77" s="86" t="str">
        <f t="shared" si="112"/>
        <v/>
      </c>
      <c r="AJ77" s="87">
        <f>IFERROR(VLOOKUP(A77,CUSTOMERS!$A:$F,5),"")</f>
        <v>0</v>
      </c>
      <c r="AK77" s="96"/>
      <c r="AL77" s="96">
        <v>0</v>
      </c>
      <c r="AM77" s="96">
        <v>0</v>
      </c>
      <c r="AN77" s="96"/>
      <c r="AO77" s="96">
        <v>0</v>
      </c>
      <c r="AP77" s="103">
        <f t="shared" si="13"/>
        <v>0</v>
      </c>
      <c r="AQ77" s="103">
        <f t="shared" si="110"/>
        <v>0</v>
      </c>
      <c r="AR77" s="68" t="str">
        <f>IFERROR(VLOOKUP(A77,CUSTOMERS!$A:$B,2),"")</f>
        <v>PRD</v>
      </c>
      <c r="AS77" s="68" t="str">
        <f>IFERROR(VLOOKUP(A77,CUSTOMERS!$A:$D,3),"")</f>
        <v>BLG</v>
      </c>
      <c r="AT77" s="68" t="str">
        <f>IFERROR(VLOOKUP(A77,CUSTOMERS!$A:$F,6),"")</f>
        <v>N</v>
      </c>
      <c r="AU77" s="69">
        <f>IFERROR(VLOOKUP(A77,CUSTOMERS!$A:$E,4),"")</f>
        <v>-150</v>
      </c>
      <c r="AV77" s="68" t="str">
        <f t="shared" si="85"/>
        <v/>
      </c>
      <c r="AW77" s="70" t="str">
        <f t="shared" si="115"/>
        <v>descr77</v>
      </c>
      <c r="AX77" s="71" t="str">
        <f t="shared" si="17"/>
        <v>reason77</v>
      </c>
    </row>
    <row r="78" spans="1:50" ht="40.5" customHeight="1" thickTop="1" thickBot="1">
      <c r="A78" s="188" t="s">
        <v>27</v>
      </c>
      <c r="B78" s="120" t="str">
        <f t="shared" si="113"/>
        <v>N</v>
      </c>
      <c r="C78" s="120"/>
      <c r="D78" s="121"/>
      <c r="E78" s="121"/>
      <c r="F78" s="122" t="str">
        <f t="shared" si="114"/>
        <v>PRD-BLG-2020-00000</v>
      </c>
      <c r="G78" s="123" t="s">
        <v>200</v>
      </c>
      <c r="H78" s="124" t="s">
        <v>482</v>
      </c>
      <c r="I78" s="239"/>
      <c r="J78" s="80">
        <f t="shared" si="2"/>
        <v>0</v>
      </c>
      <c r="K78" s="177">
        <f t="shared" si="116"/>
        <v>44153</v>
      </c>
      <c r="L78" s="141">
        <v>44153</v>
      </c>
      <c r="M78" s="142"/>
      <c r="N78" s="142"/>
      <c r="O78" s="142"/>
      <c r="P78" s="142"/>
      <c r="Q78" s="199" t="s">
        <v>18</v>
      </c>
      <c r="R78" s="199" t="s">
        <v>4</v>
      </c>
      <c r="S78" s="199"/>
      <c r="T78" s="199"/>
      <c r="U78" s="199"/>
      <c r="V78" s="199"/>
      <c r="W78" s="199"/>
      <c r="X78" s="144" t="s">
        <v>483</v>
      </c>
      <c r="Y78" s="173">
        <f t="shared" si="61"/>
        <v>0</v>
      </c>
      <c r="Z78" s="83">
        <f t="shared" si="5"/>
        <v>0</v>
      </c>
      <c r="AA78" s="84">
        <f t="shared" si="111"/>
        <v>0</v>
      </c>
      <c r="AB78" s="84">
        <f t="shared" si="60"/>
        <v>0</v>
      </c>
      <c r="AC78" s="84">
        <f t="shared" si="8"/>
        <v>0</v>
      </c>
      <c r="AD78" s="84"/>
      <c r="AE78" s="84">
        <f t="shared" si="20"/>
        <v>0</v>
      </c>
      <c r="AF78" s="84">
        <f t="shared" si="63"/>
        <v>0</v>
      </c>
      <c r="AG78" s="94">
        <f t="shared" si="21"/>
        <v>0</v>
      </c>
      <c r="AH78" s="85">
        <f>IFERROR(VLOOKUP(A78,CUSTOMERS!$A:$E,4),"")</f>
        <v>-150</v>
      </c>
      <c r="AI78" s="86" t="str">
        <f t="shared" si="112"/>
        <v/>
      </c>
      <c r="AJ78" s="87">
        <f>IFERROR(VLOOKUP(A78,CUSTOMERS!$A:$F,5),"")</f>
        <v>0</v>
      </c>
      <c r="AK78" s="96"/>
      <c r="AL78" s="96">
        <v>0</v>
      </c>
      <c r="AM78" s="96">
        <v>0</v>
      </c>
      <c r="AN78" s="96"/>
      <c r="AO78" s="96">
        <v>0</v>
      </c>
      <c r="AP78" s="103">
        <f t="shared" si="13"/>
        <v>0</v>
      </c>
      <c r="AQ78" s="103">
        <f t="shared" si="110"/>
        <v>0</v>
      </c>
      <c r="AR78" s="68" t="str">
        <f>IFERROR(VLOOKUP(A78,CUSTOMERS!$A:$B,2),"")</f>
        <v>PRD</v>
      </c>
      <c r="AS78" s="68" t="str">
        <f>IFERROR(VLOOKUP(A78,CUSTOMERS!$A:$D,3),"")</f>
        <v>BLG</v>
      </c>
      <c r="AT78" s="68" t="str">
        <f>IFERROR(VLOOKUP(A78,CUSTOMERS!$A:$F,6),"")</f>
        <v>N</v>
      </c>
      <c r="AU78" s="69">
        <f>IFERROR(VLOOKUP(A78,CUSTOMERS!$A:$E,4),"")</f>
        <v>-150</v>
      </c>
      <c r="AV78" s="68" t="str">
        <f t="shared" si="85"/>
        <v/>
      </c>
      <c r="AW78" s="70" t="str">
        <f t="shared" si="115"/>
        <v>descr78</v>
      </c>
      <c r="AX78" s="71" t="str">
        <f t="shared" si="17"/>
        <v>reason78</v>
      </c>
    </row>
    <row r="79" spans="1:50" ht="40.5" customHeight="1" thickTop="1" thickBot="1">
      <c r="A79" s="188" t="s">
        <v>27</v>
      </c>
      <c r="B79" s="120" t="str">
        <f t="shared" si="113"/>
        <v>N</v>
      </c>
      <c r="C79" s="120"/>
      <c r="D79" s="121">
        <v>33783</v>
      </c>
      <c r="E79" s="121"/>
      <c r="F79" s="122" t="str">
        <f t="shared" si="114"/>
        <v>PRD-BLG-2021-33783</v>
      </c>
      <c r="G79" s="207" t="s">
        <v>339</v>
      </c>
      <c r="H79" s="124" t="s">
        <v>484</v>
      </c>
      <c r="I79" s="239"/>
      <c r="J79" s="80">
        <f t="shared" si="2"/>
        <v>0</v>
      </c>
      <c r="K79" s="177">
        <f t="shared" si="116"/>
        <v>44200</v>
      </c>
      <c r="L79" s="141">
        <v>44200</v>
      </c>
      <c r="M79" s="142"/>
      <c r="N79" s="142"/>
      <c r="O79" s="142"/>
      <c r="P79" s="142"/>
      <c r="Q79" s="199" t="s">
        <v>15</v>
      </c>
      <c r="R79" s="199" t="s">
        <v>4</v>
      </c>
      <c r="S79" s="199"/>
      <c r="T79" s="199"/>
      <c r="U79" s="199"/>
      <c r="V79" s="199"/>
      <c r="W79" s="199"/>
      <c r="X79" s="144" t="s">
        <v>485</v>
      </c>
      <c r="Y79" s="173">
        <f t="shared" si="61"/>
        <v>0</v>
      </c>
      <c r="Z79" s="83">
        <f t="shared" si="5"/>
        <v>0</v>
      </c>
      <c r="AA79" s="84">
        <f t="shared" si="111"/>
        <v>0</v>
      </c>
      <c r="AB79" s="84">
        <f t="shared" si="60"/>
        <v>0</v>
      </c>
      <c r="AC79" s="84">
        <f t="shared" si="8"/>
        <v>0</v>
      </c>
      <c r="AD79" s="84"/>
      <c r="AE79" s="84">
        <f t="shared" si="20"/>
        <v>0</v>
      </c>
      <c r="AF79" s="84">
        <f t="shared" si="63"/>
        <v>0</v>
      </c>
      <c r="AG79" s="94">
        <f t="shared" si="21"/>
        <v>0</v>
      </c>
      <c r="AH79" s="85">
        <f>IFERROR(VLOOKUP(A79,CUSTOMERS!$A:$E,4),"")</f>
        <v>-150</v>
      </c>
      <c r="AI79" s="86" t="str">
        <f t="shared" si="112"/>
        <v/>
      </c>
      <c r="AJ79" s="87">
        <f>IFERROR(VLOOKUP(A79,CUSTOMERS!$A:$F,5),"")</f>
        <v>0</v>
      </c>
      <c r="AK79" s="96"/>
      <c r="AL79" s="96">
        <v>0</v>
      </c>
      <c r="AM79" s="96">
        <v>0</v>
      </c>
      <c r="AN79" s="96"/>
      <c r="AO79" s="96">
        <v>0</v>
      </c>
      <c r="AP79" s="103">
        <f t="shared" si="13"/>
        <v>0</v>
      </c>
      <c r="AQ79" s="103">
        <f t="shared" si="110"/>
        <v>0</v>
      </c>
      <c r="AR79" s="68" t="str">
        <f>IFERROR(VLOOKUP(A79,CUSTOMERS!$A:$B,2),"")</f>
        <v>PRD</v>
      </c>
      <c r="AS79" s="68" t="str">
        <f>IFERROR(VLOOKUP(A79,CUSTOMERS!$A:$D,3),"")</f>
        <v>BLG</v>
      </c>
      <c r="AT79" s="68" t="str">
        <f>IFERROR(VLOOKUP(A79,CUSTOMERS!$A:$F,6),"")</f>
        <v>N</v>
      </c>
      <c r="AU79" s="69">
        <f>IFERROR(VLOOKUP(A79,CUSTOMERS!$A:$E,4),"")</f>
        <v>-150</v>
      </c>
      <c r="AV79" s="68" t="str">
        <f t="shared" si="85"/>
        <v/>
      </c>
      <c r="AW79" s="70" t="str">
        <f t="shared" si="115"/>
        <v>descr79</v>
      </c>
      <c r="AX79" s="71" t="str">
        <f t="shared" si="17"/>
        <v>reason79</v>
      </c>
    </row>
    <row r="80" spans="1:50" ht="40.5" customHeight="1" thickTop="1" thickBot="1">
      <c r="A80" s="188" t="s">
        <v>27</v>
      </c>
      <c r="B80" s="120" t="str">
        <f t="shared" si="113"/>
        <v>N</v>
      </c>
      <c r="C80" s="120"/>
      <c r="D80" s="121">
        <v>33765</v>
      </c>
      <c r="E80" s="121"/>
      <c r="F80" s="122" t="str">
        <f t="shared" si="114"/>
        <v>PRD-BLG-2021-33765</v>
      </c>
      <c r="G80" s="207" t="s">
        <v>339</v>
      </c>
      <c r="H80" s="124" t="s">
        <v>486</v>
      </c>
      <c r="I80" s="239"/>
      <c r="J80" s="80">
        <f t="shared" si="2"/>
        <v>0</v>
      </c>
      <c r="K80" s="177">
        <f t="shared" si="116"/>
        <v>44200</v>
      </c>
      <c r="L80" s="141">
        <v>44200</v>
      </c>
      <c r="M80" s="147"/>
      <c r="N80" s="147"/>
      <c r="O80" s="147"/>
      <c r="P80" s="147"/>
      <c r="Q80" s="199" t="s">
        <v>295</v>
      </c>
      <c r="R80" s="199" t="s">
        <v>4</v>
      </c>
      <c r="S80" s="199"/>
      <c r="T80" s="199"/>
      <c r="U80" s="199"/>
      <c r="V80" s="199"/>
      <c r="W80" s="199"/>
      <c r="X80" s="144" t="s">
        <v>485</v>
      </c>
      <c r="Y80" s="173">
        <f t="shared" si="61"/>
        <v>0</v>
      </c>
      <c r="Z80" s="83">
        <f t="shared" si="5"/>
        <v>0</v>
      </c>
      <c r="AA80" s="84">
        <f t="shared" si="111"/>
        <v>0</v>
      </c>
      <c r="AB80" s="84">
        <f t="shared" si="60"/>
        <v>0</v>
      </c>
      <c r="AC80" s="84">
        <f t="shared" si="8"/>
        <v>0</v>
      </c>
      <c r="AD80" s="84"/>
      <c r="AE80" s="84">
        <f t="shared" si="20"/>
        <v>0</v>
      </c>
      <c r="AF80" s="84">
        <f t="shared" si="63"/>
        <v>0</v>
      </c>
      <c r="AG80" s="94">
        <f t="shared" si="21"/>
        <v>0</v>
      </c>
      <c r="AH80" s="85">
        <f>IFERROR(VLOOKUP(A80,CUSTOMERS!$A:$E,4),"")</f>
        <v>-150</v>
      </c>
      <c r="AI80" s="86" t="str">
        <f t="shared" si="112"/>
        <v/>
      </c>
      <c r="AJ80" s="87">
        <f>IFERROR(VLOOKUP(A80,CUSTOMERS!$A:$F,5),"")</f>
        <v>0</v>
      </c>
      <c r="AK80" s="96"/>
      <c r="AL80" s="96">
        <v>0</v>
      </c>
      <c r="AM80" s="96">
        <v>0</v>
      </c>
      <c r="AN80" s="96"/>
      <c r="AO80" s="96">
        <v>0</v>
      </c>
      <c r="AP80" s="103">
        <f t="shared" si="13"/>
        <v>0</v>
      </c>
      <c r="AQ80" s="103">
        <f t="shared" si="110"/>
        <v>0</v>
      </c>
      <c r="AR80" s="68" t="str">
        <f>IFERROR(VLOOKUP(A80,CUSTOMERS!$A:$B,2),"")</f>
        <v>PRD</v>
      </c>
      <c r="AS80" s="68" t="str">
        <f>IFERROR(VLOOKUP(A80,CUSTOMERS!$A:$D,3),"")</f>
        <v>BLG</v>
      </c>
      <c r="AT80" s="68" t="str">
        <f>IFERROR(VLOOKUP(A80,CUSTOMERS!$A:$F,6),"")</f>
        <v>N</v>
      </c>
      <c r="AU80" s="69">
        <f>IFERROR(VLOOKUP(A80,CUSTOMERS!$A:$E,4),"")</f>
        <v>-150</v>
      </c>
      <c r="AV80" s="68" t="str">
        <f t="shared" si="85"/>
        <v/>
      </c>
      <c r="AW80" s="70" t="str">
        <f t="shared" si="115"/>
        <v>descr80</v>
      </c>
      <c r="AX80" s="71" t="str">
        <f t="shared" si="17"/>
        <v>reason80</v>
      </c>
    </row>
    <row r="81" spans="1:50" ht="40.5" customHeight="1" thickTop="1" thickBot="1">
      <c r="A81" s="188" t="s">
        <v>27</v>
      </c>
      <c r="B81" s="120" t="str">
        <f t="shared" si="113"/>
        <v>N</v>
      </c>
      <c r="C81" s="120"/>
      <c r="D81" s="121">
        <v>33758</v>
      </c>
      <c r="E81" s="121"/>
      <c r="F81" s="122" t="str">
        <f t="shared" si="114"/>
        <v>PRD-BLG-2021-33758</v>
      </c>
      <c r="G81" s="207" t="s">
        <v>339</v>
      </c>
      <c r="H81" s="124" t="s">
        <v>487</v>
      </c>
      <c r="I81" s="239"/>
      <c r="J81" s="80">
        <f t="shared" si="2"/>
        <v>0</v>
      </c>
      <c r="K81" s="177">
        <f t="shared" si="116"/>
        <v>44200</v>
      </c>
      <c r="L81" s="141">
        <v>44200</v>
      </c>
      <c r="M81" s="147"/>
      <c r="N81" s="147"/>
      <c r="O81" s="147"/>
      <c r="P81" s="147"/>
      <c r="Q81" s="199" t="s">
        <v>295</v>
      </c>
      <c r="R81" s="199" t="s">
        <v>4</v>
      </c>
      <c r="S81" s="199"/>
      <c r="T81" s="199"/>
      <c r="U81" s="199"/>
      <c r="V81" s="199"/>
      <c r="W81" s="199"/>
      <c r="X81" s="144" t="s">
        <v>485</v>
      </c>
      <c r="Y81" s="173">
        <f t="shared" si="61"/>
        <v>0</v>
      </c>
      <c r="Z81" s="83">
        <f t="shared" si="5"/>
        <v>0</v>
      </c>
      <c r="AA81" s="84">
        <f t="shared" si="111"/>
        <v>0</v>
      </c>
      <c r="AB81" s="84">
        <f t="shared" si="60"/>
        <v>0</v>
      </c>
      <c r="AC81" s="84">
        <f t="shared" si="8"/>
        <v>0</v>
      </c>
      <c r="AD81" s="84"/>
      <c r="AE81" s="84">
        <f t="shared" si="20"/>
        <v>0</v>
      </c>
      <c r="AF81" s="84">
        <f t="shared" si="63"/>
        <v>0</v>
      </c>
      <c r="AG81" s="94">
        <f t="shared" si="21"/>
        <v>0</v>
      </c>
      <c r="AH81" s="85">
        <f>IFERROR(VLOOKUP(A81,CUSTOMERS!$A:$E,4),"")</f>
        <v>-150</v>
      </c>
      <c r="AI81" s="86" t="str">
        <f t="shared" si="112"/>
        <v/>
      </c>
      <c r="AJ81" s="87">
        <f>IFERROR(VLOOKUP(A81,CUSTOMERS!$A:$F,5),"")</f>
        <v>0</v>
      </c>
      <c r="AK81" s="96"/>
      <c r="AL81" s="96">
        <v>0</v>
      </c>
      <c r="AM81" s="96">
        <v>0</v>
      </c>
      <c r="AN81" s="96"/>
      <c r="AO81" s="96">
        <v>0</v>
      </c>
      <c r="AP81" s="103">
        <f t="shared" si="13"/>
        <v>0</v>
      </c>
      <c r="AQ81" s="103">
        <f t="shared" si="110"/>
        <v>0</v>
      </c>
      <c r="AR81" s="68" t="str">
        <f>IFERROR(VLOOKUP(A81,CUSTOMERS!$A:$B,2),"")</f>
        <v>PRD</v>
      </c>
      <c r="AS81" s="68" t="str">
        <f>IFERROR(VLOOKUP(A81,CUSTOMERS!$A:$D,3),"")</f>
        <v>BLG</v>
      </c>
      <c r="AT81" s="68" t="str">
        <f>IFERROR(VLOOKUP(A81,CUSTOMERS!$A:$F,6),"")</f>
        <v>N</v>
      </c>
      <c r="AU81" s="69">
        <f>IFERROR(VLOOKUP(A81,CUSTOMERS!$A:$E,4),"")</f>
        <v>-150</v>
      </c>
      <c r="AV81" s="68" t="str">
        <f t="shared" si="85"/>
        <v/>
      </c>
      <c r="AW81" s="70" t="str">
        <f t="shared" si="115"/>
        <v>descr81</v>
      </c>
      <c r="AX81" s="71" t="str">
        <f t="shared" si="17"/>
        <v>reason81</v>
      </c>
    </row>
    <row r="82" spans="1:50" ht="40.5" customHeight="1" thickTop="1" thickBot="1">
      <c r="A82" s="188" t="s">
        <v>27</v>
      </c>
      <c r="B82" s="120" t="str">
        <f t="shared" si="113"/>
        <v>N</v>
      </c>
      <c r="C82" s="120"/>
      <c r="D82" s="121">
        <v>2</v>
      </c>
      <c r="E82" s="121"/>
      <c r="F82" s="122" t="str">
        <f t="shared" si="114"/>
        <v>PRD-BLG-2021-00002</v>
      </c>
      <c r="G82" s="123" t="s">
        <v>35</v>
      </c>
      <c r="H82" s="124" t="s">
        <v>45</v>
      </c>
      <c r="I82" s="239"/>
      <c r="J82" s="80">
        <f t="shared" ref="J82:J146" si="117">Y82</f>
        <v>0</v>
      </c>
      <c r="K82" s="177">
        <f t="shared" si="116"/>
        <v>44216</v>
      </c>
      <c r="L82" s="146">
        <v>44216</v>
      </c>
      <c r="M82" s="147"/>
      <c r="N82" s="147"/>
      <c r="O82" s="147"/>
      <c r="P82" s="147"/>
      <c r="Q82" s="199" t="s">
        <v>15</v>
      </c>
      <c r="R82" s="199" t="s">
        <v>42</v>
      </c>
      <c r="S82" s="199" t="s">
        <v>308</v>
      </c>
      <c r="T82" s="199"/>
      <c r="U82" s="199"/>
      <c r="V82" s="199"/>
      <c r="W82" s="199"/>
      <c r="X82" s="144" t="s">
        <v>488</v>
      </c>
      <c r="Y82" s="173">
        <f t="shared" si="61"/>
        <v>0</v>
      </c>
      <c r="Z82" s="83">
        <f t="shared" ref="Z82:Z146" si="118">IFERROR((AK82*AH82)*7.5,"")</f>
        <v>0</v>
      </c>
      <c r="AA82" s="84">
        <f t="shared" si="111"/>
        <v>0</v>
      </c>
      <c r="AB82" s="84">
        <f t="shared" si="60"/>
        <v>0</v>
      </c>
      <c r="AC82" s="84">
        <f t="shared" ref="AC82:AC146" si="119">IFERROR((AN82*AH82)*7.5,"")</f>
        <v>0</v>
      </c>
      <c r="AD82" s="84"/>
      <c r="AE82" s="84">
        <f t="shared" si="20"/>
        <v>0</v>
      </c>
      <c r="AF82" s="84">
        <f t="shared" ref="AF82:AF114" si="120">IFERROR(SUM(Z82:AE82),"")</f>
        <v>0</v>
      </c>
      <c r="AG82" s="94">
        <f t="shared" si="21"/>
        <v>0</v>
      </c>
      <c r="AH82" s="85">
        <f>IFERROR(VLOOKUP(A82,CUSTOMERS!$A:$E,4),"")</f>
        <v>-150</v>
      </c>
      <c r="AI82" s="86" t="str">
        <f t="shared" si="112"/>
        <v/>
      </c>
      <c r="AJ82" s="87">
        <f>IFERROR(VLOOKUP(A82,CUSTOMERS!$A:$F,5),"")</f>
        <v>0</v>
      </c>
      <c r="AK82" s="96"/>
      <c r="AL82" s="96">
        <v>0</v>
      </c>
      <c r="AM82" s="96"/>
      <c r="AN82" s="96"/>
      <c r="AO82" s="96">
        <v>0</v>
      </c>
      <c r="AP82" s="103">
        <f t="shared" ref="AP82:AP146" si="121">SUM(AK82:AO82)</f>
        <v>0</v>
      </c>
      <c r="AQ82" s="103">
        <f t="shared" si="110"/>
        <v>0</v>
      </c>
      <c r="AR82" s="68" t="str">
        <f>IFERROR(VLOOKUP(A82,CUSTOMERS!$A:$B,2),"")</f>
        <v>PRD</v>
      </c>
      <c r="AS82" s="68" t="str">
        <f>IFERROR(VLOOKUP(A82,CUSTOMERS!$A:$D,3),"")</f>
        <v>BLG</v>
      </c>
      <c r="AT82" s="68" t="str">
        <f>IFERROR(VLOOKUP(A82,CUSTOMERS!$A:$F,6),"")</f>
        <v>N</v>
      </c>
      <c r="AU82" s="69">
        <f>IFERROR(VLOOKUP(A82,CUSTOMERS!$A:$E,4),"")</f>
        <v>-150</v>
      </c>
      <c r="AV82" s="68" t="str">
        <f t="shared" si="85"/>
        <v/>
      </c>
      <c r="AW82" s="74" t="s">
        <v>489</v>
      </c>
      <c r="AX82" s="75" t="s">
        <v>490</v>
      </c>
    </row>
    <row r="83" spans="1:50" ht="40.5" customHeight="1" thickTop="1" thickBot="1">
      <c r="A83" s="188" t="s">
        <v>27</v>
      </c>
      <c r="B83" s="120" t="str">
        <f t="shared" si="113"/>
        <v>N</v>
      </c>
      <c r="C83" s="120"/>
      <c r="D83" s="121"/>
      <c r="E83" s="121"/>
      <c r="F83" s="122" t="str">
        <f t="shared" si="114"/>
        <v>PRD-BLG-2021-00000</v>
      </c>
      <c r="G83" s="207" t="s">
        <v>339</v>
      </c>
      <c r="H83" s="124" t="s">
        <v>491</v>
      </c>
      <c r="I83" s="239"/>
      <c r="J83" s="80">
        <f t="shared" si="117"/>
        <v>0</v>
      </c>
      <c r="K83" s="177">
        <f t="shared" si="116"/>
        <v>44236</v>
      </c>
      <c r="L83" s="146">
        <v>44236</v>
      </c>
      <c r="M83" s="147"/>
      <c r="N83" s="147"/>
      <c r="O83" s="147"/>
      <c r="P83" s="147"/>
      <c r="Q83" s="199" t="s">
        <v>15</v>
      </c>
      <c r="R83" s="199" t="s">
        <v>31</v>
      </c>
      <c r="S83" s="199"/>
      <c r="T83" s="199"/>
      <c r="U83" s="199"/>
      <c r="V83" s="199"/>
      <c r="W83" s="199"/>
      <c r="X83" s="144"/>
      <c r="Y83" s="173">
        <f t="shared" si="61"/>
        <v>0</v>
      </c>
      <c r="Z83" s="83">
        <f t="shared" si="118"/>
        <v>0</v>
      </c>
      <c r="AA83" s="84">
        <f t="shared" si="111"/>
        <v>0</v>
      </c>
      <c r="AB83" s="84">
        <f t="shared" si="60"/>
        <v>0</v>
      </c>
      <c r="AC83" s="84">
        <f t="shared" si="119"/>
        <v>0</v>
      </c>
      <c r="AD83" s="84"/>
      <c r="AE83" s="84">
        <f t="shared" si="20"/>
        <v>0</v>
      </c>
      <c r="AF83" s="84">
        <f t="shared" si="120"/>
        <v>0</v>
      </c>
      <c r="AG83" s="94">
        <f t="shared" si="21"/>
        <v>0</v>
      </c>
      <c r="AH83" s="85">
        <f>IFERROR(VLOOKUP(A83,CUSTOMERS!$A:$E,4),"")</f>
        <v>-150</v>
      </c>
      <c r="AI83" s="86" t="str">
        <f t="shared" si="112"/>
        <v/>
      </c>
      <c r="AJ83" s="87">
        <f>IFERROR(VLOOKUP(A83,CUSTOMERS!$A:$F,5),"")</f>
        <v>0</v>
      </c>
      <c r="AK83" s="96"/>
      <c r="AL83" s="96">
        <v>0</v>
      </c>
      <c r="AM83" s="96">
        <v>0</v>
      </c>
      <c r="AN83" s="96"/>
      <c r="AO83" s="96">
        <v>0</v>
      </c>
      <c r="AP83" s="103">
        <f t="shared" si="121"/>
        <v>0</v>
      </c>
      <c r="AQ83" s="103">
        <f t="shared" si="110"/>
        <v>0</v>
      </c>
      <c r="AR83" s="68" t="str">
        <f>IFERROR(VLOOKUP(A83,CUSTOMERS!$A:$B,2),"")</f>
        <v>PRD</v>
      </c>
      <c r="AS83" s="68" t="str">
        <f>IFERROR(VLOOKUP(A83,CUSTOMERS!$A:$D,3),"")</f>
        <v>BLG</v>
      </c>
      <c r="AT83" s="68" t="str">
        <f>IFERROR(VLOOKUP(A83,CUSTOMERS!$A:$F,6),"")</f>
        <v>N</v>
      </c>
      <c r="AU83" s="69">
        <f>IFERROR(VLOOKUP(A83,CUSTOMERS!$A:$E,4),"")</f>
        <v>-150</v>
      </c>
      <c r="AV83" s="68" t="str">
        <f t="shared" si="85"/>
        <v/>
      </c>
      <c r="AW83" s="74" t="s">
        <v>492</v>
      </c>
      <c r="AX83" s="75" t="s">
        <v>493</v>
      </c>
    </row>
    <row r="84" spans="1:50" ht="65.25" customHeight="1" thickTop="1" thickBot="1">
      <c r="A84" s="188" t="s">
        <v>27</v>
      </c>
      <c r="B84" s="120" t="str">
        <f t="shared" si="113"/>
        <v>N</v>
      </c>
      <c r="C84" s="120"/>
      <c r="D84" s="121"/>
      <c r="E84" s="121"/>
      <c r="F84" s="122" t="str">
        <f t="shared" si="114"/>
        <v>PRD-BLG-2021-00000</v>
      </c>
      <c r="G84" s="123" t="s">
        <v>29</v>
      </c>
      <c r="H84" s="124" t="s">
        <v>47</v>
      </c>
      <c r="I84" s="239"/>
      <c r="J84" s="80">
        <f t="shared" si="117"/>
        <v>0</v>
      </c>
      <c r="K84" s="177">
        <f t="shared" si="116"/>
        <v>44242</v>
      </c>
      <c r="L84" s="146">
        <v>44242</v>
      </c>
      <c r="M84" s="147"/>
      <c r="N84" s="147"/>
      <c r="O84" s="147"/>
      <c r="P84" s="147"/>
      <c r="Q84" s="199" t="s">
        <v>18</v>
      </c>
      <c r="R84" s="199" t="s">
        <v>25</v>
      </c>
      <c r="S84" s="199" t="s">
        <v>313</v>
      </c>
      <c r="T84" s="199"/>
      <c r="U84" s="199"/>
      <c r="V84" s="199"/>
      <c r="W84" s="199"/>
      <c r="X84" s="144"/>
      <c r="Y84" s="173">
        <f t="shared" si="61"/>
        <v>0</v>
      </c>
      <c r="Z84" s="83">
        <f t="shared" si="118"/>
        <v>0</v>
      </c>
      <c r="AA84" s="84">
        <f t="shared" si="111"/>
        <v>0</v>
      </c>
      <c r="AB84" s="84">
        <f t="shared" si="60"/>
        <v>0</v>
      </c>
      <c r="AC84" s="84">
        <f t="shared" si="119"/>
        <v>0</v>
      </c>
      <c r="AD84" s="84"/>
      <c r="AE84" s="84">
        <f t="shared" si="20"/>
        <v>0</v>
      </c>
      <c r="AF84" s="84">
        <f t="shared" si="120"/>
        <v>0</v>
      </c>
      <c r="AG84" s="94">
        <f t="shared" si="21"/>
        <v>0</v>
      </c>
      <c r="AH84" s="85">
        <f>IFERROR(VLOOKUP(A84,CUSTOMERS!$A:$E,4),"")</f>
        <v>-150</v>
      </c>
      <c r="AI84" s="86" t="str">
        <f t="shared" si="112"/>
        <v/>
      </c>
      <c r="AJ84" s="87">
        <f>IFERROR(VLOOKUP(A84,CUSTOMERS!$A:$F,5),"")</f>
        <v>0</v>
      </c>
      <c r="AK84" s="96"/>
      <c r="AL84" s="96">
        <v>0</v>
      </c>
      <c r="AM84" s="96">
        <v>0</v>
      </c>
      <c r="AN84" s="96"/>
      <c r="AO84" s="96">
        <v>0</v>
      </c>
      <c r="AP84" s="103">
        <f t="shared" si="121"/>
        <v>0</v>
      </c>
      <c r="AQ84" s="103">
        <f t="shared" si="110"/>
        <v>0</v>
      </c>
      <c r="AR84" s="68" t="str">
        <f>IFERROR(VLOOKUP(A84,CUSTOMERS!$A:$B,2),"")</f>
        <v>PRD</v>
      </c>
      <c r="AS84" s="68" t="str">
        <f>IFERROR(VLOOKUP(A84,CUSTOMERS!$A:$D,3),"")</f>
        <v>BLG</v>
      </c>
      <c r="AT84" s="68" t="str">
        <f>IFERROR(VLOOKUP(A84,CUSTOMERS!$A:$F,6),"")</f>
        <v>N</v>
      </c>
      <c r="AU84" s="69">
        <f>IFERROR(VLOOKUP(A84,CUSTOMERS!$A:$E,4),"")</f>
        <v>-150</v>
      </c>
      <c r="AV84" s="68" t="str">
        <f t="shared" si="85"/>
        <v/>
      </c>
      <c r="AW84" s="74" t="s">
        <v>494</v>
      </c>
      <c r="AX84" s="75" t="s">
        <v>495</v>
      </c>
    </row>
    <row r="85" spans="1:50" ht="40.5" customHeight="1" thickTop="1" thickBot="1">
      <c r="A85" s="188" t="s">
        <v>27</v>
      </c>
      <c r="B85" s="120" t="str">
        <f t="shared" si="113"/>
        <v>N</v>
      </c>
      <c r="C85" s="120"/>
      <c r="D85" s="121"/>
      <c r="E85" s="121"/>
      <c r="F85" s="122" t="str">
        <f t="shared" si="114"/>
        <v>PRD-BLG-2021-00000</v>
      </c>
      <c r="G85" s="207" t="s">
        <v>339</v>
      </c>
      <c r="H85" s="124" t="s">
        <v>496</v>
      </c>
      <c r="I85" s="239"/>
      <c r="J85" s="80">
        <f t="shared" si="117"/>
        <v>0</v>
      </c>
      <c r="K85" s="177">
        <f t="shared" si="116"/>
        <v>44244</v>
      </c>
      <c r="L85" s="146">
        <v>44244</v>
      </c>
      <c r="M85" s="147"/>
      <c r="N85" s="147"/>
      <c r="O85" s="147"/>
      <c r="P85" s="147"/>
      <c r="Q85" s="199" t="s">
        <v>15</v>
      </c>
      <c r="R85" s="199" t="s">
        <v>42</v>
      </c>
      <c r="S85" s="199"/>
      <c r="T85" s="199"/>
      <c r="U85" s="199"/>
      <c r="V85" s="199"/>
      <c r="W85" s="199"/>
      <c r="X85" s="144" t="s">
        <v>497</v>
      </c>
      <c r="Y85" s="173">
        <f t="shared" si="61"/>
        <v>0</v>
      </c>
      <c r="Z85" s="83">
        <f t="shared" si="118"/>
        <v>0</v>
      </c>
      <c r="AA85" s="84">
        <f t="shared" si="111"/>
        <v>0</v>
      </c>
      <c r="AB85" s="84">
        <f t="shared" si="60"/>
        <v>0</v>
      </c>
      <c r="AC85" s="84">
        <f t="shared" si="119"/>
        <v>0</v>
      </c>
      <c r="AD85" s="84"/>
      <c r="AE85" s="84">
        <f t="shared" si="20"/>
        <v>0</v>
      </c>
      <c r="AF85" s="84">
        <f t="shared" si="120"/>
        <v>0</v>
      </c>
      <c r="AG85" s="94">
        <f t="shared" si="21"/>
        <v>0</v>
      </c>
      <c r="AH85" s="85">
        <f>IFERROR(VLOOKUP(A85,CUSTOMERS!$A:$E,4),"")</f>
        <v>-150</v>
      </c>
      <c r="AI85" s="86" t="str">
        <f t="shared" si="112"/>
        <v/>
      </c>
      <c r="AJ85" s="87">
        <f>IFERROR(VLOOKUP(A85,CUSTOMERS!$A:$F,5),"")</f>
        <v>0</v>
      </c>
      <c r="AK85" s="96"/>
      <c r="AL85" s="96">
        <v>0</v>
      </c>
      <c r="AM85" s="96">
        <v>0</v>
      </c>
      <c r="AN85" s="96"/>
      <c r="AO85" s="96">
        <v>0</v>
      </c>
      <c r="AP85" s="103">
        <f t="shared" si="121"/>
        <v>0</v>
      </c>
      <c r="AQ85" s="103">
        <f t="shared" si="110"/>
        <v>0</v>
      </c>
      <c r="AR85" s="68" t="str">
        <f>IFERROR(VLOOKUP(A85,CUSTOMERS!$A:$B,2),"")</f>
        <v>PRD</v>
      </c>
      <c r="AS85" s="68" t="str">
        <f>IFERROR(VLOOKUP(A85,CUSTOMERS!$A:$D,3),"")</f>
        <v>BLG</v>
      </c>
      <c r="AT85" s="68" t="str">
        <f>IFERROR(VLOOKUP(A85,CUSTOMERS!$A:$F,6),"")</f>
        <v>N</v>
      </c>
      <c r="AU85" s="69">
        <f>IFERROR(VLOOKUP(A85,CUSTOMERS!$A:$E,4),"")</f>
        <v>-150</v>
      </c>
      <c r="AV85" s="68" t="str">
        <f t="shared" si="85"/>
        <v/>
      </c>
      <c r="AW85" s="70" t="str">
        <f t="shared" si="115"/>
        <v>descr85</v>
      </c>
      <c r="AX85" s="71" t="str">
        <f t="shared" ref="AX85:AX149" si="122">"reason"&amp;ROW()</f>
        <v>reason85</v>
      </c>
    </row>
    <row r="86" spans="1:50" ht="40.5" customHeight="1" thickTop="1" thickBot="1">
      <c r="A86" s="188" t="s">
        <v>27</v>
      </c>
      <c r="B86" s="120" t="str">
        <f t="shared" si="113"/>
        <v>N</v>
      </c>
      <c r="C86" s="120"/>
      <c r="D86" s="121"/>
      <c r="E86" s="121"/>
      <c r="F86" s="122" t="str">
        <f t="shared" si="114"/>
        <v>PRD-BLG-2021-00000</v>
      </c>
      <c r="G86" s="207" t="s">
        <v>339</v>
      </c>
      <c r="H86" s="124" t="s">
        <v>498</v>
      </c>
      <c r="I86" s="239"/>
      <c r="J86" s="80">
        <f t="shared" si="117"/>
        <v>0</v>
      </c>
      <c r="K86" s="177">
        <f t="shared" si="116"/>
        <v>44242</v>
      </c>
      <c r="L86" s="146">
        <v>44242</v>
      </c>
      <c r="M86" s="147"/>
      <c r="N86" s="147"/>
      <c r="O86" s="147"/>
      <c r="P86" s="147"/>
      <c r="Q86" s="199" t="s">
        <v>15</v>
      </c>
      <c r="R86" s="199" t="s">
        <v>42</v>
      </c>
      <c r="S86" s="199"/>
      <c r="T86" s="199"/>
      <c r="U86" s="199"/>
      <c r="V86" s="199"/>
      <c r="W86" s="199"/>
      <c r="X86" s="144" t="s">
        <v>499</v>
      </c>
      <c r="Y86" s="173">
        <f t="shared" si="61"/>
        <v>0</v>
      </c>
      <c r="Z86" s="83">
        <f t="shared" si="118"/>
        <v>0</v>
      </c>
      <c r="AA86" s="84">
        <f t="shared" ref="AA86:AA108" si="123">IFERROR((AL86*AH86)*7.5,"")</f>
        <v>0</v>
      </c>
      <c r="AB86" s="84">
        <f t="shared" si="60"/>
        <v>0</v>
      </c>
      <c r="AC86" s="84">
        <f t="shared" si="119"/>
        <v>0</v>
      </c>
      <c r="AD86" s="84"/>
      <c r="AE86" s="84">
        <f t="shared" si="20"/>
        <v>0</v>
      </c>
      <c r="AF86" s="84">
        <f t="shared" si="120"/>
        <v>0</v>
      </c>
      <c r="AG86" s="94">
        <f t="shared" si="21"/>
        <v>0</v>
      </c>
      <c r="AH86" s="85">
        <f>IFERROR(VLOOKUP(A86,CUSTOMERS!$A:$E,4),"")</f>
        <v>-150</v>
      </c>
      <c r="AI86" s="86" t="str">
        <f t="shared" si="112"/>
        <v/>
      </c>
      <c r="AJ86" s="87">
        <f>IFERROR(VLOOKUP(A86,CUSTOMERS!$A:$F,5),"")</f>
        <v>0</v>
      </c>
      <c r="AK86" s="96"/>
      <c r="AL86" s="96">
        <v>0</v>
      </c>
      <c r="AM86" s="96">
        <v>0</v>
      </c>
      <c r="AN86" s="96"/>
      <c r="AO86" s="96">
        <v>0</v>
      </c>
      <c r="AP86" s="103">
        <f t="shared" si="121"/>
        <v>0</v>
      </c>
      <c r="AQ86" s="103">
        <f t="shared" si="110"/>
        <v>0</v>
      </c>
      <c r="AR86" s="68" t="str">
        <f>IFERROR(VLOOKUP(A86,CUSTOMERS!$A:$B,2),"")</f>
        <v>PRD</v>
      </c>
      <c r="AS86" s="68" t="str">
        <f>IFERROR(VLOOKUP(A86,CUSTOMERS!$A:$D,3),"")</f>
        <v>BLG</v>
      </c>
      <c r="AT86" s="68" t="str">
        <f>IFERROR(VLOOKUP(A86,CUSTOMERS!$A:$F,6),"")</f>
        <v>N</v>
      </c>
      <c r="AU86" s="69">
        <f>IFERROR(VLOOKUP(A86,CUSTOMERS!$A:$E,4),"")</f>
        <v>-150</v>
      </c>
      <c r="AV86" s="68" t="str">
        <f t="shared" si="85"/>
        <v/>
      </c>
      <c r="AW86" s="70" t="str">
        <f t="shared" si="115"/>
        <v>descr86</v>
      </c>
      <c r="AX86" s="71" t="str">
        <f t="shared" si="122"/>
        <v>reason86</v>
      </c>
    </row>
    <row r="87" spans="1:50" ht="39" customHeight="1" thickTop="1" thickBot="1">
      <c r="A87" s="188" t="s">
        <v>27</v>
      </c>
      <c r="B87" s="125" t="str">
        <f t="shared" si="113"/>
        <v>N</v>
      </c>
      <c r="C87" s="125"/>
      <c r="D87" s="126"/>
      <c r="E87" s="126"/>
      <c r="F87" s="122" t="str">
        <f t="shared" si="114"/>
        <v>PRD-BLG-2021-00000</v>
      </c>
      <c r="G87" s="123" t="s">
        <v>29</v>
      </c>
      <c r="H87" s="124" t="s">
        <v>500</v>
      </c>
      <c r="I87" s="239"/>
      <c r="J87" s="80">
        <f t="shared" si="117"/>
        <v>0</v>
      </c>
      <c r="K87" s="177">
        <f t="shared" si="116"/>
        <v>44271</v>
      </c>
      <c r="L87" s="146">
        <v>44271</v>
      </c>
      <c r="M87" s="147"/>
      <c r="N87" s="147"/>
      <c r="O87" s="147"/>
      <c r="P87" s="147"/>
      <c r="Q87" s="199" t="s">
        <v>15</v>
      </c>
      <c r="R87" s="199" t="s">
        <v>42</v>
      </c>
      <c r="S87" s="199" t="s">
        <v>308</v>
      </c>
      <c r="T87" s="199" t="s">
        <v>455</v>
      </c>
      <c r="U87" s="199" t="s">
        <v>450</v>
      </c>
      <c r="V87" s="199"/>
      <c r="W87" s="199"/>
      <c r="X87" s="236" t="s">
        <v>501</v>
      </c>
      <c r="Y87" s="173">
        <f t="shared" si="61"/>
        <v>0</v>
      </c>
      <c r="Z87" s="83">
        <f t="shared" si="118"/>
        <v>0</v>
      </c>
      <c r="AA87" s="84">
        <f t="shared" si="123"/>
        <v>0</v>
      </c>
      <c r="AB87" s="84">
        <f t="shared" si="60"/>
        <v>0</v>
      </c>
      <c r="AC87" s="84">
        <f t="shared" si="119"/>
        <v>0</v>
      </c>
      <c r="AD87" s="84"/>
      <c r="AE87" s="84">
        <f t="shared" si="20"/>
        <v>0</v>
      </c>
      <c r="AF87" s="84">
        <f t="shared" si="120"/>
        <v>0</v>
      </c>
      <c r="AG87" s="94">
        <f t="shared" si="21"/>
        <v>0</v>
      </c>
      <c r="AH87" s="85">
        <f>IFERROR(VLOOKUP(A87,CUSTOMERS!$A:$E,4),"")</f>
        <v>-150</v>
      </c>
      <c r="AI87" s="86" t="str">
        <f t="shared" si="112"/>
        <v/>
      </c>
      <c r="AJ87" s="87">
        <f>IFERROR(VLOOKUP(A87,CUSTOMERS!$A:$F,5),"")</f>
        <v>0</v>
      </c>
      <c r="AK87" s="96"/>
      <c r="AL87" s="96">
        <v>0</v>
      </c>
      <c r="AM87" s="96">
        <v>0</v>
      </c>
      <c r="AN87" s="96"/>
      <c r="AO87" s="96">
        <v>0</v>
      </c>
      <c r="AP87" s="103">
        <f t="shared" si="121"/>
        <v>0</v>
      </c>
      <c r="AQ87" s="103">
        <f t="shared" si="110"/>
        <v>0</v>
      </c>
      <c r="AR87" s="68" t="str">
        <f>IFERROR(VLOOKUP(A87,CUSTOMERS!$A:$B,2),"")</f>
        <v>PRD</v>
      </c>
      <c r="AS87" s="68" t="str">
        <f>IFERROR(VLOOKUP(A87,CUSTOMERS!$A:$D,3),"")</f>
        <v>BLG</v>
      </c>
      <c r="AT87" s="68" t="str">
        <f>IFERROR(VLOOKUP(A87,CUSTOMERS!$A:$F,6),"")</f>
        <v>N</v>
      </c>
      <c r="AU87" s="69">
        <f>IFERROR(VLOOKUP(A87,CUSTOMERS!$A:$E,4),"")</f>
        <v>-150</v>
      </c>
      <c r="AV87" s="68" t="str">
        <f t="shared" si="85"/>
        <v/>
      </c>
      <c r="AW87" s="74" t="s">
        <v>502</v>
      </c>
      <c r="AX87" s="75" t="s">
        <v>503</v>
      </c>
    </row>
    <row r="88" spans="1:50" ht="40.5" customHeight="1" thickTop="1" thickBot="1">
      <c r="A88" s="188" t="s">
        <v>27</v>
      </c>
      <c r="B88" s="125" t="str">
        <f t="shared" si="113"/>
        <v>N</v>
      </c>
      <c r="C88" s="125"/>
      <c r="D88" s="126"/>
      <c r="E88" s="126"/>
      <c r="F88" s="122" t="str">
        <f t="shared" si="114"/>
        <v>PRD-BLG-2021-00000</v>
      </c>
      <c r="G88" s="123" t="s">
        <v>339</v>
      </c>
      <c r="H88" s="124" t="s">
        <v>49</v>
      </c>
      <c r="I88" s="239"/>
      <c r="J88" s="80">
        <f t="shared" si="117"/>
        <v>0</v>
      </c>
      <c r="K88" s="177">
        <f t="shared" si="116"/>
        <v>44284</v>
      </c>
      <c r="L88" s="146">
        <v>44284</v>
      </c>
      <c r="M88" s="147"/>
      <c r="N88" s="147"/>
      <c r="O88" s="147"/>
      <c r="P88" s="147"/>
      <c r="Q88" s="199" t="s">
        <v>13</v>
      </c>
      <c r="R88" s="199" t="s">
        <v>31</v>
      </c>
      <c r="S88" s="199" t="s">
        <v>311</v>
      </c>
      <c r="T88" s="199" t="s">
        <v>450</v>
      </c>
      <c r="U88" s="199" t="s">
        <v>450</v>
      </c>
      <c r="V88" s="200">
        <v>44356</v>
      </c>
      <c r="W88" s="215" t="s">
        <v>504</v>
      </c>
      <c r="X88" s="144" t="s">
        <v>505</v>
      </c>
      <c r="Y88" s="173">
        <f t="shared" si="61"/>
        <v>0</v>
      </c>
      <c r="Z88" s="83">
        <f t="shared" si="118"/>
        <v>0</v>
      </c>
      <c r="AA88" s="84">
        <f t="shared" si="123"/>
        <v>0</v>
      </c>
      <c r="AB88" s="84">
        <f t="shared" si="60"/>
        <v>0</v>
      </c>
      <c r="AC88" s="84">
        <f t="shared" si="119"/>
        <v>0</v>
      </c>
      <c r="AD88" s="84"/>
      <c r="AE88" s="84">
        <f t="shared" si="20"/>
        <v>0</v>
      </c>
      <c r="AF88" s="84">
        <f t="shared" si="120"/>
        <v>0</v>
      </c>
      <c r="AG88" s="94">
        <f t="shared" si="21"/>
        <v>0</v>
      </c>
      <c r="AH88" s="85">
        <f>IFERROR(VLOOKUP(A88,CUSTOMERS!$A:$E,4),"")</f>
        <v>-150</v>
      </c>
      <c r="AI88" s="86" t="str">
        <f t="shared" si="112"/>
        <v/>
      </c>
      <c r="AJ88" s="87">
        <f>IFERROR(VLOOKUP(A88,CUSTOMERS!$A:$F,5),"")</f>
        <v>0</v>
      </c>
      <c r="AK88" s="96"/>
      <c r="AL88" s="96">
        <v>0</v>
      </c>
      <c r="AM88" s="96">
        <v>0</v>
      </c>
      <c r="AN88" s="96"/>
      <c r="AO88" s="96">
        <v>0</v>
      </c>
      <c r="AP88" s="103">
        <f t="shared" si="121"/>
        <v>0</v>
      </c>
      <c r="AQ88" s="103">
        <f t="shared" si="110"/>
        <v>0</v>
      </c>
      <c r="AR88" s="68" t="str">
        <f>IFERROR(VLOOKUP(A88,CUSTOMERS!$A:$B,2),"")</f>
        <v>PRD</v>
      </c>
      <c r="AS88" s="68" t="str">
        <f>IFERROR(VLOOKUP(A88,CUSTOMERS!$A:$D,3),"")</f>
        <v>BLG</v>
      </c>
      <c r="AT88" s="68" t="str">
        <f>IFERROR(VLOOKUP(A88,CUSTOMERS!$A:$F,6),"")</f>
        <v>N</v>
      </c>
      <c r="AU88" s="69">
        <f>IFERROR(VLOOKUP(A88,CUSTOMERS!$A:$E,4),"")</f>
        <v>-150</v>
      </c>
      <c r="AV88" s="68" t="str">
        <f t="shared" si="85"/>
        <v/>
      </c>
      <c r="AW88" s="70" t="str">
        <f t="shared" si="115"/>
        <v>descr88</v>
      </c>
      <c r="AX88" s="71" t="str">
        <f t="shared" si="122"/>
        <v>reason88</v>
      </c>
    </row>
    <row r="89" spans="1:50" ht="40.5" customHeight="1" thickTop="1" thickBot="1">
      <c r="A89" s="188" t="s">
        <v>50</v>
      </c>
      <c r="B89" s="120" t="str">
        <f t="shared" si="113"/>
        <v>N</v>
      </c>
      <c r="C89" s="120"/>
      <c r="D89" s="121">
        <v>1</v>
      </c>
      <c r="E89" s="121"/>
      <c r="F89" s="122" t="str">
        <f t="shared" si="114"/>
        <v>PRD-REQ-2020-00001</v>
      </c>
      <c r="G89" s="123" t="s">
        <v>291</v>
      </c>
      <c r="H89" s="124" t="s">
        <v>506</v>
      </c>
      <c r="I89" s="239"/>
      <c r="J89" s="80">
        <f t="shared" si="117"/>
        <v>0</v>
      </c>
      <c r="K89" s="177">
        <f t="shared" si="116"/>
        <v>43952</v>
      </c>
      <c r="L89" s="148">
        <v>43952</v>
      </c>
      <c r="M89" s="149"/>
      <c r="N89" s="150"/>
      <c r="O89" s="150"/>
      <c r="P89" s="150"/>
      <c r="Q89" s="200" t="s">
        <v>291</v>
      </c>
      <c r="R89" s="200" t="s">
        <v>31</v>
      </c>
      <c r="S89" s="200"/>
      <c r="T89" s="200"/>
      <c r="U89" s="200"/>
      <c r="V89" s="200"/>
      <c r="W89" s="200"/>
      <c r="X89" s="144" t="s">
        <v>469</v>
      </c>
      <c r="Y89" s="173">
        <f t="shared" si="61"/>
        <v>0</v>
      </c>
      <c r="Z89" s="83">
        <f t="shared" si="118"/>
        <v>0</v>
      </c>
      <c r="AA89" s="84">
        <f t="shared" si="123"/>
        <v>0</v>
      </c>
      <c r="AB89" s="84">
        <f t="shared" si="60"/>
        <v>0</v>
      </c>
      <c r="AC89" s="84">
        <f t="shared" si="119"/>
        <v>0</v>
      </c>
      <c r="AD89" s="84"/>
      <c r="AE89" s="84">
        <f t="shared" si="20"/>
        <v>0</v>
      </c>
      <c r="AF89" s="84">
        <f t="shared" si="120"/>
        <v>0</v>
      </c>
      <c r="AG89" s="94">
        <f t="shared" si="21"/>
        <v>0</v>
      </c>
      <c r="AH89" s="85">
        <f>IFERROR(VLOOKUP(A89,CUSTOMERS!$A:$E,4),"")</f>
        <v>-150</v>
      </c>
      <c r="AI89" s="86" t="str">
        <f t="shared" si="112"/>
        <v/>
      </c>
      <c r="AJ89" s="87">
        <f>IFERROR(VLOOKUP(A89,CUSTOMERS!$A:$F,5),"")</f>
        <v>0</v>
      </c>
      <c r="AK89" s="96"/>
      <c r="AL89" s="96">
        <v>0</v>
      </c>
      <c r="AM89" s="96">
        <v>0</v>
      </c>
      <c r="AN89" s="96"/>
      <c r="AO89" s="96">
        <v>0</v>
      </c>
      <c r="AP89" s="102">
        <f t="shared" si="121"/>
        <v>0</v>
      </c>
      <c r="AQ89" s="102">
        <f t="shared" si="110"/>
        <v>0</v>
      </c>
      <c r="AR89" s="68" t="str">
        <f>IFERROR(VLOOKUP(A89,CUSTOMERS!$A:$B,2),"")</f>
        <v>PRD</v>
      </c>
      <c r="AS89" s="68" t="str">
        <f>IFERROR(VLOOKUP(A89,CUSTOMERS!$A:$D,3),"")</f>
        <v>REQ</v>
      </c>
      <c r="AT89" s="68" t="str">
        <f>IFERROR(VLOOKUP(A89,CUSTOMERS!$A:$F,6),"")</f>
        <v>N</v>
      </c>
      <c r="AU89" s="69">
        <f>IFERROR(VLOOKUP(A89,CUSTOMERS!$A:$E,4),"")</f>
        <v>-150</v>
      </c>
      <c r="AV89" s="68" t="str">
        <f t="shared" si="85"/>
        <v/>
      </c>
      <c r="AW89" s="70" t="str">
        <f t="shared" si="115"/>
        <v>descr89</v>
      </c>
      <c r="AX89" s="71" t="str">
        <f t="shared" si="122"/>
        <v>reason89</v>
      </c>
    </row>
    <row r="90" spans="1:50" ht="40.5" customHeight="1" thickTop="1" thickBot="1">
      <c r="A90" s="188" t="s">
        <v>50</v>
      </c>
      <c r="B90" s="120" t="str">
        <f t="shared" si="113"/>
        <v>N</v>
      </c>
      <c r="C90" s="120"/>
      <c r="D90" s="121">
        <v>4</v>
      </c>
      <c r="E90" s="121"/>
      <c r="F90" s="122" t="str">
        <f t="shared" si="114"/>
        <v>PRD-REQ-2020-00004</v>
      </c>
      <c r="G90" s="123" t="s">
        <v>291</v>
      </c>
      <c r="H90" s="124" t="s">
        <v>507</v>
      </c>
      <c r="I90" s="239"/>
      <c r="J90" s="80">
        <f t="shared" si="117"/>
        <v>0</v>
      </c>
      <c r="K90" s="177">
        <f t="shared" si="116"/>
        <v>43952</v>
      </c>
      <c r="L90" s="148">
        <v>43952</v>
      </c>
      <c r="M90" s="149"/>
      <c r="N90" s="150"/>
      <c r="O90" s="150"/>
      <c r="P90" s="150"/>
      <c r="Q90" s="200" t="s">
        <v>16</v>
      </c>
      <c r="R90" s="200" t="s">
        <v>31</v>
      </c>
      <c r="S90" s="200"/>
      <c r="T90" s="200"/>
      <c r="U90" s="200"/>
      <c r="V90" s="200"/>
      <c r="W90" s="200"/>
      <c r="X90" s="144" t="s">
        <v>469</v>
      </c>
      <c r="Y90" s="173">
        <f t="shared" si="61"/>
        <v>0</v>
      </c>
      <c r="Z90" s="83">
        <f t="shared" si="118"/>
        <v>0</v>
      </c>
      <c r="AA90" s="84">
        <f t="shared" si="123"/>
        <v>0</v>
      </c>
      <c r="AB90" s="84">
        <f t="shared" si="60"/>
        <v>0</v>
      </c>
      <c r="AC90" s="84">
        <f t="shared" si="119"/>
        <v>0</v>
      </c>
      <c r="AD90" s="84"/>
      <c r="AE90" s="84">
        <f t="shared" si="20"/>
        <v>0</v>
      </c>
      <c r="AF90" s="84">
        <f t="shared" si="120"/>
        <v>0</v>
      </c>
      <c r="AG90" s="94">
        <f t="shared" si="21"/>
        <v>0</v>
      </c>
      <c r="AH90" s="85">
        <f>IFERROR(VLOOKUP(A90,CUSTOMERS!$A:$E,4),"")</f>
        <v>-150</v>
      </c>
      <c r="AI90" s="86" t="str">
        <f t="shared" si="112"/>
        <v/>
      </c>
      <c r="AJ90" s="87">
        <f>IFERROR(VLOOKUP(A90,CUSTOMERS!$A:$F,5),"")</f>
        <v>0</v>
      </c>
      <c r="AK90" s="96"/>
      <c r="AL90" s="96">
        <v>0</v>
      </c>
      <c r="AM90" s="96">
        <v>0</v>
      </c>
      <c r="AN90" s="96"/>
      <c r="AO90" s="96">
        <v>0</v>
      </c>
      <c r="AP90" s="102">
        <f t="shared" si="121"/>
        <v>0</v>
      </c>
      <c r="AQ90" s="102">
        <f t="shared" si="110"/>
        <v>0</v>
      </c>
      <c r="AR90" s="68" t="str">
        <f>IFERROR(VLOOKUP(A90,CUSTOMERS!$A:$B,2),"")</f>
        <v>PRD</v>
      </c>
      <c r="AS90" s="68" t="str">
        <f>IFERROR(VLOOKUP(A90,CUSTOMERS!$A:$D,3),"")</f>
        <v>REQ</v>
      </c>
      <c r="AT90" s="68" t="str">
        <f>IFERROR(VLOOKUP(A90,CUSTOMERS!$A:$F,6),"")</f>
        <v>N</v>
      </c>
      <c r="AU90" s="69">
        <f>IFERROR(VLOOKUP(A90,CUSTOMERS!$A:$E,4),"")</f>
        <v>-150</v>
      </c>
      <c r="AV90" s="68" t="str">
        <f t="shared" si="85"/>
        <v/>
      </c>
      <c r="AW90" s="70" t="str">
        <f t="shared" si="115"/>
        <v>descr90</v>
      </c>
      <c r="AX90" s="71" t="str">
        <f t="shared" si="122"/>
        <v>reason90</v>
      </c>
    </row>
    <row r="91" spans="1:50" ht="40.5" customHeight="1" thickTop="1" thickBot="1">
      <c r="A91" s="188" t="s">
        <v>50</v>
      </c>
      <c r="B91" s="120" t="str">
        <f t="shared" si="113"/>
        <v>N</v>
      </c>
      <c r="C91" s="120"/>
      <c r="D91" s="121">
        <v>6</v>
      </c>
      <c r="E91" s="121"/>
      <c r="F91" s="122" t="str">
        <f t="shared" si="114"/>
        <v>PRD-REQ-2020-00006</v>
      </c>
      <c r="G91" s="123" t="s">
        <v>339</v>
      </c>
      <c r="H91" s="124" t="s">
        <v>52</v>
      </c>
      <c r="I91" s="239"/>
      <c r="J91" s="80">
        <f t="shared" si="117"/>
        <v>0</v>
      </c>
      <c r="K91" s="177">
        <f t="shared" si="116"/>
        <v>43952</v>
      </c>
      <c r="L91" s="148">
        <v>43952</v>
      </c>
      <c r="M91" s="149"/>
      <c r="N91" s="150"/>
      <c r="O91" s="150"/>
      <c r="P91" s="150"/>
      <c r="Q91" s="200" t="s">
        <v>16</v>
      </c>
      <c r="R91" s="200" t="s">
        <v>31</v>
      </c>
      <c r="S91" s="200" t="s">
        <v>311</v>
      </c>
      <c r="T91" s="200" t="s">
        <v>450</v>
      </c>
      <c r="U91" s="200" t="s">
        <v>451</v>
      </c>
      <c r="V91" s="200">
        <v>44356</v>
      </c>
      <c r="W91" s="200" t="s">
        <v>508</v>
      </c>
      <c r="X91" s="144" t="s">
        <v>509</v>
      </c>
      <c r="Y91" s="173">
        <f t="shared" si="61"/>
        <v>0</v>
      </c>
      <c r="Z91" s="83">
        <f t="shared" si="118"/>
        <v>0</v>
      </c>
      <c r="AA91" s="84">
        <f t="shared" si="123"/>
        <v>0</v>
      </c>
      <c r="AB91" s="84">
        <f t="shared" si="60"/>
        <v>0</v>
      </c>
      <c r="AC91" s="84">
        <f t="shared" si="119"/>
        <v>0</v>
      </c>
      <c r="AD91" s="84"/>
      <c r="AE91" s="84">
        <f t="shared" si="20"/>
        <v>0</v>
      </c>
      <c r="AF91" s="84">
        <f t="shared" si="120"/>
        <v>0</v>
      </c>
      <c r="AG91" s="94">
        <f t="shared" si="21"/>
        <v>0</v>
      </c>
      <c r="AH91" s="85">
        <f>IFERROR(VLOOKUP(A91,CUSTOMERS!$A:$E,4),"")</f>
        <v>-150</v>
      </c>
      <c r="AI91" s="86" t="str">
        <f t="shared" si="112"/>
        <v/>
      </c>
      <c r="AJ91" s="87">
        <f>IFERROR(VLOOKUP(A91,CUSTOMERS!$A:$F,5),"")</f>
        <v>0</v>
      </c>
      <c r="AK91" s="96"/>
      <c r="AL91" s="96">
        <v>0</v>
      </c>
      <c r="AM91" s="96">
        <v>0</v>
      </c>
      <c r="AN91" s="96"/>
      <c r="AO91" s="96">
        <v>0</v>
      </c>
      <c r="AP91" s="102">
        <f t="shared" si="121"/>
        <v>0</v>
      </c>
      <c r="AQ91" s="102">
        <f t="shared" si="110"/>
        <v>0</v>
      </c>
      <c r="AR91" s="68" t="str">
        <f>IFERROR(VLOOKUP(A91,CUSTOMERS!$A:$B,2),"")</f>
        <v>PRD</v>
      </c>
      <c r="AS91" s="68" t="str">
        <f>IFERROR(VLOOKUP(A91,CUSTOMERS!$A:$D,3),"")</f>
        <v>REQ</v>
      </c>
      <c r="AT91" s="68" t="str">
        <f>IFERROR(VLOOKUP(A91,CUSTOMERS!$A:$F,6),"")</f>
        <v>N</v>
      </c>
      <c r="AU91" s="69">
        <f>IFERROR(VLOOKUP(A91,CUSTOMERS!$A:$E,4),"")</f>
        <v>-150</v>
      </c>
      <c r="AV91" s="68" t="str">
        <f t="shared" si="85"/>
        <v/>
      </c>
      <c r="AW91" s="70" t="str">
        <f t="shared" si="115"/>
        <v>descr91</v>
      </c>
      <c r="AX91" s="71" t="str">
        <f t="shared" si="122"/>
        <v>reason91</v>
      </c>
    </row>
    <row r="92" spans="1:50" ht="40.5" customHeight="1" thickTop="1" thickBot="1">
      <c r="A92" s="188" t="s">
        <v>50</v>
      </c>
      <c r="B92" s="120" t="str">
        <f t="shared" si="113"/>
        <v>N</v>
      </c>
      <c r="C92" s="120"/>
      <c r="D92" s="121">
        <v>8</v>
      </c>
      <c r="E92" s="121"/>
      <c r="F92" s="122" t="str">
        <f t="shared" si="114"/>
        <v>PRD-REQ-2020-00008</v>
      </c>
      <c r="G92" s="123" t="s">
        <v>291</v>
      </c>
      <c r="H92" s="124" t="s">
        <v>510</v>
      </c>
      <c r="I92" s="239"/>
      <c r="J92" s="80">
        <f t="shared" si="117"/>
        <v>0</v>
      </c>
      <c r="K92" s="177">
        <f t="shared" si="116"/>
        <v>43952</v>
      </c>
      <c r="L92" s="148">
        <v>43952</v>
      </c>
      <c r="M92" s="149"/>
      <c r="N92" s="150"/>
      <c r="O92" s="150"/>
      <c r="P92" s="150"/>
      <c r="Q92" s="200" t="s">
        <v>291</v>
      </c>
      <c r="R92" s="200" t="s">
        <v>31</v>
      </c>
      <c r="S92" s="200"/>
      <c r="T92" s="200"/>
      <c r="U92" s="200"/>
      <c r="V92" s="200"/>
      <c r="W92" s="200"/>
      <c r="X92" s="144"/>
      <c r="Y92" s="173">
        <f t="shared" si="61"/>
        <v>0</v>
      </c>
      <c r="Z92" s="83">
        <f t="shared" si="118"/>
        <v>0</v>
      </c>
      <c r="AA92" s="84">
        <f t="shared" si="123"/>
        <v>0</v>
      </c>
      <c r="AB92" s="84">
        <f t="shared" si="60"/>
        <v>0</v>
      </c>
      <c r="AC92" s="84">
        <f t="shared" si="119"/>
        <v>0</v>
      </c>
      <c r="AD92" s="84"/>
      <c r="AE92" s="84">
        <f t="shared" si="20"/>
        <v>0</v>
      </c>
      <c r="AF92" s="84">
        <f t="shared" si="120"/>
        <v>0</v>
      </c>
      <c r="AG92" s="94">
        <f t="shared" si="21"/>
        <v>0</v>
      </c>
      <c r="AH92" s="85">
        <f>IFERROR(VLOOKUP(A92,CUSTOMERS!$A:$E,4),"")</f>
        <v>-150</v>
      </c>
      <c r="AI92" s="86" t="str">
        <f t="shared" si="112"/>
        <v/>
      </c>
      <c r="AJ92" s="87">
        <f>IFERROR(VLOOKUP(A92,CUSTOMERS!$A:$F,5),"")</f>
        <v>0</v>
      </c>
      <c r="AK92" s="96"/>
      <c r="AL92" s="96">
        <v>0</v>
      </c>
      <c r="AM92" s="96">
        <v>0</v>
      </c>
      <c r="AN92" s="96"/>
      <c r="AO92" s="96">
        <v>0</v>
      </c>
      <c r="AP92" s="102">
        <f t="shared" si="121"/>
        <v>0</v>
      </c>
      <c r="AQ92" s="102">
        <f t="shared" si="110"/>
        <v>0</v>
      </c>
      <c r="AR92" s="68" t="str">
        <f>IFERROR(VLOOKUP(A92,CUSTOMERS!$A:$B,2),"")</f>
        <v>PRD</v>
      </c>
      <c r="AS92" s="68" t="str">
        <f>IFERROR(VLOOKUP(A92,CUSTOMERS!$A:$D,3),"")</f>
        <v>REQ</v>
      </c>
      <c r="AT92" s="68" t="str">
        <f>IFERROR(VLOOKUP(A92,CUSTOMERS!$A:$F,6),"")</f>
        <v>N</v>
      </c>
      <c r="AU92" s="69">
        <f>IFERROR(VLOOKUP(A92,CUSTOMERS!$A:$E,4),"")</f>
        <v>-150</v>
      </c>
      <c r="AV92" s="68" t="str">
        <f t="shared" si="85"/>
        <v/>
      </c>
      <c r="AX92" s="71" t="str">
        <f t="shared" si="122"/>
        <v>reason92</v>
      </c>
    </row>
    <row r="93" spans="1:50" ht="40.5" customHeight="1" thickTop="1" thickBot="1">
      <c r="A93" s="188" t="s">
        <v>27</v>
      </c>
      <c r="B93" s="120" t="str">
        <f t="shared" si="113"/>
        <v>N</v>
      </c>
      <c r="C93" s="120"/>
      <c r="D93" s="121">
        <v>9</v>
      </c>
      <c r="E93" s="121"/>
      <c r="F93" s="122" t="str">
        <f t="shared" si="114"/>
        <v>PRD-BLG-2020-00009</v>
      </c>
      <c r="G93" s="123" t="s">
        <v>29</v>
      </c>
      <c r="H93" s="124" t="s">
        <v>54</v>
      </c>
      <c r="I93" s="239"/>
      <c r="J93" s="80">
        <f t="shared" si="117"/>
        <v>0</v>
      </c>
      <c r="K93" s="177">
        <f t="shared" si="116"/>
        <v>44020</v>
      </c>
      <c r="L93" s="151">
        <v>44020</v>
      </c>
      <c r="M93" s="149"/>
      <c r="N93" s="150"/>
      <c r="O93" s="150"/>
      <c r="P93" s="150"/>
      <c r="Q93" s="200" t="s">
        <v>17</v>
      </c>
      <c r="R93" s="200" t="s">
        <v>4</v>
      </c>
      <c r="S93" s="200" t="s">
        <v>311</v>
      </c>
      <c r="T93" s="200" t="s">
        <v>450</v>
      </c>
      <c r="U93" s="200" t="s">
        <v>451</v>
      </c>
      <c r="V93" s="200"/>
      <c r="W93" s="200"/>
      <c r="X93" s="144" t="s">
        <v>511</v>
      </c>
      <c r="Y93" s="173">
        <f t="shared" si="61"/>
        <v>0</v>
      </c>
      <c r="Z93" s="83">
        <f t="shared" si="118"/>
        <v>0</v>
      </c>
      <c r="AA93" s="84">
        <f t="shared" si="123"/>
        <v>0</v>
      </c>
      <c r="AB93" s="84">
        <f t="shared" si="60"/>
        <v>0</v>
      </c>
      <c r="AC93" s="84">
        <f t="shared" si="119"/>
        <v>0</v>
      </c>
      <c r="AD93" s="84"/>
      <c r="AE93" s="84">
        <f t="shared" si="20"/>
        <v>0</v>
      </c>
      <c r="AF93" s="84">
        <f t="shared" si="120"/>
        <v>0</v>
      </c>
      <c r="AG93" s="94">
        <f t="shared" si="21"/>
        <v>0</v>
      </c>
      <c r="AH93" s="85">
        <f>IFERROR(VLOOKUP(A93,CUSTOMERS!$A:$E,4),"")</f>
        <v>-150</v>
      </c>
      <c r="AI93" s="86" t="str">
        <f t="shared" si="112"/>
        <v/>
      </c>
      <c r="AJ93" s="87">
        <f>IFERROR(VLOOKUP(A93,CUSTOMERS!$A:$F,5),"")</f>
        <v>0</v>
      </c>
      <c r="AK93" s="96"/>
      <c r="AL93" s="96">
        <v>0</v>
      </c>
      <c r="AM93" s="96">
        <v>0</v>
      </c>
      <c r="AN93" s="96"/>
      <c r="AO93" s="96">
        <v>0</v>
      </c>
      <c r="AP93" s="102">
        <f t="shared" si="121"/>
        <v>0</v>
      </c>
      <c r="AQ93" s="102">
        <f t="shared" si="110"/>
        <v>0</v>
      </c>
      <c r="AR93" s="68" t="str">
        <f>IFERROR(VLOOKUP(A93,CUSTOMERS!$A:$B,2),"")</f>
        <v>PRD</v>
      </c>
      <c r="AS93" s="68" t="str">
        <f>IFERROR(VLOOKUP(A93,CUSTOMERS!$A:$D,3),"")</f>
        <v>BLG</v>
      </c>
      <c r="AT93" s="68" t="str">
        <f>IFERROR(VLOOKUP(A93,CUSTOMERS!$A:$F,6),"")</f>
        <v>N</v>
      </c>
      <c r="AU93" s="69">
        <f>IFERROR(VLOOKUP(A93,CUSTOMERS!$A:$E,4),"")</f>
        <v>-150</v>
      </c>
      <c r="AV93" s="68" t="str">
        <f t="shared" si="85"/>
        <v/>
      </c>
      <c r="AX93" s="71" t="str">
        <f t="shared" si="122"/>
        <v>reason93</v>
      </c>
    </row>
    <row r="94" spans="1:50" ht="40.5" customHeight="1" thickTop="1" thickBot="1">
      <c r="A94" s="188" t="s">
        <v>27</v>
      </c>
      <c r="B94" s="120" t="str">
        <f t="shared" si="113"/>
        <v>N</v>
      </c>
      <c r="C94" s="120"/>
      <c r="D94" s="121">
        <v>10</v>
      </c>
      <c r="E94" s="121"/>
      <c r="F94" s="122" t="str">
        <f t="shared" si="114"/>
        <v>PRD-BLG-2020-00010</v>
      </c>
      <c r="G94" s="123" t="s">
        <v>56</v>
      </c>
      <c r="H94" s="124" t="s">
        <v>57</v>
      </c>
      <c r="I94" s="239"/>
      <c r="J94" s="80">
        <f t="shared" si="117"/>
        <v>-11250</v>
      </c>
      <c r="K94" s="177">
        <f t="shared" si="116"/>
        <v>43874</v>
      </c>
      <c r="L94" s="148">
        <v>43874</v>
      </c>
      <c r="M94" s="149"/>
      <c r="N94" s="150"/>
      <c r="O94" s="150"/>
      <c r="P94" s="150"/>
      <c r="Q94" s="200" t="s">
        <v>17</v>
      </c>
      <c r="R94" s="200" t="s">
        <v>4</v>
      </c>
      <c r="S94" s="200" t="s">
        <v>308</v>
      </c>
      <c r="T94" s="200" t="s">
        <v>450</v>
      </c>
      <c r="U94" s="200" t="s">
        <v>450</v>
      </c>
      <c r="V94" s="200"/>
      <c r="W94" s="200"/>
      <c r="X94" s="144" t="s">
        <v>512</v>
      </c>
      <c r="Y94" s="173">
        <f t="shared" si="61"/>
        <v>-11250</v>
      </c>
      <c r="Z94" s="83">
        <f t="shared" si="118"/>
        <v>-1377.5510204081634</v>
      </c>
      <c r="AA94" s="84">
        <f t="shared" si="123"/>
        <v>-5280.6122448979595</v>
      </c>
      <c r="AB94" s="84">
        <f t="shared" si="60"/>
        <v>-1836.7346938775509</v>
      </c>
      <c r="AC94" s="84">
        <f t="shared" si="119"/>
        <v>-1377.5510204081634</v>
      </c>
      <c r="AD94" s="84"/>
      <c r="AE94" s="84">
        <f t="shared" si="20"/>
        <v>-1377.5510204081634</v>
      </c>
      <c r="AF94" s="84">
        <f t="shared" si="120"/>
        <v>-11250</v>
      </c>
      <c r="AG94" s="94">
        <f t="shared" si="21"/>
        <v>0</v>
      </c>
      <c r="AH94" s="85">
        <f>IFERROR(VLOOKUP(A94,CUSTOMERS!$A:$E,4),"")</f>
        <v>-150</v>
      </c>
      <c r="AI94" s="86" t="str">
        <f t="shared" si="112"/>
        <v/>
      </c>
      <c r="AJ94" s="87">
        <f>IFERROR(VLOOKUP(A94,CUSTOMERS!$A:$F,5),"")</f>
        <v>0</v>
      </c>
      <c r="AK94" s="97">
        <v>1.2244897959183674</v>
      </c>
      <c r="AL94" s="97">
        <v>4.6938775510204085</v>
      </c>
      <c r="AM94" s="97">
        <v>1.6326530612244896</v>
      </c>
      <c r="AN94" s="97">
        <v>1.2244897959183674</v>
      </c>
      <c r="AO94" s="97">
        <v>1.2244897959183674</v>
      </c>
      <c r="AP94" s="102">
        <f t="shared" si="121"/>
        <v>10.000000000000002</v>
      </c>
      <c r="AQ94" s="102">
        <f t="shared" si="110"/>
        <v>0</v>
      </c>
      <c r="AR94" s="68" t="str">
        <f>IFERROR(VLOOKUP(A94,CUSTOMERS!$A:$B,2),"")</f>
        <v>PRD</v>
      </c>
      <c r="AS94" s="68" t="str">
        <f>IFERROR(VLOOKUP(A94,CUSTOMERS!$A:$D,3),"")</f>
        <v>BLG</v>
      </c>
      <c r="AT94" s="68" t="str">
        <f>IFERROR(VLOOKUP(A94,CUSTOMERS!$A:$F,6),"")</f>
        <v>N</v>
      </c>
      <c r="AU94" s="69">
        <f>IFERROR(VLOOKUP(A94,CUSTOMERS!$A:$E,4),"")</f>
        <v>-150</v>
      </c>
      <c r="AV94" s="68" t="str">
        <f t="shared" si="85"/>
        <v/>
      </c>
      <c r="AX94" s="71" t="str">
        <f t="shared" si="122"/>
        <v>reason94</v>
      </c>
    </row>
    <row r="95" spans="1:50" ht="48.75" thickTop="1" thickBot="1">
      <c r="A95" s="188" t="s">
        <v>27</v>
      </c>
      <c r="B95" s="120" t="str">
        <f t="shared" si="113"/>
        <v>N</v>
      </c>
      <c r="C95" s="120"/>
      <c r="D95" s="121">
        <v>13</v>
      </c>
      <c r="E95" s="121"/>
      <c r="F95" s="122" t="str">
        <f t="shared" si="114"/>
        <v>PRD-BLG-2020-00013</v>
      </c>
      <c r="G95" s="123" t="s">
        <v>29</v>
      </c>
      <c r="H95" s="124" t="s">
        <v>513</v>
      </c>
      <c r="I95" s="239"/>
      <c r="J95" s="80">
        <f t="shared" si="117"/>
        <v>0</v>
      </c>
      <c r="K95" s="177">
        <f t="shared" si="116"/>
        <v>44173</v>
      </c>
      <c r="L95" s="141">
        <v>44173</v>
      </c>
      <c r="M95" s="149"/>
      <c r="N95" s="150"/>
      <c r="O95" s="150"/>
      <c r="P95" s="150"/>
      <c r="Q95" s="200" t="s">
        <v>15</v>
      </c>
      <c r="R95" s="200" t="s">
        <v>42</v>
      </c>
      <c r="S95" s="200" t="s">
        <v>308</v>
      </c>
      <c r="T95" s="200" t="s">
        <v>451</v>
      </c>
      <c r="U95" s="200" t="s">
        <v>451</v>
      </c>
      <c r="V95" s="200"/>
      <c r="W95" s="200"/>
      <c r="X95" s="144" t="s">
        <v>514</v>
      </c>
      <c r="Y95" s="173">
        <f t="shared" si="61"/>
        <v>0</v>
      </c>
      <c r="Z95" s="83">
        <f t="shared" si="118"/>
        <v>0</v>
      </c>
      <c r="AA95" s="84">
        <f t="shared" si="123"/>
        <v>0</v>
      </c>
      <c r="AB95" s="84">
        <f t="shared" si="60"/>
        <v>0</v>
      </c>
      <c r="AC95" s="84">
        <f t="shared" si="119"/>
        <v>0</v>
      </c>
      <c r="AD95" s="84"/>
      <c r="AE95" s="84">
        <f t="shared" si="20"/>
        <v>0</v>
      </c>
      <c r="AF95" s="84">
        <f t="shared" si="120"/>
        <v>0</v>
      </c>
      <c r="AG95" s="94">
        <f t="shared" si="21"/>
        <v>0</v>
      </c>
      <c r="AH95" s="85">
        <f>IFERROR(VLOOKUP(A95,CUSTOMERS!$A:$E,4),"")</f>
        <v>-150</v>
      </c>
      <c r="AI95" s="86" t="str">
        <f t="shared" si="112"/>
        <v/>
      </c>
      <c r="AJ95" s="87">
        <f>IFERROR(VLOOKUP(A95,CUSTOMERS!$A:$F,5),"")</f>
        <v>0</v>
      </c>
      <c r="AK95" s="96"/>
      <c r="AL95" s="96">
        <v>0</v>
      </c>
      <c r="AM95" s="96">
        <v>0</v>
      </c>
      <c r="AN95" s="96"/>
      <c r="AO95" s="96">
        <v>0</v>
      </c>
      <c r="AP95" s="102">
        <f t="shared" si="121"/>
        <v>0</v>
      </c>
      <c r="AQ95" s="102">
        <f t="shared" si="110"/>
        <v>0</v>
      </c>
      <c r="AR95" s="68" t="str">
        <f>IFERROR(VLOOKUP(A95,CUSTOMERS!$A:$B,2),"")</f>
        <v>PRD</v>
      </c>
      <c r="AS95" s="68" t="str">
        <f>IFERROR(VLOOKUP(A95,CUSTOMERS!$A:$D,3),"")</f>
        <v>BLG</v>
      </c>
      <c r="AT95" s="68" t="str">
        <f>IFERROR(VLOOKUP(A95,CUSTOMERS!$A:$F,6),"")</f>
        <v>N</v>
      </c>
      <c r="AU95" s="69">
        <f>IFERROR(VLOOKUP(A95,CUSTOMERS!$A:$E,4),"")</f>
        <v>-150</v>
      </c>
      <c r="AV95" s="68" t="str">
        <f t="shared" si="85"/>
        <v/>
      </c>
      <c r="AX95" s="71" t="str">
        <f t="shared" si="122"/>
        <v>reason95</v>
      </c>
    </row>
    <row r="96" spans="1:50" ht="40.5" customHeight="1" thickTop="1" thickBot="1">
      <c r="A96" s="188" t="s">
        <v>50</v>
      </c>
      <c r="B96" s="120" t="str">
        <f t="shared" si="113"/>
        <v>N</v>
      </c>
      <c r="C96" s="120"/>
      <c r="D96" s="121">
        <v>15</v>
      </c>
      <c r="E96" s="121"/>
      <c r="F96" s="122" t="str">
        <f t="shared" si="114"/>
        <v>PRD-REQ-2020-00015</v>
      </c>
      <c r="G96" s="123" t="s">
        <v>29</v>
      </c>
      <c r="H96" s="124" t="s">
        <v>61</v>
      </c>
      <c r="I96" s="239"/>
      <c r="J96" s="80">
        <f t="shared" si="117"/>
        <v>0</v>
      </c>
      <c r="K96" s="177">
        <f t="shared" si="116"/>
        <v>44040</v>
      </c>
      <c r="L96" s="141">
        <v>44040</v>
      </c>
      <c r="M96" s="142"/>
      <c r="N96" s="142"/>
      <c r="O96" s="142"/>
      <c r="P96" s="142"/>
      <c r="Q96" s="199" t="s">
        <v>14</v>
      </c>
      <c r="R96" s="199" t="s">
        <v>25</v>
      </c>
      <c r="S96" s="199" t="s">
        <v>308</v>
      </c>
      <c r="T96" s="199"/>
      <c r="U96" s="199"/>
      <c r="V96" s="199"/>
      <c r="W96" s="199"/>
      <c r="X96" s="144" t="s">
        <v>515</v>
      </c>
      <c r="Y96" s="173">
        <f t="shared" si="61"/>
        <v>0</v>
      </c>
      <c r="Z96" s="83">
        <f t="shared" si="118"/>
        <v>0</v>
      </c>
      <c r="AA96" s="84">
        <f t="shared" si="123"/>
        <v>0</v>
      </c>
      <c r="AB96" s="84">
        <f t="shared" si="60"/>
        <v>0</v>
      </c>
      <c r="AC96" s="84">
        <f t="shared" si="119"/>
        <v>0</v>
      </c>
      <c r="AD96" s="84"/>
      <c r="AE96" s="84">
        <f t="shared" si="20"/>
        <v>0</v>
      </c>
      <c r="AF96" s="84">
        <f t="shared" si="120"/>
        <v>0</v>
      </c>
      <c r="AG96" s="94">
        <f t="shared" si="21"/>
        <v>0</v>
      </c>
      <c r="AH96" s="85">
        <f>IFERROR(VLOOKUP(A96,CUSTOMERS!$A:$E,4),"")</f>
        <v>-150</v>
      </c>
      <c r="AI96" s="86" t="str">
        <f t="shared" si="112"/>
        <v/>
      </c>
      <c r="AJ96" s="87">
        <f>IFERROR(VLOOKUP(A96,CUSTOMERS!$A:$F,5),"")</f>
        <v>0</v>
      </c>
      <c r="AK96" s="96"/>
      <c r="AL96" s="96">
        <v>0</v>
      </c>
      <c r="AM96" s="96">
        <v>0</v>
      </c>
      <c r="AN96" s="96"/>
      <c r="AO96" s="96">
        <v>0</v>
      </c>
      <c r="AP96" s="102">
        <f t="shared" si="121"/>
        <v>0</v>
      </c>
      <c r="AQ96" s="102">
        <f t="shared" si="110"/>
        <v>0</v>
      </c>
      <c r="AR96" s="68" t="str">
        <f>IFERROR(VLOOKUP(A96,CUSTOMERS!$A:$B,2),"")</f>
        <v>PRD</v>
      </c>
      <c r="AS96" s="68" t="str">
        <f>IFERROR(VLOOKUP(A96,CUSTOMERS!$A:$D,3),"")</f>
        <v>REQ</v>
      </c>
      <c r="AT96" s="68" t="str">
        <f>IFERROR(VLOOKUP(A96,CUSTOMERS!$A:$F,6),"")</f>
        <v>N</v>
      </c>
      <c r="AU96" s="69">
        <f>IFERROR(VLOOKUP(A96,CUSTOMERS!$A:$E,4),"")</f>
        <v>-150</v>
      </c>
      <c r="AV96" s="68" t="str">
        <f t="shared" si="85"/>
        <v/>
      </c>
      <c r="AX96" s="71" t="str">
        <f t="shared" si="122"/>
        <v>reason96</v>
      </c>
    </row>
    <row r="97" spans="1:50" ht="40.5" customHeight="1" thickTop="1" thickBot="1">
      <c r="A97" s="188" t="s">
        <v>50</v>
      </c>
      <c r="B97" s="120" t="str">
        <f t="shared" si="113"/>
        <v>N</v>
      </c>
      <c r="C97" s="120"/>
      <c r="D97" s="121">
        <v>16</v>
      </c>
      <c r="E97" s="121"/>
      <c r="F97" s="122" t="str">
        <f t="shared" si="114"/>
        <v>PRD-REQ-2020-00016</v>
      </c>
      <c r="G97" s="123" t="s">
        <v>29</v>
      </c>
      <c r="H97" s="124" t="s">
        <v>63</v>
      </c>
      <c r="I97" s="239"/>
      <c r="J97" s="80">
        <f t="shared" si="117"/>
        <v>0</v>
      </c>
      <c r="K97" s="177">
        <f t="shared" si="116"/>
        <v>44040</v>
      </c>
      <c r="L97" s="141">
        <v>44040</v>
      </c>
      <c r="M97" s="142"/>
      <c r="N97" s="142"/>
      <c r="O97" s="142"/>
      <c r="P97" s="142"/>
      <c r="Q97" s="199" t="s">
        <v>13</v>
      </c>
      <c r="R97" s="199" t="s">
        <v>25</v>
      </c>
      <c r="S97" s="199" t="s">
        <v>308</v>
      </c>
      <c r="T97" s="199"/>
      <c r="U97" s="199"/>
      <c r="V97" s="199"/>
      <c r="W97" s="199"/>
      <c r="X97" s="144" t="s">
        <v>515</v>
      </c>
      <c r="Y97" s="173">
        <f t="shared" si="61"/>
        <v>0</v>
      </c>
      <c r="Z97" s="83">
        <f t="shared" si="118"/>
        <v>0</v>
      </c>
      <c r="AA97" s="84">
        <f t="shared" si="123"/>
        <v>0</v>
      </c>
      <c r="AB97" s="84">
        <f t="shared" si="60"/>
        <v>0</v>
      </c>
      <c r="AC97" s="84">
        <f t="shared" si="119"/>
        <v>0</v>
      </c>
      <c r="AD97" s="84"/>
      <c r="AE97" s="84">
        <f t="shared" si="20"/>
        <v>0</v>
      </c>
      <c r="AF97" s="84">
        <f t="shared" si="120"/>
        <v>0</v>
      </c>
      <c r="AG97" s="94">
        <f t="shared" si="21"/>
        <v>0</v>
      </c>
      <c r="AH97" s="85">
        <f>IFERROR(VLOOKUP(A97,CUSTOMERS!$A:$E,4),"")</f>
        <v>-150</v>
      </c>
      <c r="AI97" s="86" t="str">
        <f t="shared" si="112"/>
        <v/>
      </c>
      <c r="AJ97" s="87">
        <f>IFERROR(VLOOKUP(A97,CUSTOMERS!$A:$F,5),"")</f>
        <v>0</v>
      </c>
      <c r="AK97" s="96"/>
      <c r="AL97" s="96">
        <v>0</v>
      </c>
      <c r="AM97" s="96">
        <v>0</v>
      </c>
      <c r="AN97" s="96"/>
      <c r="AO97" s="96">
        <v>0</v>
      </c>
      <c r="AP97" s="102">
        <f t="shared" si="121"/>
        <v>0</v>
      </c>
      <c r="AQ97" s="102">
        <f t="shared" si="110"/>
        <v>0</v>
      </c>
      <c r="AR97" s="68" t="str">
        <f>IFERROR(VLOOKUP(A97,CUSTOMERS!$A:$B,2),"")</f>
        <v>PRD</v>
      </c>
      <c r="AS97" s="68" t="str">
        <f>IFERROR(VLOOKUP(A97,CUSTOMERS!$A:$D,3),"")</f>
        <v>REQ</v>
      </c>
      <c r="AT97" s="68" t="str">
        <f>IFERROR(VLOOKUP(A97,CUSTOMERS!$A:$F,6),"")</f>
        <v>N</v>
      </c>
      <c r="AU97" s="69">
        <f>IFERROR(VLOOKUP(A97,CUSTOMERS!$A:$E,4),"")</f>
        <v>-150</v>
      </c>
      <c r="AV97" s="68" t="str">
        <f t="shared" si="85"/>
        <v/>
      </c>
      <c r="AX97" s="71" t="str">
        <f t="shared" si="122"/>
        <v>reason97</v>
      </c>
    </row>
    <row r="98" spans="1:50" ht="40.5" customHeight="1" thickTop="1" thickBot="1">
      <c r="A98" s="188" t="s">
        <v>50</v>
      </c>
      <c r="B98" s="120" t="str">
        <f t="shared" si="113"/>
        <v>N</v>
      </c>
      <c r="C98" s="120"/>
      <c r="D98" s="121">
        <v>17</v>
      </c>
      <c r="E98" s="121"/>
      <c r="F98" s="122" t="str">
        <f t="shared" si="114"/>
        <v>PRD-REQ-2020-00017</v>
      </c>
      <c r="G98" s="123" t="s">
        <v>29</v>
      </c>
      <c r="H98" s="124" t="s">
        <v>65</v>
      </c>
      <c r="I98" s="239"/>
      <c r="J98" s="80">
        <f t="shared" si="117"/>
        <v>0</v>
      </c>
      <c r="K98" s="177">
        <f t="shared" si="116"/>
        <v>44069</v>
      </c>
      <c r="L98" s="141">
        <v>44069</v>
      </c>
      <c r="M98" s="142"/>
      <c r="N98" s="142"/>
      <c r="O98" s="142"/>
      <c r="P98" s="142"/>
      <c r="Q98" s="199" t="s">
        <v>17</v>
      </c>
      <c r="R98" s="199" t="s">
        <v>25</v>
      </c>
      <c r="S98" s="199" t="s">
        <v>308</v>
      </c>
      <c r="T98" s="199"/>
      <c r="U98" s="199"/>
      <c r="V98" s="199"/>
      <c r="W98" s="199"/>
      <c r="X98" s="144" t="s">
        <v>516</v>
      </c>
      <c r="Y98" s="173">
        <f t="shared" si="61"/>
        <v>0</v>
      </c>
      <c r="Z98" s="83">
        <f t="shared" si="118"/>
        <v>0</v>
      </c>
      <c r="AA98" s="84">
        <f t="shared" si="123"/>
        <v>0</v>
      </c>
      <c r="AB98" s="84">
        <f t="shared" si="60"/>
        <v>0</v>
      </c>
      <c r="AC98" s="84">
        <f t="shared" si="119"/>
        <v>0</v>
      </c>
      <c r="AD98" s="84"/>
      <c r="AE98" s="84">
        <f t="shared" ref="AE98:AE162" si="124">IFERROR((AO98*AH98)*7.5,"")</f>
        <v>0</v>
      </c>
      <c r="AF98" s="84">
        <f t="shared" si="120"/>
        <v>0</v>
      </c>
      <c r="AG98" s="94">
        <f t="shared" ref="AG98:AG162" si="125">IFERROR((AQ98*AH98)*7.5,"")</f>
        <v>0</v>
      </c>
      <c r="AH98" s="85">
        <f>IFERROR(VLOOKUP(A98,CUSTOMERS!$A:$E,4),"")</f>
        <v>-150</v>
      </c>
      <c r="AI98" s="86" t="str">
        <f t="shared" si="112"/>
        <v/>
      </c>
      <c r="AJ98" s="87">
        <f>IFERROR(VLOOKUP(A98,CUSTOMERS!$A:$F,5),"")</f>
        <v>0</v>
      </c>
      <c r="AK98" s="96"/>
      <c r="AL98" s="96">
        <v>0</v>
      </c>
      <c r="AM98" s="96">
        <v>0</v>
      </c>
      <c r="AN98" s="96"/>
      <c r="AO98" s="96">
        <v>0</v>
      </c>
      <c r="AP98" s="102">
        <f t="shared" si="121"/>
        <v>0</v>
      </c>
      <c r="AQ98" s="102">
        <f t="shared" si="110"/>
        <v>0</v>
      </c>
      <c r="AR98" s="68" t="str">
        <f>IFERROR(VLOOKUP(A98,CUSTOMERS!$A:$B,2),"")</f>
        <v>PRD</v>
      </c>
      <c r="AS98" s="68" t="str">
        <f>IFERROR(VLOOKUP(A98,CUSTOMERS!$A:$D,3),"")</f>
        <v>REQ</v>
      </c>
      <c r="AT98" s="68" t="str">
        <f>IFERROR(VLOOKUP(A98,CUSTOMERS!$A:$F,6),"")</f>
        <v>N</v>
      </c>
      <c r="AU98" s="69">
        <f>IFERROR(VLOOKUP(A98,CUSTOMERS!$A:$E,4),"")</f>
        <v>-150</v>
      </c>
      <c r="AV98" s="68" t="str">
        <f t="shared" si="85"/>
        <v/>
      </c>
      <c r="AX98" s="71" t="str">
        <f t="shared" si="122"/>
        <v>reason98</v>
      </c>
    </row>
    <row r="99" spans="1:50" ht="40.5" customHeight="1" thickTop="1" thickBot="1">
      <c r="A99" s="188" t="s">
        <v>50</v>
      </c>
      <c r="B99" s="120" t="str">
        <f t="shared" si="113"/>
        <v>N</v>
      </c>
      <c r="C99" s="120"/>
      <c r="D99" s="121">
        <v>19</v>
      </c>
      <c r="E99" s="121"/>
      <c r="F99" s="122" t="str">
        <f t="shared" si="114"/>
        <v>PRD-REQ-2020-00019</v>
      </c>
      <c r="G99" s="123" t="s">
        <v>339</v>
      </c>
      <c r="H99" s="124" t="s">
        <v>517</v>
      </c>
      <c r="I99" s="239"/>
      <c r="J99" s="80">
        <f t="shared" si="117"/>
        <v>0</v>
      </c>
      <c r="K99" s="177">
        <f t="shared" si="116"/>
        <v>44070</v>
      </c>
      <c r="L99" s="141">
        <v>44070</v>
      </c>
      <c r="M99" s="142"/>
      <c r="N99" s="142"/>
      <c r="O99" s="142"/>
      <c r="P99" s="142"/>
      <c r="Q99" s="199" t="s">
        <v>16</v>
      </c>
      <c r="R99" s="199" t="s">
        <v>31</v>
      </c>
      <c r="S99" s="199"/>
      <c r="T99" s="199"/>
      <c r="U99" s="199"/>
      <c r="V99" s="199"/>
      <c r="W99" s="199"/>
      <c r="X99" s="144" t="s">
        <v>469</v>
      </c>
      <c r="Y99" s="173">
        <f t="shared" si="61"/>
        <v>0</v>
      </c>
      <c r="Z99" s="83">
        <f t="shared" si="118"/>
        <v>0</v>
      </c>
      <c r="AA99" s="84">
        <f t="shared" si="123"/>
        <v>0</v>
      </c>
      <c r="AB99" s="84">
        <f t="shared" si="60"/>
        <v>0</v>
      </c>
      <c r="AC99" s="84">
        <f t="shared" si="119"/>
        <v>0</v>
      </c>
      <c r="AD99" s="84"/>
      <c r="AE99" s="84">
        <f t="shared" si="124"/>
        <v>0</v>
      </c>
      <c r="AF99" s="84">
        <f t="shared" si="120"/>
        <v>0</v>
      </c>
      <c r="AG99" s="94">
        <f t="shared" si="125"/>
        <v>0</v>
      </c>
      <c r="AH99" s="85">
        <f>IFERROR(VLOOKUP(A99,CUSTOMERS!$A:$E,4),"")</f>
        <v>-150</v>
      </c>
      <c r="AI99" s="86" t="str">
        <f t="shared" si="112"/>
        <v/>
      </c>
      <c r="AJ99" s="87">
        <f>IFERROR(VLOOKUP(A99,CUSTOMERS!$A:$F,5),"")</f>
        <v>0</v>
      </c>
      <c r="AK99" s="96"/>
      <c r="AL99" s="96">
        <v>0</v>
      </c>
      <c r="AM99" s="96">
        <v>0</v>
      </c>
      <c r="AN99" s="96"/>
      <c r="AO99" s="96">
        <v>0</v>
      </c>
      <c r="AP99" s="102">
        <f t="shared" si="121"/>
        <v>0</v>
      </c>
      <c r="AQ99" s="102">
        <f t="shared" si="110"/>
        <v>0</v>
      </c>
      <c r="AR99" s="68" t="str">
        <f>IFERROR(VLOOKUP(A99,CUSTOMERS!$A:$B,2),"")</f>
        <v>PRD</v>
      </c>
      <c r="AS99" s="68" t="str">
        <f>IFERROR(VLOOKUP(A99,CUSTOMERS!$A:$D,3),"")</f>
        <v>REQ</v>
      </c>
      <c r="AT99" s="68" t="str">
        <f>IFERROR(VLOOKUP(A99,CUSTOMERS!$A:$F,6),"")</f>
        <v>N</v>
      </c>
      <c r="AU99" s="69">
        <f>IFERROR(VLOOKUP(A99,CUSTOMERS!$A:$E,4),"")</f>
        <v>-150</v>
      </c>
      <c r="AV99" s="68" t="str">
        <f t="shared" si="85"/>
        <v/>
      </c>
      <c r="AX99" s="71" t="str">
        <f t="shared" si="122"/>
        <v>reason99</v>
      </c>
    </row>
    <row r="100" spans="1:50" ht="40.5" customHeight="1" thickTop="1" thickBot="1">
      <c r="A100" s="188" t="s">
        <v>50</v>
      </c>
      <c r="B100" s="120"/>
      <c r="C100" s="120"/>
      <c r="D100" s="121"/>
      <c r="E100" s="121"/>
      <c r="F100" s="122"/>
      <c r="G100" s="123" t="s">
        <v>29</v>
      </c>
      <c r="H100" s="124" t="s">
        <v>518</v>
      </c>
      <c r="I100" s="239"/>
      <c r="J100" s="80"/>
      <c r="K100" s="177"/>
      <c r="L100" s="141"/>
      <c r="M100" s="142"/>
      <c r="N100" s="142"/>
      <c r="O100" s="142"/>
      <c r="P100" s="142"/>
      <c r="Q100" s="199" t="s">
        <v>15</v>
      </c>
      <c r="R100" s="199" t="s">
        <v>25</v>
      </c>
      <c r="S100" s="199" t="s">
        <v>308</v>
      </c>
      <c r="T100" s="199"/>
      <c r="U100" s="199"/>
      <c r="V100" s="199"/>
      <c r="W100" s="199"/>
      <c r="X100" s="144"/>
      <c r="Y100" s="173"/>
      <c r="Z100" s="83"/>
      <c r="AA100" s="84"/>
      <c r="AB100" s="84"/>
      <c r="AC100" s="84"/>
      <c r="AD100" s="84"/>
      <c r="AE100" s="84"/>
      <c r="AF100" s="84"/>
      <c r="AG100" s="94"/>
      <c r="AH100" s="85"/>
      <c r="AI100" s="86"/>
      <c r="AJ100" s="87"/>
      <c r="AK100" s="96"/>
      <c r="AL100" s="96"/>
      <c r="AM100" s="96"/>
      <c r="AN100" s="96"/>
      <c r="AO100" s="96"/>
      <c r="AP100" s="102"/>
      <c r="AQ100" s="102"/>
      <c r="AR100" s="68"/>
      <c r="AS100" s="68"/>
      <c r="AT100" s="68"/>
      <c r="AU100" s="69"/>
      <c r="AV100" s="68"/>
      <c r="AX100" s="71"/>
    </row>
    <row r="101" spans="1:50" ht="58.5" customHeight="1" thickTop="1" thickBot="1">
      <c r="A101" s="188" t="s">
        <v>50</v>
      </c>
      <c r="B101" s="120" t="str">
        <f t="shared" ref="B101:B137" si="126">AT101</f>
        <v>N</v>
      </c>
      <c r="C101" s="120"/>
      <c r="D101" s="121">
        <v>20</v>
      </c>
      <c r="E101" s="121"/>
      <c r="F101" s="122" t="str">
        <f t="shared" si="114"/>
        <v>PRD-REQ-2019-00020</v>
      </c>
      <c r="G101" s="123" t="s">
        <v>29</v>
      </c>
      <c r="H101" s="124" t="s">
        <v>67</v>
      </c>
      <c r="I101" s="239"/>
      <c r="J101" s="214">
        <f t="shared" si="117"/>
        <v>-90000</v>
      </c>
      <c r="K101" s="177">
        <f t="shared" si="116"/>
        <v>43716</v>
      </c>
      <c r="L101" s="141">
        <v>43716</v>
      </c>
      <c r="M101" s="142"/>
      <c r="N101" s="142"/>
      <c r="O101" s="142"/>
      <c r="P101" s="142"/>
      <c r="Q101" s="199" t="s">
        <v>18</v>
      </c>
      <c r="R101" s="199" t="s">
        <v>31</v>
      </c>
      <c r="S101" s="199" t="s">
        <v>311</v>
      </c>
      <c r="T101" s="199" t="s">
        <v>455</v>
      </c>
      <c r="U101" s="199" t="s">
        <v>451</v>
      </c>
      <c r="V101" s="199"/>
      <c r="W101" s="199"/>
      <c r="X101" s="144" t="s">
        <v>519</v>
      </c>
      <c r="Y101" s="173">
        <f t="shared" si="61"/>
        <v>-90000</v>
      </c>
      <c r="Z101" s="83">
        <f t="shared" si="118"/>
        <v>-11020.408163265307</v>
      </c>
      <c r="AA101" s="84">
        <f t="shared" si="123"/>
        <v>-42244.897959183676</v>
      </c>
      <c r="AB101" s="84">
        <f t="shared" si="60"/>
        <v>-14693.877551020407</v>
      </c>
      <c r="AC101" s="84">
        <f t="shared" si="119"/>
        <v>-11020.408163265307</v>
      </c>
      <c r="AD101" s="84"/>
      <c r="AE101" s="84">
        <f t="shared" si="124"/>
        <v>-11020.408163265307</v>
      </c>
      <c r="AF101" s="84">
        <f t="shared" si="120"/>
        <v>-90000</v>
      </c>
      <c r="AG101" s="94">
        <f t="shared" si="125"/>
        <v>0</v>
      </c>
      <c r="AH101" s="85">
        <f>IFERROR(VLOOKUP(A101,CUSTOMERS!$A:$E,4),"")</f>
        <v>-150</v>
      </c>
      <c r="AI101" s="86" t="str">
        <f t="shared" si="112"/>
        <v/>
      </c>
      <c r="AJ101" s="87">
        <f>IFERROR(VLOOKUP(A101,CUSTOMERS!$A:$F,5),"")</f>
        <v>0</v>
      </c>
      <c r="AK101" s="97">
        <v>9.795918367346939</v>
      </c>
      <c r="AL101" s="97">
        <v>37.551020408163268</v>
      </c>
      <c r="AM101" s="97">
        <v>13.061224489795917</v>
      </c>
      <c r="AN101" s="97">
        <v>9.795918367346939</v>
      </c>
      <c r="AO101" s="97">
        <v>9.795918367346939</v>
      </c>
      <c r="AP101" s="102">
        <f t="shared" si="121"/>
        <v>80.000000000000014</v>
      </c>
      <c r="AQ101" s="102">
        <f t="shared" si="110"/>
        <v>0</v>
      </c>
      <c r="AR101" s="68" t="str">
        <f>IFERROR(VLOOKUP(A101,CUSTOMERS!$A:$B,2),"")</f>
        <v>PRD</v>
      </c>
      <c r="AS101" s="68" t="str">
        <f>IFERROR(VLOOKUP(A101,CUSTOMERS!$A:$D,3),"")</f>
        <v>REQ</v>
      </c>
      <c r="AT101" s="68" t="str">
        <f>IFERROR(VLOOKUP(A101,CUSTOMERS!$A:$F,6),"")</f>
        <v>N</v>
      </c>
      <c r="AU101" s="69">
        <f>IFERROR(VLOOKUP(A101,CUSTOMERS!$A:$E,4),"")</f>
        <v>-150</v>
      </c>
      <c r="AV101" s="68" t="str">
        <f t="shared" si="85"/>
        <v/>
      </c>
      <c r="AX101" s="71" t="str">
        <f t="shared" si="122"/>
        <v>reason101</v>
      </c>
    </row>
    <row r="102" spans="1:50" ht="74.25" customHeight="1" thickTop="1" thickBot="1">
      <c r="A102" s="188" t="s">
        <v>50</v>
      </c>
      <c r="B102" s="120" t="str">
        <f t="shared" si="126"/>
        <v>N</v>
      </c>
      <c r="C102" s="120"/>
      <c r="D102" s="121">
        <v>21</v>
      </c>
      <c r="E102" s="121"/>
      <c r="F102" s="122" t="str">
        <f t="shared" si="114"/>
        <v>PRD-REQ-2019-00021</v>
      </c>
      <c r="G102" s="123" t="s">
        <v>29</v>
      </c>
      <c r="H102" s="124" t="s">
        <v>520</v>
      </c>
      <c r="I102" s="239"/>
      <c r="J102" s="80">
        <f t="shared" si="117"/>
        <v>-50624.999999999993</v>
      </c>
      <c r="K102" s="177">
        <f t="shared" si="116"/>
        <v>43716</v>
      </c>
      <c r="L102" s="141">
        <v>43716</v>
      </c>
      <c r="M102" s="142"/>
      <c r="N102" s="142"/>
      <c r="O102" s="142"/>
      <c r="P102" s="142"/>
      <c r="Q102" s="199" t="s">
        <v>18</v>
      </c>
      <c r="R102" s="199" t="s">
        <v>31</v>
      </c>
      <c r="S102" s="199" t="s">
        <v>311</v>
      </c>
      <c r="T102" s="199" t="s">
        <v>455</v>
      </c>
      <c r="U102" s="199" t="s">
        <v>451</v>
      </c>
      <c r="V102" s="199"/>
      <c r="W102" s="199"/>
      <c r="X102" s="144" t="s">
        <v>521</v>
      </c>
      <c r="Y102" s="173">
        <f t="shared" si="61"/>
        <v>-50624.999999999993</v>
      </c>
      <c r="Z102" s="83">
        <f t="shared" si="118"/>
        <v>-6198.9795918367336</v>
      </c>
      <c r="AA102" s="84">
        <f t="shared" si="123"/>
        <v>-23762.755102040817</v>
      </c>
      <c r="AB102" s="84">
        <f t="shared" si="60"/>
        <v>-8265.3061224489793</v>
      </c>
      <c r="AC102" s="84">
        <f t="shared" si="119"/>
        <v>-6198.9795918367336</v>
      </c>
      <c r="AD102" s="84"/>
      <c r="AE102" s="84">
        <f t="shared" si="124"/>
        <v>-6198.9795918367336</v>
      </c>
      <c r="AF102" s="84">
        <f t="shared" si="120"/>
        <v>-50624.999999999993</v>
      </c>
      <c r="AG102" s="94">
        <f t="shared" si="125"/>
        <v>0</v>
      </c>
      <c r="AH102" s="85">
        <f>IFERROR(VLOOKUP(A102,CUSTOMERS!$A:$E,4),"")</f>
        <v>-150</v>
      </c>
      <c r="AI102" s="86" t="str">
        <f t="shared" si="112"/>
        <v/>
      </c>
      <c r="AJ102" s="87">
        <f>IFERROR(VLOOKUP(A102,CUSTOMERS!$A:$F,5),"")</f>
        <v>0</v>
      </c>
      <c r="AK102" s="97">
        <v>5.5102040816326525</v>
      </c>
      <c r="AL102" s="97">
        <v>21.122448979591837</v>
      </c>
      <c r="AM102" s="97">
        <v>7.3469387755102034</v>
      </c>
      <c r="AN102" s="97">
        <v>5.5102040816326525</v>
      </c>
      <c r="AO102" s="97">
        <v>5.5102040816326525</v>
      </c>
      <c r="AP102" s="102">
        <f t="shared" si="121"/>
        <v>44.999999999999993</v>
      </c>
      <c r="AQ102" s="102">
        <f t="shared" si="110"/>
        <v>0</v>
      </c>
      <c r="AR102" s="68" t="str">
        <f>IFERROR(VLOOKUP(A102,CUSTOMERS!$A:$B,2),"")</f>
        <v>PRD</v>
      </c>
      <c r="AS102" s="68" t="str">
        <f>IFERROR(VLOOKUP(A102,CUSTOMERS!$A:$D,3),"")</f>
        <v>REQ</v>
      </c>
      <c r="AT102" s="68" t="str">
        <f>IFERROR(VLOOKUP(A102,CUSTOMERS!$A:$F,6),"")</f>
        <v>N</v>
      </c>
      <c r="AU102" s="69">
        <f>IFERROR(VLOOKUP(A102,CUSTOMERS!$A:$E,4),"")</f>
        <v>-150</v>
      </c>
      <c r="AV102" s="68" t="str">
        <f t="shared" si="85"/>
        <v/>
      </c>
      <c r="AX102" s="71" t="str">
        <f t="shared" si="122"/>
        <v>reason102</v>
      </c>
    </row>
    <row r="103" spans="1:50" ht="40.5" customHeight="1" thickTop="1" thickBot="1">
      <c r="A103" s="188" t="s">
        <v>50</v>
      </c>
      <c r="B103" s="120" t="str">
        <f t="shared" si="126"/>
        <v>N</v>
      </c>
      <c r="C103" s="120"/>
      <c r="D103" s="121">
        <v>21</v>
      </c>
      <c r="E103" s="121"/>
      <c r="F103" s="122" t="str">
        <f t="shared" si="114"/>
        <v>PRD-REQ-2020-00021</v>
      </c>
      <c r="G103" s="123" t="s">
        <v>56</v>
      </c>
      <c r="H103" s="124" t="s">
        <v>71</v>
      </c>
      <c r="I103" s="239"/>
      <c r="J103" s="80">
        <f t="shared" si="117"/>
        <v>-16875</v>
      </c>
      <c r="K103" s="177">
        <f t="shared" si="116"/>
        <v>43831</v>
      </c>
      <c r="L103" s="141">
        <v>43831</v>
      </c>
      <c r="M103" s="142"/>
      <c r="N103" s="142"/>
      <c r="O103" s="142"/>
      <c r="P103" s="142"/>
      <c r="Q103" s="199" t="s">
        <v>15</v>
      </c>
      <c r="R103" s="199" t="s">
        <v>25</v>
      </c>
      <c r="S103" s="199" t="s">
        <v>308</v>
      </c>
      <c r="T103" s="199"/>
      <c r="U103" s="199"/>
      <c r="V103" s="199"/>
      <c r="W103" s="199"/>
      <c r="X103" s="144" t="s">
        <v>522</v>
      </c>
      <c r="Y103" s="173">
        <f t="shared" si="61"/>
        <v>-16875</v>
      </c>
      <c r="Z103" s="83">
        <f t="shared" si="118"/>
        <v>-2066.3265306122448</v>
      </c>
      <c r="AA103" s="84">
        <f t="shared" si="123"/>
        <v>-7920.9183673469388</v>
      </c>
      <c r="AB103" s="84">
        <f t="shared" si="60"/>
        <v>-2755.1020408163258</v>
      </c>
      <c r="AC103" s="84">
        <f t="shared" si="119"/>
        <v>-2066.3265306122448</v>
      </c>
      <c r="AD103" s="84"/>
      <c r="AE103" s="84">
        <f t="shared" si="124"/>
        <v>-2066.3265306122448</v>
      </c>
      <c r="AF103" s="84">
        <f t="shared" si="120"/>
        <v>-16875</v>
      </c>
      <c r="AG103" s="94">
        <f t="shared" si="125"/>
        <v>0</v>
      </c>
      <c r="AH103" s="85">
        <f>IFERROR(VLOOKUP(A103,CUSTOMERS!$A:$E,4),"")</f>
        <v>-150</v>
      </c>
      <c r="AI103" s="86" t="str">
        <f t="shared" si="112"/>
        <v/>
      </c>
      <c r="AJ103" s="87">
        <f>IFERROR(VLOOKUP(A103,CUSTOMERS!$A:$F,5),"")</f>
        <v>0</v>
      </c>
      <c r="AK103" s="97">
        <v>1.8367346938775511</v>
      </c>
      <c r="AL103" s="97">
        <v>7.0408163265306127</v>
      </c>
      <c r="AM103" s="97">
        <v>2.4489795918367343</v>
      </c>
      <c r="AN103" s="97">
        <v>1.8367346938775511</v>
      </c>
      <c r="AO103" s="97">
        <v>1.8367346938775511</v>
      </c>
      <c r="AP103" s="102">
        <f t="shared" si="121"/>
        <v>15</v>
      </c>
      <c r="AQ103" s="102">
        <f t="shared" si="110"/>
        <v>0</v>
      </c>
      <c r="AR103" s="68" t="str">
        <f>IFERROR(VLOOKUP(A103,CUSTOMERS!$A:$B,2),"")</f>
        <v>PRD</v>
      </c>
      <c r="AS103" s="68" t="str">
        <f>IFERROR(VLOOKUP(A103,CUSTOMERS!$A:$D,3),"")</f>
        <v>REQ</v>
      </c>
      <c r="AT103" s="68" t="str">
        <f>IFERROR(VLOOKUP(A103,CUSTOMERS!$A:$F,6),"")</f>
        <v>N</v>
      </c>
      <c r="AU103" s="69">
        <f>IFERROR(VLOOKUP(A103,CUSTOMERS!$A:$E,4),"")</f>
        <v>-150</v>
      </c>
      <c r="AV103" s="68" t="str">
        <f t="shared" si="85"/>
        <v/>
      </c>
      <c r="AX103" s="71" t="str">
        <f t="shared" si="122"/>
        <v>reason103</v>
      </c>
    </row>
    <row r="104" spans="1:50" ht="40.5" customHeight="1" thickTop="1" thickBot="1">
      <c r="A104" s="188" t="s">
        <v>27</v>
      </c>
      <c r="B104" s="120" t="str">
        <f t="shared" si="126"/>
        <v>N</v>
      </c>
      <c r="C104" s="120"/>
      <c r="D104" s="121">
        <v>22</v>
      </c>
      <c r="E104" s="121"/>
      <c r="F104" s="122" t="str">
        <f t="shared" si="114"/>
        <v>PRD-BLG-2020-00022</v>
      </c>
      <c r="G104" s="123" t="s">
        <v>29</v>
      </c>
      <c r="H104" s="124" t="s">
        <v>73</v>
      </c>
      <c r="I104" s="239"/>
      <c r="J104" s="80">
        <f t="shared" si="117"/>
        <v>0</v>
      </c>
      <c r="K104" s="177">
        <f t="shared" si="116"/>
        <v>44119</v>
      </c>
      <c r="L104" s="141">
        <v>44119</v>
      </c>
      <c r="M104" s="142"/>
      <c r="N104" s="142"/>
      <c r="O104" s="142"/>
      <c r="P104" s="142"/>
      <c r="Q104" s="199" t="s">
        <v>15</v>
      </c>
      <c r="R104" s="199" t="s">
        <v>42</v>
      </c>
      <c r="S104" s="199" t="s">
        <v>308</v>
      </c>
      <c r="T104" s="199" t="s">
        <v>455</v>
      </c>
      <c r="U104" s="199" t="s">
        <v>455</v>
      </c>
      <c r="V104" s="199"/>
      <c r="W104" s="199"/>
      <c r="X104" s="144" t="s">
        <v>523</v>
      </c>
      <c r="Y104" s="173">
        <f t="shared" si="61"/>
        <v>0</v>
      </c>
      <c r="Z104" s="83">
        <f t="shared" si="118"/>
        <v>0</v>
      </c>
      <c r="AA104" s="84">
        <f t="shared" si="123"/>
        <v>0</v>
      </c>
      <c r="AB104" s="84">
        <f t="shared" si="60"/>
        <v>0</v>
      </c>
      <c r="AC104" s="84">
        <f t="shared" si="119"/>
        <v>0</v>
      </c>
      <c r="AD104" s="84"/>
      <c r="AE104" s="84">
        <f t="shared" si="124"/>
        <v>0</v>
      </c>
      <c r="AF104" s="84">
        <f t="shared" si="120"/>
        <v>0</v>
      </c>
      <c r="AG104" s="94">
        <f t="shared" si="125"/>
        <v>0</v>
      </c>
      <c r="AH104" s="85">
        <f>IFERROR(VLOOKUP(A104,CUSTOMERS!$A:$E,4),"")</f>
        <v>-150</v>
      </c>
      <c r="AI104" s="86" t="str">
        <f t="shared" si="112"/>
        <v/>
      </c>
      <c r="AJ104" s="87">
        <f>IFERROR(VLOOKUP(A104,CUSTOMERS!$A:$F,5),"")</f>
        <v>0</v>
      </c>
      <c r="AK104" s="96"/>
      <c r="AL104" s="96">
        <v>0</v>
      </c>
      <c r="AM104" s="96">
        <v>0</v>
      </c>
      <c r="AN104" s="96"/>
      <c r="AO104" s="96">
        <v>0</v>
      </c>
      <c r="AP104" s="102">
        <f t="shared" si="121"/>
        <v>0</v>
      </c>
      <c r="AQ104" s="102">
        <f t="shared" si="110"/>
        <v>0</v>
      </c>
      <c r="AR104" s="68" t="str">
        <f>IFERROR(VLOOKUP(A104,CUSTOMERS!$A:$B,2),"")</f>
        <v>PRD</v>
      </c>
      <c r="AS104" s="68" t="str">
        <f>IFERROR(VLOOKUP(A104,CUSTOMERS!$A:$D,3),"")</f>
        <v>BLG</v>
      </c>
      <c r="AT104" s="68" t="str">
        <f>IFERROR(VLOOKUP(A104,CUSTOMERS!$A:$F,6),"")</f>
        <v>N</v>
      </c>
      <c r="AU104" s="69">
        <f>IFERROR(VLOOKUP(A104,CUSTOMERS!$A:$E,4),"")</f>
        <v>-150</v>
      </c>
      <c r="AV104" s="68" t="str">
        <f t="shared" si="85"/>
        <v/>
      </c>
      <c r="AX104" s="71" t="str">
        <f t="shared" si="122"/>
        <v>reason104</v>
      </c>
    </row>
    <row r="105" spans="1:50" ht="40.5" customHeight="1" thickTop="1" thickBot="1">
      <c r="A105" s="188" t="s">
        <v>50</v>
      </c>
      <c r="B105" s="120" t="str">
        <f t="shared" si="126"/>
        <v>N</v>
      </c>
      <c r="C105" s="120"/>
      <c r="D105" s="121">
        <v>32165</v>
      </c>
      <c r="E105" s="121"/>
      <c r="F105" s="122" t="str">
        <f t="shared" si="114"/>
        <v>PRD-REQ-2020-32165</v>
      </c>
      <c r="G105" s="123" t="s">
        <v>339</v>
      </c>
      <c r="H105" s="124" t="s">
        <v>524</v>
      </c>
      <c r="I105" s="239"/>
      <c r="J105" s="80">
        <f t="shared" si="117"/>
        <v>-37125</v>
      </c>
      <c r="K105" s="177">
        <f t="shared" si="116"/>
        <v>43951</v>
      </c>
      <c r="L105" s="148">
        <v>43951</v>
      </c>
      <c r="M105" s="149"/>
      <c r="N105" s="150"/>
      <c r="O105" s="150"/>
      <c r="P105" s="150"/>
      <c r="Q105" s="200" t="s">
        <v>16</v>
      </c>
      <c r="R105" s="200" t="s">
        <v>31</v>
      </c>
      <c r="S105" s="200"/>
      <c r="T105" s="200"/>
      <c r="U105" s="200"/>
      <c r="V105" s="200"/>
      <c r="W105" s="200"/>
      <c r="X105" s="144" t="s">
        <v>469</v>
      </c>
      <c r="Y105" s="173">
        <f t="shared" si="61"/>
        <v>-37125</v>
      </c>
      <c r="Z105" s="83">
        <f t="shared" si="118"/>
        <v>0</v>
      </c>
      <c r="AA105" s="84">
        <f t="shared" si="123"/>
        <v>-22500</v>
      </c>
      <c r="AB105" s="84">
        <f t="shared" si="60"/>
        <v>-7875</v>
      </c>
      <c r="AC105" s="84">
        <f t="shared" si="119"/>
        <v>0</v>
      </c>
      <c r="AD105" s="84"/>
      <c r="AE105" s="84">
        <f t="shared" si="124"/>
        <v>-6750</v>
      </c>
      <c r="AF105" s="84">
        <f t="shared" si="120"/>
        <v>-37125</v>
      </c>
      <c r="AG105" s="94">
        <f t="shared" si="125"/>
        <v>0</v>
      </c>
      <c r="AH105" s="85">
        <f>IFERROR(VLOOKUP(A105,CUSTOMERS!$A:$E,4),"")</f>
        <v>-150</v>
      </c>
      <c r="AI105" s="86" t="str">
        <f t="shared" si="112"/>
        <v/>
      </c>
      <c r="AJ105" s="87">
        <f>IFERROR(VLOOKUP(A105,CUSTOMERS!$A:$F,5),"")</f>
        <v>0</v>
      </c>
      <c r="AK105" s="96"/>
      <c r="AL105" s="96">
        <v>20</v>
      </c>
      <c r="AM105" s="96">
        <v>7</v>
      </c>
      <c r="AN105" s="96"/>
      <c r="AO105" s="96">
        <v>6</v>
      </c>
      <c r="AP105" s="102">
        <f t="shared" si="121"/>
        <v>33</v>
      </c>
      <c r="AQ105" s="102">
        <f t="shared" si="110"/>
        <v>0</v>
      </c>
      <c r="AR105" s="68" t="str">
        <f>IFERROR(VLOOKUP(A105,CUSTOMERS!$A:$B,2),"")</f>
        <v>PRD</v>
      </c>
      <c r="AS105" s="68" t="str">
        <f>IFERROR(VLOOKUP(A105,CUSTOMERS!$A:$D,3),"")</f>
        <v>REQ</v>
      </c>
      <c r="AT105" s="68" t="str">
        <f>IFERROR(VLOOKUP(A105,CUSTOMERS!$A:$F,6),"")</f>
        <v>N</v>
      </c>
      <c r="AU105" s="69">
        <f>IFERROR(VLOOKUP(A105,CUSTOMERS!$A:$E,4),"")</f>
        <v>-150</v>
      </c>
      <c r="AV105" s="68" t="str">
        <f t="shared" si="85"/>
        <v/>
      </c>
      <c r="AX105" s="71" t="str">
        <f t="shared" si="122"/>
        <v>reason105</v>
      </c>
    </row>
    <row r="106" spans="1:50" ht="40.5" customHeight="1" thickTop="1" thickBot="1">
      <c r="A106" s="188" t="s">
        <v>50</v>
      </c>
      <c r="B106" s="120" t="str">
        <f t="shared" si="126"/>
        <v>N</v>
      </c>
      <c r="C106" s="120"/>
      <c r="D106" s="121">
        <v>26</v>
      </c>
      <c r="E106" s="121"/>
      <c r="F106" s="122" t="str">
        <f t="shared" si="114"/>
        <v>PRD-REQ-2020-00026</v>
      </c>
      <c r="G106" s="123" t="s">
        <v>339</v>
      </c>
      <c r="H106" s="124" t="s">
        <v>525</v>
      </c>
      <c r="I106" s="239"/>
      <c r="J106" s="80">
        <f t="shared" si="117"/>
        <v>-11250</v>
      </c>
      <c r="K106" s="177">
        <f t="shared" si="116"/>
        <v>43877</v>
      </c>
      <c r="L106" s="148">
        <v>43877</v>
      </c>
      <c r="M106" s="149"/>
      <c r="N106" s="150"/>
      <c r="O106" s="150"/>
      <c r="P106" s="150"/>
      <c r="Q106" s="200" t="s">
        <v>12</v>
      </c>
      <c r="R106" s="200" t="s">
        <v>31</v>
      </c>
      <c r="S106" s="200"/>
      <c r="T106" s="200"/>
      <c r="U106" s="200"/>
      <c r="V106" s="200"/>
      <c r="W106" s="200"/>
      <c r="X106" s="144" t="s">
        <v>526</v>
      </c>
      <c r="Y106" s="173">
        <f t="shared" si="61"/>
        <v>-11250</v>
      </c>
      <c r="Z106" s="83">
        <f t="shared" si="118"/>
        <v>-1377.5510204081634</v>
      </c>
      <c r="AA106" s="84">
        <f t="shared" si="123"/>
        <v>-5280.6122448979595</v>
      </c>
      <c r="AB106" s="84">
        <f t="shared" si="60"/>
        <v>-1836.7346938775509</v>
      </c>
      <c r="AC106" s="84">
        <f t="shared" si="119"/>
        <v>-1377.5510204081634</v>
      </c>
      <c r="AD106" s="84"/>
      <c r="AE106" s="84">
        <f t="shared" si="124"/>
        <v>-1377.5510204081634</v>
      </c>
      <c r="AF106" s="84">
        <f t="shared" si="120"/>
        <v>-11250</v>
      </c>
      <c r="AG106" s="94">
        <f t="shared" si="125"/>
        <v>0</v>
      </c>
      <c r="AH106" s="85">
        <f>IFERROR(VLOOKUP(A106,CUSTOMERS!$A:$E,4),"")</f>
        <v>-150</v>
      </c>
      <c r="AI106" s="86" t="str">
        <f t="shared" si="112"/>
        <v/>
      </c>
      <c r="AJ106" s="87">
        <f>IFERROR(VLOOKUP(A106,CUSTOMERS!$A:$F,5),"")</f>
        <v>0</v>
      </c>
      <c r="AK106" s="97">
        <v>1.2244897959183674</v>
      </c>
      <c r="AL106" s="97">
        <v>4.6938775510204085</v>
      </c>
      <c r="AM106" s="97">
        <v>1.6326530612244896</v>
      </c>
      <c r="AN106" s="97">
        <v>1.2244897959183674</v>
      </c>
      <c r="AO106" s="97">
        <v>1.2244897959183674</v>
      </c>
      <c r="AP106" s="102">
        <f t="shared" si="121"/>
        <v>10.000000000000002</v>
      </c>
      <c r="AQ106" s="102">
        <f t="shared" si="110"/>
        <v>0</v>
      </c>
      <c r="AR106" s="68" t="str">
        <f>IFERROR(VLOOKUP(A106,CUSTOMERS!$A:$B,2),"")</f>
        <v>PRD</v>
      </c>
      <c r="AS106" s="68" t="str">
        <f>IFERROR(VLOOKUP(A106,CUSTOMERS!$A:$D,3),"")</f>
        <v>REQ</v>
      </c>
      <c r="AT106" s="68" t="str">
        <f>IFERROR(VLOOKUP(A106,CUSTOMERS!$A:$F,6),"")</f>
        <v>N</v>
      </c>
      <c r="AU106" s="69">
        <f>IFERROR(VLOOKUP(A106,CUSTOMERS!$A:$E,4),"")</f>
        <v>-150</v>
      </c>
      <c r="AV106" s="68" t="str">
        <f t="shared" ref="AV106:AV169" si="127">IF(AH106&lt;&gt;AU106,"Y","")</f>
        <v/>
      </c>
      <c r="AX106" s="71" t="str">
        <f t="shared" si="122"/>
        <v>reason106</v>
      </c>
    </row>
    <row r="107" spans="1:50" ht="40.5" customHeight="1" thickTop="1" thickBot="1">
      <c r="A107" s="188" t="s">
        <v>50</v>
      </c>
      <c r="B107" s="120" t="str">
        <f t="shared" si="126"/>
        <v>N</v>
      </c>
      <c r="C107" s="120"/>
      <c r="D107" s="121"/>
      <c r="E107" s="121"/>
      <c r="F107" s="122" t="str">
        <f t="shared" si="114"/>
        <v>PRD-REQ-2020-00000</v>
      </c>
      <c r="G107" s="123" t="s">
        <v>339</v>
      </c>
      <c r="H107" s="124" t="s">
        <v>527</v>
      </c>
      <c r="I107" s="239"/>
      <c r="J107" s="80">
        <f t="shared" si="117"/>
        <v>0</v>
      </c>
      <c r="K107" s="177">
        <f t="shared" si="116"/>
        <v>44070</v>
      </c>
      <c r="L107" s="141">
        <v>44070</v>
      </c>
      <c r="M107" s="142"/>
      <c r="N107" s="142"/>
      <c r="O107" s="142"/>
      <c r="P107" s="142"/>
      <c r="Q107" s="199" t="s">
        <v>15</v>
      </c>
      <c r="R107" s="199" t="s">
        <v>25</v>
      </c>
      <c r="S107" s="199"/>
      <c r="T107" s="199"/>
      <c r="U107" s="199"/>
      <c r="V107" s="199"/>
      <c r="W107" s="199"/>
      <c r="X107" s="144" t="s">
        <v>469</v>
      </c>
      <c r="Y107" s="173">
        <f t="shared" si="61"/>
        <v>0</v>
      </c>
      <c r="Z107" s="83">
        <f t="shared" si="118"/>
        <v>0</v>
      </c>
      <c r="AA107" s="84">
        <f t="shared" si="123"/>
        <v>0</v>
      </c>
      <c r="AB107" s="84">
        <f t="shared" si="60"/>
        <v>0</v>
      </c>
      <c r="AC107" s="84">
        <f t="shared" si="119"/>
        <v>0</v>
      </c>
      <c r="AD107" s="84"/>
      <c r="AE107" s="84">
        <f t="shared" si="124"/>
        <v>0</v>
      </c>
      <c r="AF107" s="84">
        <f t="shared" si="120"/>
        <v>0</v>
      </c>
      <c r="AG107" s="94">
        <f t="shared" si="125"/>
        <v>0</v>
      </c>
      <c r="AH107" s="85">
        <f>IFERROR(VLOOKUP(A107,CUSTOMERS!$A:$E,4),"")</f>
        <v>-150</v>
      </c>
      <c r="AI107" s="86" t="str">
        <f t="shared" si="112"/>
        <v/>
      </c>
      <c r="AJ107" s="87">
        <f>IFERROR(VLOOKUP(A107,CUSTOMERS!$A:$F,5),"")</f>
        <v>0</v>
      </c>
      <c r="AK107" s="96"/>
      <c r="AL107" s="96">
        <v>0</v>
      </c>
      <c r="AM107" s="96">
        <v>0</v>
      </c>
      <c r="AN107" s="96"/>
      <c r="AO107" s="96">
        <v>0</v>
      </c>
      <c r="AP107" s="102">
        <f t="shared" si="121"/>
        <v>0</v>
      </c>
      <c r="AQ107" s="102">
        <f t="shared" si="110"/>
        <v>0</v>
      </c>
      <c r="AR107" s="68" t="str">
        <f>IFERROR(VLOOKUP(A107,CUSTOMERS!$A:$B,2),"")</f>
        <v>PRD</v>
      </c>
      <c r="AS107" s="68" t="str">
        <f>IFERROR(VLOOKUP(A107,CUSTOMERS!$A:$D,3),"")</f>
        <v>REQ</v>
      </c>
      <c r="AT107" s="68" t="str">
        <f>IFERROR(VLOOKUP(A107,CUSTOMERS!$A:$F,6),"")</f>
        <v>N</v>
      </c>
      <c r="AU107" s="69">
        <f>IFERROR(VLOOKUP(A107,CUSTOMERS!$A:$E,4),"")</f>
        <v>-150</v>
      </c>
      <c r="AV107" s="68" t="str">
        <f t="shared" si="127"/>
        <v/>
      </c>
      <c r="AX107" s="71" t="str">
        <f t="shared" si="122"/>
        <v>reason107</v>
      </c>
    </row>
    <row r="108" spans="1:50" ht="40.5" customHeight="1" thickTop="1" thickBot="1">
      <c r="A108" s="188" t="s">
        <v>50</v>
      </c>
      <c r="B108" s="120" t="str">
        <f t="shared" si="126"/>
        <v>N</v>
      </c>
      <c r="C108" s="120"/>
      <c r="D108" s="121">
        <v>9</v>
      </c>
      <c r="E108" s="121"/>
      <c r="F108" s="122" t="str">
        <f t="shared" si="114"/>
        <v>PRD-REQ-2020-00009</v>
      </c>
      <c r="G108" s="123" t="s">
        <v>200</v>
      </c>
      <c r="H108" s="124" t="s">
        <v>528</v>
      </c>
      <c r="I108" s="239"/>
      <c r="J108" s="80">
        <f t="shared" si="117"/>
        <v>-3375</v>
      </c>
      <c r="K108" s="177">
        <f t="shared" si="116"/>
        <v>43845</v>
      </c>
      <c r="L108" s="148">
        <v>43845</v>
      </c>
      <c r="M108" s="149"/>
      <c r="N108" s="150"/>
      <c r="O108" s="150"/>
      <c r="P108" s="150"/>
      <c r="Q108" s="200" t="s">
        <v>15</v>
      </c>
      <c r="R108" s="200" t="s">
        <v>4</v>
      </c>
      <c r="S108" s="200"/>
      <c r="T108" s="200"/>
      <c r="U108" s="200"/>
      <c r="V108" s="200"/>
      <c r="W108" s="200"/>
      <c r="X108" s="144" t="s">
        <v>529</v>
      </c>
      <c r="Y108" s="173">
        <f t="shared" si="61"/>
        <v>-3375</v>
      </c>
      <c r="Z108" s="83">
        <f t="shared" si="118"/>
        <v>0</v>
      </c>
      <c r="AA108" s="84">
        <f t="shared" si="123"/>
        <v>-3375</v>
      </c>
      <c r="AB108" s="84">
        <f t="shared" si="60"/>
        <v>0</v>
      </c>
      <c r="AC108" s="84">
        <f t="shared" si="119"/>
        <v>0</v>
      </c>
      <c r="AD108" s="84"/>
      <c r="AE108" s="84">
        <f t="shared" si="124"/>
        <v>0</v>
      </c>
      <c r="AF108" s="84">
        <f t="shared" si="120"/>
        <v>-3375</v>
      </c>
      <c r="AG108" s="94">
        <f t="shared" si="125"/>
        <v>0</v>
      </c>
      <c r="AH108" s="85">
        <f>IFERROR(VLOOKUP(A108,CUSTOMERS!$A:$E,4),"")</f>
        <v>-150</v>
      </c>
      <c r="AI108" s="86" t="str">
        <f t="shared" si="112"/>
        <v/>
      </c>
      <c r="AJ108" s="87">
        <f>IFERROR(VLOOKUP(A108,CUSTOMERS!$A:$F,5),"")</f>
        <v>0</v>
      </c>
      <c r="AK108" s="96"/>
      <c r="AL108" s="96">
        <v>3</v>
      </c>
      <c r="AM108" s="96">
        <v>0</v>
      </c>
      <c r="AN108" s="96"/>
      <c r="AO108" s="96">
        <v>0</v>
      </c>
      <c r="AP108" s="102">
        <f t="shared" si="121"/>
        <v>3</v>
      </c>
      <c r="AQ108" s="102">
        <f t="shared" si="110"/>
        <v>0</v>
      </c>
      <c r="AR108" s="68" t="str">
        <f>IFERROR(VLOOKUP(A108,CUSTOMERS!$A:$B,2),"")</f>
        <v>PRD</v>
      </c>
      <c r="AS108" s="68" t="str">
        <f>IFERROR(VLOOKUP(A108,CUSTOMERS!$A:$D,3),"")</f>
        <v>REQ</v>
      </c>
      <c r="AT108" s="68" t="str">
        <f>IFERROR(VLOOKUP(A108,CUSTOMERS!$A:$F,6),"")</f>
        <v>N</v>
      </c>
      <c r="AU108" s="69">
        <f>IFERROR(VLOOKUP(A108,CUSTOMERS!$A:$E,4),"")</f>
        <v>-150</v>
      </c>
      <c r="AV108" s="68" t="str">
        <f t="shared" si="127"/>
        <v/>
      </c>
      <c r="AX108" s="71" t="str">
        <f t="shared" si="122"/>
        <v>reason108</v>
      </c>
    </row>
    <row r="109" spans="1:50" ht="40.5" customHeight="1" thickTop="1" thickBot="1">
      <c r="A109" s="188" t="s">
        <v>50</v>
      </c>
      <c r="B109" s="120" t="str">
        <f t="shared" si="126"/>
        <v>N</v>
      </c>
      <c r="C109" s="120"/>
      <c r="D109" s="121">
        <v>24</v>
      </c>
      <c r="E109" s="121"/>
      <c r="F109" s="122" t="str">
        <f t="shared" si="114"/>
        <v>PRD-REQ-2020-00024</v>
      </c>
      <c r="G109" s="123" t="s">
        <v>200</v>
      </c>
      <c r="H109" s="124" t="s">
        <v>530</v>
      </c>
      <c r="I109" s="239"/>
      <c r="J109" s="80">
        <f t="shared" si="117"/>
        <v>-8100</v>
      </c>
      <c r="K109" s="177">
        <f t="shared" si="116"/>
        <v>44152</v>
      </c>
      <c r="L109" s="141">
        <v>44152</v>
      </c>
      <c r="M109" s="142"/>
      <c r="N109" s="142"/>
      <c r="O109" s="142"/>
      <c r="P109" s="142"/>
      <c r="Q109" s="199" t="s">
        <v>14</v>
      </c>
      <c r="R109" s="199" t="s">
        <v>31</v>
      </c>
      <c r="S109" s="199"/>
      <c r="T109" s="199"/>
      <c r="U109" s="199"/>
      <c r="V109" s="199"/>
      <c r="W109" s="199"/>
      <c r="X109" s="144" t="s">
        <v>531</v>
      </c>
      <c r="Y109" s="173">
        <f t="shared" si="61"/>
        <v>-8100</v>
      </c>
      <c r="Z109" s="83">
        <f t="shared" si="118"/>
        <v>-2250</v>
      </c>
      <c r="AA109" s="84">
        <v>-3600</v>
      </c>
      <c r="AB109" s="84">
        <f t="shared" si="60"/>
        <v>0</v>
      </c>
      <c r="AC109" s="84">
        <f t="shared" si="119"/>
        <v>0</v>
      </c>
      <c r="AD109" s="84"/>
      <c r="AE109" s="84">
        <f t="shared" si="124"/>
        <v>-2250</v>
      </c>
      <c r="AF109" s="84">
        <f t="shared" si="120"/>
        <v>-8100</v>
      </c>
      <c r="AG109" s="94">
        <f t="shared" si="125"/>
        <v>0</v>
      </c>
      <c r="AH109" s="85">
        <f>IFERROR(VLOOKUP(A109,CUSTOMERS!$A:$E,4),"")</f>
        <v>-150</v>
      </c>
      <c r="AI109" s="86" t="str">
        <f t="shared" si="112"/>
        <v/>
      </c>
      <c r="AJ109" s="87">
        <f>IFERROR(VLOOKUP(A109,CUSTOMERS!$A:$F,5),"")</f>
        <v>0</v>
      </c>
      <c r="AK109" s="96">
        <v>2</v>
      </c>
      <c r="AL109" s="96">
        <v>0</v>
      </c>
      <c r="AM109" s="96">
        <v>0</v>
      </c>
      <c r="AN109" s="96"/>
      <c r="AO109" s="96">
        <v>2</v>
      </c>
      <c r="AP109" s="103">
        <f t="shared" si="121"/>
        <v>4</v>
      </c>
      <c r="AQ109" s="103">
        <f t="shared" si="110"/>
        <v>0</v>
      </c>
      <c r="AR109" s="68" t="str">
        <f>IFERROR(VLOOKUP(A109,CUSTOMERS!$A:$B,2),"")</f>
        <v>PRD</v>
      </c>
      <c r="AS109" s="68" t="str">
        <f>IFERROR(VLOOKUP(A109,CUSTOMERS!$A:$D,3),"")</f>
        <v>REQ</v>
      </c>
      <c r="AT109" s="68" t="str">
        <f>IFERROR(VLOOKUP(A109,CUSTOMERS!$A:$F,6),"")</f>
        <v>N</v>
      </c>
      <c r="AU109" s="69">
        <f>IFERROR(VLOOKUP(A109,CUSTOMERS!$A:$E,4),"")</f>
        <v>-150</v>
      </c>
      <c r="AV109" s="68" t="str">
        <f t="shared" si="127"/>
        <v/>
      </c>
      <c r="AX109" s="71" t="str">
        <f t="shared" si="122"/>
        <v>reason109</v>
      </c>
    </row>
    <row r="110" spans="1:50" ht="40.5" customHeight="1" thickTop="1" thickBot="1">
      <c r="A110" s="188" t="s">
        <v>50</v>
      </c>
      <c r="B110" s="120" t="str">
        <f t="shared" si="126"/>
        <v>N</v>
      </c>
      <c r="C110" s="120"/>
      <c r="D110" s="121">
        <v>25</v>
      </c>
      <c r="E110" s="121"/>
      <c r="F110" s="122" t="str">
        <f t="shared" si="114"/>
        <v>PRD-REQ-2020-00025</v>
      </c>
      <c r="G110" s="123" t="s">
        <v>200</v>
      </c>
      <c r="H110" s="124" t="s">
        <v>532</v>
      </c>
      <c r="I110" s="239"/>
      <c r="J110" s="80">
        <f t="shared" si="117"/>
        <v>-8100</v>
      </c>
      <c r="K110" s="177">
        <f t="shared" si="116"/>
        <v>44152</v>
      </c>
      <c r="L110" s="141">
        <v>44152</v>
      </c>
      <c r="M110" s="142"/>
      <c r="N110" s="142"/>
      <c r="O110" s="142"/>
      <c r="P110" s="142"/>
      <c r="Q110" s="199" t="s">
        <v>13</v>
      </c>
      <c r="R110" s="199" t="s">
        <v>31</v>
      </c>
      <c r="S110" s="199"/>
      <c r="T110" s="199"/>
      <c r="U110" s="199"/>
      <c r="V110" s="199"/>
      <c r="W110" s="199"/>
      <c r="X110" s="144" t="s">
        <v>531</v>
      </c>
      <c r="Y110" s="173">
        <f t="shared" si="61"/>
        <v>-8100</v>
      </c>
      <c r="Z110" s="83">
        <f t="shared" si="118"/>
        <v>-2250</v>
      </c>
      <c r="AA110" s="84">
        <v>-3600</v>
      </c>
      <c r="AB110" s="84">
        <f t="shared" si="60"/>
        <v>0</v>
      </c>
      <c r="AC110" s="84">
        <f t="shared" si="119"/>
        <v>0</v>
      </c>
      <c r="AD110" s="84"/>
      <c r="AE110" s="84">
        <f t="shared" si="124"/>
        <v>-2250</v>
      </c>
      <c r="AF110" s="84">
        <f t="shared" si="120"/>
        <v>-8100</v>
      </c>
      <c r="AG110" s="94">
        <f t="shared" si="125"/>
        <v>0</v>
      </c>
      <c r="AH110" s="85">
        <f>IFERROR(VLOOKUP(A110,CUSTOMERS!$A:$E,4),"")</f>
        <v>-150</v>
      </c>
      <c r="AI110" s="86" t="str">
        <f t="shared" si="112"/>
        <v/>
      </c>
      <c r="AJ110" s="87">
        <f>IFERROR(VLOOKUP(A110,CUSTOMERS!$A:$F,5),"")</f>
        <v>0</v>
      </c>
      <c r="AK110" s="96">
        <v>2</v>
      </c>
      <c r="AL110" s="96">
        <v>0</v>
      </c>
      <c r="AM110" s="96">
        <v>0</v>
      </c>
      <c r="AN110" s="96"/>
      <c r="AO110" s="96">
        <v>2</v>
      </c>
      <c r="AP110" s="103">
        <f t="shared" si="121"/>
        <v>4</v>
      </c>
      <c r="AQ110" s="103">
        <f t="shared" si="110"/>
        <v>0</v>
      </c>
      <c r="AR110" s="68" t="str">
        <f>IFERROR(VLOOKUP(A110,CUSTOMERS!$A:$B,2),"")</f>
        <v>PRD</v>
      </c>
      <c r="AS110" s="68" t="str">
        <f>IFERROR(VLOOKUP(A110,CUSTOMERS!$A:$D,3),"")</f>
        <v>REQ</v>
      </c>
      <c r="AT110" s="68" t="str">
        <f>IFERROR(VLOOKUP(A110,CUSTOMERS!$A:$F,6),"")</f>
        <v>N</v>
      </c>
      <c r="AU110" s="69">
        <f>IFERROR(VLOOKUP(A110,CUSTOMERS!$A:$E,4),"")</f>
        <v>-150</v>
      </c>
      <c r="AV110" s="68" t="str">
        <f t="shared" si="127"/>
        <v/>
      </c>
      <c r="AX110" s="71" t="str">
        <f t="shared" si="122"/>
        <v>reason110</v>
      </c>
    </row>
    <row r="111" spans="1:50" ht="40.5" customHeight="1" thickTop="1" thickBot="1">
      <c r="A111" s="188" t="s">
        <v>50</v>
      </c>
      <c r="B111" s="120" t="str">
        <f t="shared" si="126"/>
        <v>N</v>
      </c>
      <c r="C111" s="120"/>
      <c r="D111" s="121">
        <v>1</v>
      </c>
      <c r="E111" s="121"/>
      <c r="F111" s="122" t="str">
        <f t="shared" si="114"/>
        <v>PRD-REQ-2021-00001</v>
      </c>
      <c r="G111" s="123" t="s">
        <v>100</v>
      </c>
      <c r="H111" s="124" t="s">
        <v>533</v>
      </c>
      <c r="I111" s="239"/>
      <c r="J111" s="80">
        <f t="shared" si="117"/>
        <v>-45000</v>
      </c>
      <c r="K111" s="177">
        <f t="shared" si="116"/>
        <v>44201</v>
      </c>
      <c r="L111" s="141">
        <v>44201</v>
      </c>
      <c r="M111" s="147"/>
      <c r="N111" s="147"/>
      <c r="O111" s="147"/>
      <c r="P111" s="147"/>
      <c r="Q111" s="199" t="s">
        <v>15</v>
      </c>
      <c r="R111" s="199" t="s">
        <v>31</v>
      </c>
      <c r="S111" s="199"/>
      <c r="T111" s="199"/>
      <c r="U111" s="199"/>
      <c r="V111" s="199"/>
      <c r="W111" s="199"/>
      <c r="X111" s="144" t="s">
        <v>534</v>
      </c>
      <c r="Y111" s="173">
        <f t="shared" si="61"/>
        <v>-45000</v>
      </c>
      <c r="Z111" s="83">
        <f t="shared" si="118"/>
        <v>-5625</v>
      </c>
      <c r="AA111" s="84">
        <f t="shared" ref="AA111:AA174" si="128">IFERROR((AL111*AH111)*7.5,"")</f>
        <v>-21375</v>
      </c>
      <c r="AB111" s="84">
        <f t="shared" ref="AB111:AB174" si="129">IFERROR((AM111*AH111)*7.5,"")</f>
        <v>-7875</v>
      </c>
      <c r="AC111" s="84">
        <f t="shared" si="119"/>
        <v>-4500</v>
      </c>
      <c r="AD111" s="84"/>
      <c r="AE111" s="84">
        <f t="shared" si="124"/>
        <v>-5625</v>
      </c>
      <c r="AF111" s="84">
        <f t="shared" si="120"/>
        <v>-45000</v>
      </c>
      <c r="AG111" s="94">
        <f t="shared" si="125"/>
        <v>0</v>
      </c>
      <c r="AH111" s="85">
        <f>IFERROR(VLOOKUP(A111,CUSTOMERS!$A:$E,4),"")</f>
        <v>-150</v>
      </c>
      <c r="AI111" s="86" t="str">
        <f t="shared" si="112"/>
        <v/>
      </c>
      <c r="AJ111" s="87">
        <f>IFERROR(VLOOKUP(A111,CUSTOMERS!$A:$F,5),"")</f>
        <v>0</v>
      </c>
      <c r="AK111" s="96">
        <v>5</v>
      </c>
      <c r="AL111" s="96">
        <v>19</v>
      </c>
      <c r="AM111" s="96">
        <v>7</v>
      </c>
      <c r="AN111" s="96">
        <v>4</v>
      </c>
      <c r="AO111" s="96">
        <v>5</v>
      </c>
      <c r="AP111" s="103">
        <f t="shared" si="121"/>
        <v>40</v>
      </c>
      <c r="AQ111" s="103">
        <f t="shared" si="110"/>
        <v>0</v>
      </c>
      <c r="AR111" s="68" t="str">
        <f>IFERROR(VLOOKUP(A111,CUSTOMERS!$A:$B,2),"")</f>
        <v>PRD</v>
      </c>
      <c r="AS111" s="68" t="str">
        <f>IFERROR(VLOOKUP(A111,CUSTOMERS!$A:$D,3),"")</f>
        <v>REQ</v>
      </c>
      <c r="AT111" s="68" t="str">
        <f>IFERROR(VLOOKUP(A111,CUSTOMERS!$A:$F,6),"")</f>
        <v>N</v>
      </c>
      <c r="AU111" s="69">
        <f>IFERROR(VLOOKUP(A111,CUSTOMERS!$A:$E,4),"")</f>
        <v>-150</v>
      </c>
      <c r="AV111" s="68" t="str">
        <f t="shared" si="127"/>
        <v/>
      </c>
      <c r="AX111" s="71" t="str">
        <f t="shared" si="122"/>
        <v>reason111</v>
      </c>
    </row>
    <row r="112" spans="1:50" ht="40.5" customHeight="1" thickTop="1" thickBot="1">
      <c r="A112" s="188" t="s">
        <v>50</v>
      </c>
      <c r="B112" s="120" t="str">
        <f t="shared" si="126"/>
        <v>N</v>
      </c>
      <c r="C112" s="120"/>
      <c r="D112" s="121">
        <v>3</v>
      </c>
      <c r="E112" s="121"/>
      <c r="F112" s="122" t="str">
        <f t="shared" si="114"/>
        <v>PRD-REQ-2021-00003</v>
      </c>
      <c r="G112" s="123" t="s">
        <v>339</v>
      </c>
      <c r="H112" s="124" t="s">
        <v>75</v>
      </c>
      <c r="I112" s="239"/>
      <c r="J112" s="80">
        <f t="shared" si="117"/>
        <v>0</v>
      </c>
      <c r="K112" s="177">
        <f t="shared" si="116"/>
        <v>44216</v>
      </c>
      <c r="L112" s="146">
        <v>44216</v>
      </c>
      <c r="M112" s="147"/>
      <c r="N112" s="147"/>
      <c r="O112" s="147"/>
      <c r="P112" s="147"/>
      <c r="Q112" s="199" t="s">
        <v>15</v>
      </c>
      <c r="R112" s="199" t="s">
        <v>31</v>
      </c>
      <c r="S112" s="199" t="s">
        <v>308</v>
      </c>
      <c r="T112" s="199" t="s">
        <v>455</v>
      </c>
      <c r="U112" s="199" t="s">
        <v>450</v>
      </c>
      <c r="V112" s="199">
        <v>44357</v>
      </c>
      <c r="W112" s="199" t="s">
        <v>535</v>
      </c>
      <c r="X112" s="144" t="s">
        <v>536</v>
      </c>
      <c r="Y112" s="173">
        <f t="shared" ref="Y112:Y175" si="130">IFERROR(AF112+AG112,"")</f>
        <v>0</v>
      </c>
      <c r="Z112" s="83">
        <f t="shared" si="118"/>
        <v>0</v>
      </c>
      <c r="AA112" s="84">
        <f t="shared" si="128"/>
        <v>0</v>
      </c>
      <c r="AB112" s="84">
        <f t="shared" si="129"/>
        <v>0</v>
      </c>
      <c r="AC112" s="84">
        <f t="shared" si="119"/>
        <v>0</v>
      </c>
      <c r="AD112" s="84"/>
      <c r="AE112" s="84">
        <f t="shared" si="124"/>
        <v>0</v>
      </c>
      <c r="AF112" s="84">
        <f t="shared" si="120"/>
        <v>0</v>
      </c>
      <c r="AG112" s="94">
        <f t="shared" si="125"/>
        <v>0</v>
      </c>
      <c r="AH112" s="85">
        <f>IFERROR(VLOOKUP(A112,CUSTOMERS!$A:$E,4),"")</f>
        <v>-150</v>
      </c>
      <c r="AI112" s="86" t="str">
        <f t="shared" si="112"/>
        <v/>
      </c>
      <c r="AJ112" s="87">
        <f>IFERROR(VLOOKUP(A112,CUSTOMERS!$A:$F,5),"")</f>
        <v>0</v>
      </c>
      <c r="AK112" s="96"/>
      <c r="AL112" s="96">
        <v>0</v>
      </c>
      <c r="AM112" s="96">
        <v>0</v>
      </c>
      <c r="AN112" s="96"/>
      <c r="AO112" s="96">
        <v>0</v>
      </c>
      <c r="AP112" s="103">
        <f t="shared" si="121"/>
        <v>0</v>
      </c>
      <c r="AQ112" s="103">
        <f t="shared" si="110"/>
        <v>0</v>
      </c>
      <c r="AR112" s="68" t="str">
        <f>IFERROR(VLOOKUP(A112,CUSTOMERS!$A:$B,2),"")</f>
        <v>PRD</v>
      </c>
      <c r="AS112" s="68" t="str">
        <f>IFERROR(VLOOKUP(A112,CUSTOMERS!$A:$D,3),"")</f>
        <v>REQ</v>
      </c>
      <c r="AT112" s="68" t="str">
        <f>IFERROR(VLOOKUP(A112,CUSTOMERS!$A:$F,6),"")</f>
        <v>N</v>
      </c>
      <c r="AU112" s="69">
        <f>IFERROR(VLOOKUP(A112,CUSTOMERS!$A:$E,4),"")</f>
        <v>-150</v>
      </c>
      <c r="AV112" s="68" t="str">
        <f t="shared" si="127"/>
        <v/>
      </c>
      <c r="AX112" s="71" t="str">
        <f t="shared" si="122"/>
        <v>reason112</v>
      </c>
    </row>
    <row r="113" spans="1:50" ht="40.5" customHeight="1" thickTop="1" thickBot="1">
      <c r="A113" s="188" t="s">
        <v>50</v>
      </c>
      <c r="B113" s="120" t="str">
        <f t="shared" si="126"/>
        <v>N</v>
      </c>
      <c r="C113" s="120"/>
      <c r="D113" s="121">
        <v>5</v>
      </c>
      <c r="E113" s="121"/>
      <c r="F113" s="122" t="str">
        <f t="shared" si="114"/>
        <v>PRD-REQ-2020-00005</v>
      </c>
      <c r="G113" s="123" t="s">
        <v>200</v>
      </c>
      <c r="H113" s="124" t="s">
        <v>537</v>
      </c>
      <c r="I113" s="239"/>
      <c r="J113" s="80">
        <f t="shared" si="117"/>
        <v>0</v>
      </c>
      <c r="K113" s="177">
        <f t="shared" si="116"/>
        <v>43952</v>
      </c>
      <c r="L113" s="148">
        <v>43952</v>
      </c>
      <c r="M113" s="149"/>
      <c r="N113" s="150"/>
      <c r="O113" s="150"/>
      <c r="P113" s="150"/>
      <c r="Q113" s="200" t="s">
        <v>15</v>
      </c>
      <c r="R113" s="200" t="s">
        <v>31</v>
      </c>
      <c r="S113" s="200"/>
      <c r="T113" s="200"/>
      <c r="U113" s="200"/>
      <c r="V113" s="200"/>
      <c r="W113" s="200"/>
      <c r="X113" s="144" t="s">
        <v>538</v>
      </c>
      <c r="Y113" s="173">
        <f t="shared" si="130"/>
        <v>0</v>
      </c>
      <c r="Z113" s="83">
        <f t="shared" si="118"/>
        <v>0</v>
      </c>
      <c r="AA113" s="84">
        <f t="shared" si="128"/>
        <v>0</v>
      </c>
      <c r="AB113" s="84">
        <f t="shared" si="129"/>
        <v>0</v>
      </c>
      <c r="AC113" s="84">
        <f t="shared" si="119"/>
        <v>0</v>
      </c>
      <c r="AD113" s="84"/>
      <c r="AE113" s="84">
        <f t="shared" si="124"/>
        <v>0</v>
      </c>
      <c r="AF113" s="84">
        <f t="shared" si="120"/>
        <v>0</v>
      </c>
      <c r="AG113" s="94">
        <f t="shared" si="125"/>
        <v>0</v>
      </c>
      <c r="AH113" s="85">
        <f>IFERROR(VLOOKUP(A113,CUSTOMERS!$A:$E,4),"")</f>
        <v>-150</v>
      </c>
      <c r="AI113" s="86" t="str">
        <f t="shared" si="112"/>
        <v/>
      </c>
      <c r="AJ113" s="87">
        <f>IFERROR(VLOOKUP(A113,CUSTOMERS!$A:$F,5),"")</f>
        <v>0</v>
      </c>
      <c r="AK113" s="96"/>
      <c r="AL113" s="96">
        <v>0</v>
      </c>
      <c r="AM113" s="96">
        <v>0</v>
      </c>
      <c r="AN113" s="96"/>
      <c r="AO113" s="96">
        <v>0</v>
      </c>
      <c r="AP113" s="102">
        <f t="shared" si="121"/>
        <v>0</v>
      </c>
      <c r="AQ113" s="102">
        <f t="shared" si="110"/>
        <v>0</v>
      </c>
      <c r="AR113" s="68" t="str">
        <f>IFERROR(VLOOKUP(A113,CUSTOMERS!$A:$B,2),"")</f>
        <v>PRD</v>
      </c>
      <c r="AS113" s="68" t="str">
        <f>IFERROR(VLOOKUP(A113,CUSTOMERS!$A:$D,3),"")</f>
        <v>REQ</v>
      </c>
      <c r="AT113" s="68" t="str">
        <f>IFERROR(VLOOKUP(A113,CUSTOMERS!$A:$F,6),"")</f>
        <v>N</v>
      </c>
      <c r="AU113" s="69">
        <f>IFERROR(VLOOKUP(A113,CUSTOMERS!$A:$E,4),"")</f>
        <v>-150</v>
      </c>
      <c r="AV113" s="68" t="str">
        <f t="shared" si="127"/>
        <v/>
      </c>
      <c r="AX113" s="71" t="str">
        <f t="shared" si="122"/>
        <v>reason113</v>
      </c>
    </row>
    <row r="114" spans="1:50" ht="40.5" customHeight="1" thickTop="1" thickBot="1">
      <c r="A114" s="188" t="s">
        <v>50</v>
      </c>
      <c r="B114" s="120" t="str">
        <f t="shared" si="126"/>
        <v>N</v>
      </c>
      <c r="C114" s="120"/>
      <c r="D114" s="121">
        <v>24</v>
      </c>
      <c r="E114" s="121"/>
      <c r="F114" s="122" t="str">
        <f t="shared" si="114"/>
        <v>PRD-REQ-2020-00024</v>
      </c>
      <c r="G114" s="123" t="s">
        <v>200</v>
      </c>
      <c r="H114" s="124" t="s">
        <v>539</v>
      </c>
      <c r="I114" s="239"/>
      <c r="J114" s="80">
        <f t="shared" si="117"/>
        <v>0</v>
      </c>
      <c r="K114" s="177">
        <f t="shared" si="116"/>
        <v>44133</v>
      </c>
      <c r="L114" s="141">
        <v>44133</v>
      </c>
      <c r="M114" s="142" t="s">
        <v>540</v>
      </c>
      <c r="N114" s="142" t="s">
        <v>541</v>
      </c>
      <c r="O114" s="142" t="s">
        <v>542</v>
      </c>
      <c r="P114" s="142" t="s">
        <v>542</v>
      </c>
      <c r="Q114" s="199" t="s">
        <v>12</v>
      </c>
      <c r="R114" s="199" t="s">
        <v>4</v>
      </c>
      <c r="S114" s="199"/>
      <c r="T114" s="199"/>
      <c r="U114" s="199"/>
      <c r="V114" s="199"/>
      <c r="W114" s="199"/>
      <c r="X114" s="144" t="s">
        <v>543</v>
      </c>
      <c r="Y114" s="173">
        <f t="shared" si="130"/>
        <v>0</v>
      </c>
      <c r="Z114" s="83">
        <f t="shared" si="118"/>
        <v>0</v>
      </c>
      <c r="AA114" s="84">
        <f t="shared" si="128"/>
        <v>0</v>
      </c>
      <c r="AB114" s="84">
        <f t="shared" si="129"/>
        <v>0</v>
      </c>
      <c r="AC114" s="84">
        <f t="shared" si="119"/>
        <v>0</v>
      </c>
      <c r="AD114" s="84"/>
      <c r="AE114" s="84">
        <f t="shared" si="124"/>
        <v>0</v>
      </c>
      <c r="AF114" s="84">
        <f t="shared" si="120"/>
        <v>0</v>
      </c>
      <c r="AG114" s="94">
        <f t="shared" si="125"/>
        <v>0</v>
      </c>
      <c r="AH114" s="85">
        <f>IFERROR(VLOOKUP(A114,CUSTOMERS!$A:$E,4),"")</f>
        <v>-150</v>
      </c>
      <c r="AI114" s="86" t="str">
        <f t="shared" si="112"/>
        <v/>
      </c>
      <c r="AJ114" s="87">
        <f>IFERROR(VLOOKUP(A114,CUSTOMERS!$A:$F,5),"")</f>
        <v>0</v>
      </c>
      <c r="AK114" s="96"/>
      <c r="AL114" s="96">
        <v>0</v>
      </c>
      <c r="AM114" s="96">
        <v>0</v>
      </c>
      <c r="AN114" s="96"/>
      <c r="AO114" s="96">
        <v>0</v>
      </c>
      <c r="AP114" s="102">
        <f t="shared" si="121"/>
        <v>0</v>
      </c>
      <c r="AQ114" s="102">
        <f t="shared" si="110"/>
        <v>0</v>
      </c>
      <c r="AR114" s="68" t="str">
        <f>IFERROR(VLOOKUP(A114,CUSTOMERS!$A:$B,2),"")</f>
        <v>PRD</v>
      </c>
      <c r="AS114" s="68" t="str">
        <f>IFERROR(VLOOKUP(A114,CUSTOMERS!$A:$D,3),"")</f>
        <v>REQ</v>
      </c>
      <c r="AT114" s="68" t="str">
        <f>IFERROR(VLOOKUP(A114,CUSTOMERS!$A:$F,6),"")</f>
        <v>N</v>
      </c>
      <c r="AU114" s="69">
        <f>IFERROR(VLOOKUP(A114,CUSTOMERS!$A:$E,4),"")</f>
        <v>-150</v>
      </c>
      <c r="AV114" s="68" t="str">
        <f t="shared" si="127"/>
        <v/>
      </c>
      <c r="AX114" s="71" t="str">
        <f t="shared" si="122"/>
        <v>reason114</v>
      </c>
    </row>
    <row r="115" spans="1:50" ht="40.5" customHeight="1" thickTop="1" thickBot="1">
      <c r="A115" s="188" t="s">
        <v>27</v>
      </c>
      <c r="B115" s="120" t="str">
        <f t="shared" si="126"/>
        <v>N</v>
      </c>
      <c r="C115" s="120"/>
      <c r="D115" s="121">
        <v>32165</v>
      </c>
      <c r="E115" s="121"/>
      <c r="F115" s="122" t="str">
        <f t="shared" si="114"/>
        <v>PRD-BLG-2020-32165</v>
      </c>
      <c r="G115" s="207" t="s">
        <v>339</v>
      </c>
      <c r="H115" s="124" t="s">
        <v>544</v>
      </c>
      <c r="I115" s="239"/>
      <c r="J115" s="80">
        <f t="shared" si="117"/>
        <v>-19125</v>
      </c>
      <c r="K115" s="177">
        <f t="shared" si="116"/>
        <v>43951</v>
      </c>
      <c r="L115" s="148">
        <v>43951</v>
      </c>
      <c r="M115" s="149"/>
      <c r="N115" s="150"/>
      <c r="O115" s="150"/>
      <c r="P115" s="150"/>
      <c r="Q115" s="200" t="s">
        <v>15</v>
      </c>
      <c r="R115" s="200" t="s">
        <v>78</v>
      </c>
      <c r="S115" s="200"/>
      <c r="T115" s="200"/>
      <c r="U115" s="200"/>
      <c r="V115" s="200"/>
      <c r="W115" s="200"/>
      <c r="X115" s="144" t="s">
        <v>545</v>
      </c>
      <c r="Y115" s="173">
        <f t="shared" si="130"/>
        <v>-19125</v>
      </c>
      <c r="Z115" s="83">
        <f t="shared" si="118"/>
        <v>-2868.75</v>
      </c>
      <c r="AA115" s="84">
        <f t="shared" si="128"/>
        <v>-9562.5</v>
      </c>
      <c r="AB115" s="84">
        <f t="shared" si="129"/>
        <v>-2868.75</v>
      </c>
      <c r="AC115" s="84">
        <f t="shared" si="119"/>
        <v>0</v>
      </c>
      <c r="AD115" s="84"/>
      <c r="AE115" s="84">
        <f t="shared" si="124"/>
        <v>-3825.0000000000005</v>
      </c>
      <c r="AF115" s="84">
        <f t="shared" ref="AF115:AF144" si="131">IFERROR(SUM(Z115:AE115),"")</f>
        <v>-19125</v>
      </c>
      <c r="AG115" s="94">
        <f t="shared" si="125"/>
        <v>0</v>
      </c>
      <c r="AH115" s="85">
        <f>IFERROR(VLOOKUP(A115,CUSTOMERS!$A:$E,4),"")</f>
        <v>-150</v>
      </c>
      <c r="AI115" s="86" t="str">
        <f t="shared" si="112"/>
        <v/>
      </c>
      <c r="AJ115" s="87">
        <f>IFERROR(VLOOKUP(A115,CUSTOMERS!$A:$F,5),"")</f>
        <v>0</v>
      </c>
      <c r="AK115" s="96">
        <v>2.5499999999999998</v>
      </c>
      <c r="AL115" s="96">
        <v>8.5</v>
      </c>
      <c r="AM115" s="96">
        <v>2.5499999999999998</v>
      </c>
      <c r="AN115" s="96"/>
      <c r="AO115" s="96">
        <v>3.4000000000000004</v>
      </c>
      <c r="AP115" s="102">
        <f t="shared" si="121"/>
        <v>17</v>
      </c>
      <c r="AQ115" s="102">
        <f t="shared" si="110"/>
        <v>0</v>
      </c>
      <c r="AR115" s="68" t="str">
        <f>IFERROR(VLOOKUP(A115,CUSTOMERS!$A:$B,2),"")</f>
        <v>PRD</v>
      </c>
      <c r="AS115" s="68" t="str">
        <f>IFERROR(VLOOKUP(A115,CUSTOMERS!$A:$D,3),"")</f>
        <v>BLG</v>
      </c>
      <c r="AT115" s="68" t="str">
        <f>IFERROR(VLOOKUP(A115,CUSTOMERS!$A:$F,6),"")</f>
        <v>N</v>
      </c>
      <c r="AU115" s="69">
        <f>IFERROR(VLOOKUP(A115,CUSTOMERS!$A:$E,4),"")</f>
        <v>-150</v>
      </c>
      <c r="AV115" s="68" t="str">
        <f t="shared" si="127"/>
        <v/>
      </c>
      <c r="AX115" s="71" t="str">
        <f t="shared" si="122"/>
        <v>reason115</v>
      </c>
    </row>
    <row r="116" spans="1:50" ht="40.5" customHeight="1" thickTop="1" thickBot="1">
      <c r="A116" s="188" t="s">
        <v>27</v>
      </c>
      <c r="B116" s="120" t="str">
        <f t="shared" si="126"/>
        <v>N</v>
      </c>
      <c r="C116" s="120"/>
      <c r="D116" s="121">
        <v>33671</v>
      </c>
      <c r="E116" s="121"/>
      <c r="F116" s="122" t="str">
        <f t="shared" si="114"/>
        <v>PRD-BLG-2020-33671</v>
      </c>
      <c r="G116" s="123" t="s">
        <v>100</v>
      </c>
      <c r="H116" s="124" t="s">
        <v>546</v>
      </c>
      <c r="I116" s="239"/>
      <c r="J116" s="80">
        <f t="shared" si="117"/>
        <v>0</v>
      </c>
      <c r="K116" s="177">
        <v>44152</v>
      </c>
      <c r="L116" s="141">
        <v>44098</v>
      </c>
      <c r="M116" s="142"/>
      <c r="N116" s="142"/>
      <c r="O116" s="142"/>
      <c r="P116" s="142"/>
      <c r="Q116" s="199" t="s">
        <v>295</v>
      </c>
      <c r="R116" s="200" t="s">
        <v>78</v>
      </c>
      <c r="S116" s="200"/>
      <c r="T116" s="200"/>
      <c r="U116" s="200"/>
      <c r="V116" s="200"/>
      <c r="W116" s="200"/>
      <c r="X116" s="144" t="s">
        <v>547</v>
      </c>
      <c r="Y116" s="173">
        <f t="shared" si="130"/>
        <v>0</v>
      </c>
      <c r="Z116" s="83">
        <f t="shared" si="118"/>
        <v>0</v>
      </c>
      <c r="AA116" s="84">
        <f t="shared" si="128"/>
        <v>0</v>
      </c>
      <c r="AB116" s="84">
        <f t="shared" si="129"/>
        <v>0</v>
      </c>
      <c r="AC116" s="84">
        <f t="shared" si="119"/>
        <v>0</v>
      </c>
      <c r="AD116" s="84"/>
      <c r="AE116" s="84">
        <f t="shared" si="124"/>
        <v>0</v>
      </c>
      <c r="AF116" s="84">
        <f t="shared" si="131"/>
        <v>0</v>
      </c>
      <c r="AG116" s="94">
        <f t="shared" si="125"/>
        <v>0</v>
      </c>
      <c r="AH116" s="85">
        <f>IFERROR(VLOOKUP(A116,CUSTOMERS!$A:$E,4),"")</f>
        <v>-150</v>
      </c>
      <c r="AI116" s="86" t="str">
        <f t="shared" si="112"/>
        <v/>
      </c>
      <c r="AJ116" s="87">
        <f>IFERROR(VLOOKUP(A116,CUSTOMERS!$A:$F,5),"")</f>
        <v>0</v>
      </c>
      <c r="AK116" s="96"/>
      <c r="AL116" s="96">
        <v>0</v>
      </c>
      <c r="AM116" s="96">
        <v>0</v>
      </c>
      <c r="AN116" s="96"/>
      <c r="AO116" s="96">
        <v>0</v>
      </c>
      <c r="AP116" s="102">
        <f t="shared" si="121"/>
        <v>0</v>
      </c>
      <c r="AQ116" s="102">
        <f t="shared" si="110"/>
        <v>0</v>
      </c>
      <c r="AR116" s="68" t="str">
        <f>IFERROR(VLOOKUP(A116,CUSTOMERS!$A:$B,2),"")</f>
        <v>PRD</v>
      </c>
      <c r="AS116" s="68" t="str">
        <f>IFERROR(VLOOKUP(A116,CUSTOMERS!$A:$D,3),"")</f>
        <v>BLG</v>
      </c>
      <c r="AT116" s="68" t="str">
        <f>IFERROR(VLOOKUP(A116,CUSTOMERS!$A:$F,6),"")</f>
        <v>N</v>
      </c>
      <c r="AU116" s="69">
        <f>IFERROR(VLOOKUP(A116,CUSTOMERS!$A:$E,4),"")</f>
        <v>-150</v>
      </c>
      <c r="AV116" s="68" t="str">
        <f t="shared" si="127"/>
        <v/>
      </c>
      <c r="AX116" s="71" t="str">
        <f t="shared" si="122"/>
        <v>reason116</v>
      </c>
    </row>
    <row r="117" spans="1:50" ht="40.5" customHeight="1" thickTop="1" thickBot="1">
      <c r="A117" s="188" t="s">
        <v>27</v>
      </c>
      <c r="B117" s="120" t="str">
        <f t="shared" si="126"/>
        <v>N</v>
      </c>
      <c r="C117" s="120"/>
      <c r="D117" s="120">
        <v>33672</v>
      </c>
      <c r="E117" s="120"/>
      <c r="F117" s="122" t="str">
        <f t="shared" si="114"/>
        <v>PRD-BLG-2020-33672</v>
      </c>
      <c r="G117" s="123" t="s">
        <v>100</v>
      </c>
      <c r="H117" s="124" t="s">
        <v>548</v>
      </c>
      <c r="I117" s="239"/>
      <c r="J117" s="80">
        <f t="shared" si="117"/>
        <v>0</v>
      </c>
      <c r="K117" s="177">
        <v>44152</v>
      </c>
      <c r="L117" s="141">
        <v>44098</v>
      </c>
      <c r="M117" s="158"/>
      <c r="N117" s="142"/>
      <c r="O117" s="142"/>
      <c r="P117" s="159"/>
      <c r="Q117" s="199" t="s">
        <v>295</v>
      </c>
      <c r="R117" s="200" t="s">
        <v>78</v>
      </c>
      <c r="S117" s="200"/>
      <c r="T117" s="200"/>
      <c r="U117" s="200"/>
      <c r="V117" s="200"/>
      <c r="W117" s="200"/>
      <c r="X117" s="144" t="s">
        <v>547</v>
      </c>
      <c r="Y117" s="173">
        <f t="shared" si="130"/>
        <v>0</v>
      </c>
      <c r="Z117" s="83">
        <f t="shared" si="118"/>
        <v>0</v>
      </c>
      <c r="AA117" s="84">
        <f t="shared" si="128"/>
        <v>0</v>
      </c>
      <c r="AB117" s="84">
        <f t="shared" si="129"/>
        <v>0</v>
      </c>
      <c r="AC117" s="84">
        <f t="shared" si="119"/>
        <v>0</v>
      </c>
      <c r="AD117" s="84"/>
      <c r="AE117" s="84">
        <f t="shared" si="124"/>
        <v>0</v>
      </c>
      <c r="AF117" s="84">
        <f t="shared" si="131"/>
        <v>0</v>
      </c>
      <c r="AG117" s="94">
        <f t="shared" si="125"/>
        <v>0</v>
      </c>
      <c r="AH117" s="85">
        <f>IFERROR(VLOOKUP(A117,CUSTOMERS!$A:$E,4),"")</f>
        <v>-150</v>
      </c>
      <c r="AI117" s="86" t="str">
        <f t="shared" si="112"/>
        <v/>
      </c>
      <c r="AJ117" s="87">
        <f>IFERROR(VLOOKUP(A117,CUSTOMERS!$A:$F,5),"")</f>
        <v>0</v>
      </c>
      <c r="AK117" s="96"/>
      <c r="AL117" s="96">
        <v>0</v>
      </c>
      <c r="AM117" s="96">
        <v>0</v>
      </c>
      <c r="AN117" s="96"/>
      <c r="AO117" s="96">
        <v>0</v>
      </c>
      <c r="AP117" s="102">
        <f t="shared" si="121"/>
        <v>0</v>
      </c>
      <c r="AQ117" s="102">
        <f t="shared" ref="AQ117:AQ180" si="132">IFERROR(AP117*AJ117,"")</f>
        <v>0</v>
      </c>
      <c r="AR117" s="68" t="str">
        <f>IFERROR(VLOOKUP(A117,CUSTOMERS!$A:$B,2),"")</f>
        <v>PRD</v>
      </c>
      <c r="AS117" s="68" t="str">
        <f>IFERROR(VLOOKUP(A117,CUSTOMERS!$A:$D,3),"")</f>
        <v>BLG</v>
      </c>
      <c r="AT117" s="68" t="str">
        <f>IFERROR(VLOOKUP(A117,CUSTOMERS!$A:$F,6),"")</f>
        <v>N</v>
      </c>
      <c r="AU117" s="69">
        <f>IFERROR(VLOOKUP(A117,CUSTOMERS!$A:$E,4),"")</f>
        <v>-150</v>
      </c>
      <c r="AV117" s="68" t="str">
        <f t="shared" si="127"/>
        <v/>
      </c>
      <c r="AX117" s="71" t="str">
        <f t="shared" si="122"/>
        <v>reason117</v>
      </c>
    </row>
    <row r="118" spans="1:50" ht="40.5" customHeight="1" thickTop="1" thickBot="1">
      <c r="A118" s="188" t="s">
        <v>27</v>
      </c>
      <c r="B118" s="120" t="str">
        <f t="shared" si="126"/>
        <v>N</v>
      </c>
      <c r="C118" s="120"/>
      <c r="D118" s="120">
        <v>33673</v>
      </c>
      <c r="E118" s="120"/>
      <c r="F118" s="122" t="str">
        <f t="shared" si="114"/>
        <v>PRD-BLG-2020-33673</v>
      </c>
      <c r="G118" s="123" t="s">
        <v>100</v>
      </c>
      <c r="H118" s="124" t="s">
        <v>549</v>
      </c>
      <c r="I118" s="239"/>
      <c r="J118" s="80">
        <f t="shared" si="117"/>
        <v>0</v>
      </c>
      <c r="K118" s="177">
        <v>44152</v>
      </c>
      <c r="L118" s="141">
        <v>44098</v>
      </c>
      <c r="M118" s="158"/>
      <c r="N118" s="142"/>
      <c r="O118" s="142"/>
      <c r="P118" s="159"/>
      <c r="Q118" s="199" t="s">
        <v>295</v>
      </c>
      <c r="R118" s="200" t="s">
        <v>78</v>
      </c>
      <c r="S118" s="200"/>
      <c r="T118" s="200"/>
      <c r="U118" s="200"/>
      <c r="V118" s="200"/>
      <c r="W118" s="200"/>
      <c r="X118" s="144" t="s">
        <v>547</v>
      </c>
      <c r="Y118" s="173">
        <f t="shared" si="130"/>
        <v>0</v>
      </c>
      <c r="Z118" s="83">
        <f t="shared" si="118"/>
        <v>0</v>
      </c>
      <c r="AA118" s="84">
        <f t="shared" si="128"/>
        <v>0</v>
      </c>
      <c r="AB118" s="84">
        <f t="shared" si="129"/>
        <v>0</v>
      </c>
      <c r="AC118" s="84">
        <f t="shared" si="119"/>
        <v>0</v>
      </c>
      <c r="AD118" s="84"/>
      <c r="AE118" s="84">
        <f t="shared" si="124"/>
        <v>0</v>
      </c>
      <c r="AF118" s="84">
        <f t="shared" si="131"/>
        <v>0</v>
      </c>
      <c r="AG118" s="94">
        <f t="shared" si="125"/>
        <v>0</v>
      </c>
      <c r="AH118" s="85">
        <f>IFERROR(VLOOKUP(A118,CUSTOMERS!$A:$E,4),"")</f>
        <v>-150</v>
      </c>
      <c r="AI118" s="86" t="str">
        <f t="shared" si="112"/>
        <v/>
      </c>
      <c r="AJ118" s="87">
        <f>IFERROR(VLOOKUP(A118,CUSTOMERS!$A:$F,5),"")</f>
        <v>0</v>
      </c>
      <c r="AK118" s="96"/>
      <c r="AL118" s="96">
        <v>0</v>
      </c>
      <c r="AM118" s="96">
        <v>0</v>
      </c>
      <c r="AN118" s="96"/>
      <c r="AO118" s="96">
        <v>0</v>
      </c>
      <c r="AP118" s="102">
        <f t="shared" si="121"/>
        <v>0</v>
      </c>
      <c r="AQ118" s="102">
        <f t="shared" si="132"/>
        <v>0</v>
      </c>
      <c r="AR118" s="68" t="str">
        <f>IFERROR(VLOOKUP(A118,CUSTOMERS!$A:$B,2),"")</f>
        <v>PRD</v>
      </c>
      <c r="AS118" s="68" t="str">
        <f>IFERROR(VLOOKUP(A118,CUSTOMERS!$A:$D,3),"")</f>
        <v>BLG</v>
      </c>
      <c r="AT118" s="68" t="str">
        <f>IFERROR(VLOOKUP(A118,CUSTOMERS!$A:$F,6),"")</f>
        <v>N</v>
      </c>
      <c r="AU118" s="69">
        <f>IFERROR(VLOOKUP(A118,CUSTOMERS!$A:$E,4),"")</f>
        <v>-150</v>
      </c>
      <c r="AV118" s="68" t="str">
        <f t="shared" si="127"/>
        <v/>
      </c>
      <c r="AX118" s="71" t="str">
        <f t="shared" si="122"/>
        <v>reason118</v>
      </c>
    </row>
    <row r="119" spans="1:50" ht="40.5" customHeight="1" thickTop="1" thickBot="1">
      <c r="A119" s="188" t="s">
        <v>27</v>
      </c>
      <c r="B119" s="120" t="str">
        <f t="shared" si="126"/>
        <v>N</v>
      </c>
      <c r="C119" s="120"/>
      <c r="D119" s="121">
        <v>1</v>
      </c>
      <c r="E119" s="121"/>
      <c r="F119" s="122" t="str">
        <f t="shared" si="114"/>
        <v>PRD-BLG-2020-00001</v>
      </c>
      <c r="G119" s="207" t="s">
        <v>339</v>
      </c>
      <c r="H119" s="124" t="s">
        <v>550</v>
      </c>
      <c r="I119" s="239"/>
      <c r="J119" s="80">
        <f t="shared" si="117"/>
        <v>0</v>
      </c>
      <c r="K119" s="177">
        <f t="shared" ref="K119:K150" si="133">MAX(L119:R119)</f>
        <v>44114</v>
      </c>
      <c r="L119" s="141">
        <v>44114</v>
      </c>
      <c r="M119" s="158"/>
      <c r="N119" s="142"/>
      <c r="O119" s="142"/>
      <c r="P119" s="159"/>
      <c r="Q119" s="201" t="s">
        <v>15</v>
      </c>
      <c r="R119" s="200" t="s">
        <v>78</v>
      </c>
      <c r="S119" s="200"/>
      <c r="T119" s="200"/>
      <c r="U119" s="200"/>
      <c r="V119" s="200"/>
      <c r="W119" s="200"/>
      <c r="X119" s="144" t="s">
        <v>551</v>
      </c>
      <c r="Y119" s="173">
        <f t="shared" si="130"/>
        <v>0</v>
      </c>
      <c r="Z119" s="83">
        <f t="shared" si="118"/>
        <v>0</v>
      </c>
      <c r="AA119" s="84">
        <f t="shared" si="128"/>
        <v>0</v>
      </c>
      <c r="AB119" s="84">
        <f t="shared" si="129"/>
        <v>0</v>
      </c>
      <c r="AC119" s="84">
        <f t="shared" si="119"/>
        <v>0</v>
      </c>
      <c r="AD119" s="84"/>
      <c r="AE119" s="84">
        <f t="shared" si="124"/>
        <v>0</v>
      </c>
      <c r="AF119" s="84">
        <f t="shared" si="131"/>
        <v>0</v>
      </c>
      <c r="AG119" s="94">
        <f t="shared" si="125"/>
        <v>0</v>
      </c>
      <c r="AH119" s="85">
        <f>IFERROR(VLOOKUP(A119,CUSTOMERS!$A:$E,4),"")</f>
        <v>-150</v>
      </c>
      <c r="AI119" s="86" t="str">
        <f t="shared" si="112"/>
        <v/>
      </c>
      <c r="AJ119" s="87">
        <f>IFERROR(VLOOKUP(A119,CUSTOMERS!$A:$F,5),"")</f>
        <v>0</v>
      </c>
      <c r="AK119" s="96"/>
      <c r="AL119" s="96">
        <v>0</v>
      </c>
      <c r="AM119" s="96">
        <v>0</v>
      </c>
      <c r="AN119" s="96"/>
      <c r="AO119" s="96">
        <v>0</v>
      </c>
      <c r="AP119" s="102">
        <f t="shared" si="121"/>
        <v>0</v>
      </c>
      <c r="AQ119" s="102">
        <f t="shared" si="132"/>
        <v>0</v>
      </c>
      <c r="AR119" s="68" t="str">
        <f>IFERROR(VLOOKUP(A119,CUSTOMERS!$A:$B,2),"")</f>
        <v>PRD</v>
      </c>
      <c r="AS119" s="68" t="str">
        <f>IFERROR(VLOOKUP(A119,CUSTOMERS!$A:$D,3),"")</f>
        <v>BLG</v>
      </c>
      <c r="AT119" s="68" t="str">
        <f>IFERROR(VLOOKUP(A119,CUSTOMERS!$A:$F,6),"")</f>
        <v>N</v>
      </c>
      <c r="AU119" s="69">
        <f>IFERROR(VLOOKUP(A119,CUSTOMERS!$A:$E,4),"")</f>
        <v>-150</v>
      </c>
      <c r="AV119" s="68" t="str">
        <f t="shared" si="127"/>
        <v/>
      </c>
      <c r="AX119" s="71" t="str">
        <f t="shared" si="122"/>
        <v>reason119</v>
      </c>
    </row>
    <row r="120" spans="1:50" ht="40.5" customHeight="1" thickTop="1" thickBot="1">
      <c r="A120" s="188" t="s">
        <v>27</v>
      </c>
      <c r="B120" s="120" t="str">
        <f t="shared" si="126"/>
        <v>N</v>
      </c>
      <c r="C120" s="120"/>
      <c r="D120" s="121">
        <v>1</v>
      </c>
      <c r="E120" s="121"/>
      <c r="F120" s="122" t="str">
        <f t="shared" si="114"/>
        <v>PRD-BLG-2021-00001</v>
      </c>
      <c r="G120" s="207" t="s">
        <v>339</v>
      </c>
      <c r="H120" s="124" t="s">
        <v>552</v>
      </c>
      <c r="I120" s="239"/>
      <c r="J120" s="80">
        <f t="shared" si="117"/>
        <v>0</v>
      </c>
      <c r="K120" s="177">
        <f t="shared" si="133"/>
        <v>44201</v>
      </c>
      <c r="L120" s="141">
        <v>44201</v>
      </c>
      <c r="M120" s="152"/>
      <c r="N120" s="147"/>
      <c r="O120" s="147"/>
      <c r="P120" s="153"/>
      <c r="Q120" s="201" t="s">
        <v>16</v>
      </c>
      <c r="R120" s="200" t="s">
        <v>78</v>
      </c>
      <c r="S120" s="200"/>
      <c r="T120" s="200"/>
      <c r="U120" s="200"/>
      <c r="V120" s="200"/>
      <c r="W120" s="200"/>
      <c r="X120" s="144" t="s">
        <v>553</v>
      </c>
      <c r="Y120" s="173">
        <f t="shared" si="130"/>
        <v>0</v>
      </c>
      <c r="Z120" s="83">
        <f t="shared" si="118"/>
        <v>0</v>
      </c>
      <c r="AA120" s="84">
        <f t="shared" si="128"/>
        <v>0</v>
      </c>
      <c r="AB120" s="84">
        <f t="shared" si="129"/>
        <v>0</v>
      </c>
      <c r="AC120" s="84">
        <f t="shared" si="119"/>
        <v>0</v>
      </c>
      <c r="AD120" s="84"/>
      <c r="AE120" s="84">
        <f t="shared" si="124"/>
        <v>0</v>
      </c>
      <c r="AF120" s="84">
        <f t="shared" si="131"/>
        <v>0</v>
      </c>
      <c r="AG120" s="94">
        <f t="shared" si="125"/>
        <v>0</v>
      </c>
      <c r="AH120" s="85">
        <f>IFERROR(VLOOKUP(A120,CUSTOMERS!$A:$E,4),"")</f>
        <v>-150</v>
      </c>
      <c r="AI120" s="86" t="str">
        <f t="shared" ref="AI120:AI183" si="134">AV120</f>
        <v/>
      </c>
      <c r="AJ120" s="87">
        <f>IFERROR(VLOOKUP(A120,CUSTOMERS!$A:$F,5),"")</f>
        <v>0</v>
      </c>
      <c r="AK120" s="96"/>
      <c r="AL120" s="96">
        <v>0</v>
      </c>
      <c r="AM120" s="96">
        <v>0</v>
      </c>
      <c r="AN120" s="96"/>
      <c r="AO120" s="96">
        <v>0</v>
      </c>
      <c r="AP120" s="103">
        <f t="shared" si="121"/>
        <v>0</v>
      </c>
      <c r="AQ120" s="103">
        <f t="shared" si="132"/>
        <v>0</v>
      </c>
      <c r="AR120" s="68" t="str">
        <f>IFERROR(VLOOKUP(A120,CUSTOMERS!$A:$B,2),"")</f>
        <v>PRD</v>
      </c>
      <c r="AS120" s="68" t="str">
        <f>IFERROR(VLOOKUP(A120,CUSTOMERS!$A:$D,3),"")</f>
        <v>BLG</v>
      </c>
      <c r="AT120" s="68" t="str">
        <f>IFERROR(VLOOKUP(A120,CUSTOMERS!$A:$F,6),"")</f>
        <v>N</v>
      </c>
      <c r="AU120" s="69">
        <f>IFERROR(VLOOKUP(A120,CUSTOMERS!$A:$E,4),"")</f>
        <v>-150</v>
      </c>
      <c r="AV120" s="68" t="str">
        <f t="shared" si="127"/>
        <v/>
      </c>
      <c r="AX120" s="71" t="str">
        <f t="shared" si="122"/>
        <v>reason120</v>
      </c>
    </row>
    <row r="121" spans="1:50" ht="40.5" customHeight="1" thickTop="1" thickBot="1">
      <c r="A121" s="188" t="s">
        <v>27</v>
      </c>
      <c r="B121" s="120" t="str">
        <f t="shared" si="126"/>
        <v>N</v>
      </c>
      <c r="C121" s="120"/>
      <c r="D121" s="121">
        <v>2</v>
      </c>
      <c r="E121" s="121"/>
      <c r="F121" s="122" t="str">
        <f t="shared" si="114"/>
        <v>PRD-BLG-2021-00002</v>
      </c>
      <c r="G121" s="207" t="s">
        <v>339</v>
      </c>
      <c r="H121" s="124" t="s">
        <v>554</v>
      </c>
      <c r="I121" s="239"/>
      <c r="J121" s="80">
        <f t="shared" si="117"/>
        <v>0</v>
      </c>
      <c r="K121" s="177">
        <f t="shared" si="133"/>
        <v>44201</v>
      </c>
      <c r="L121" s="141">
        <v>44201</v>
      </c>
      <c r="M121" s="152"/>
      <c r="N121" s="147"/>
      <c r="O121" s="147"/>
      <c r="P121" s="153"/>
      <c r="Q121" s="201" t="s">
        <v>15</v>
      </c>
      <c r="R121" s="200" t="s">
        <v>78</v>
      </c>
      <c r="S121" s="200"/>
      <c r="T121" s="200"/>
      <c r="U121" s="200"/>
      <c r="V121" s="200"/>
      <c r="W121" s="200"/>
      <c r="X121" s="154" t="s">
        <v>555</v>
      </c>
      <c r="Y121" s="173">
        <f t="shared" si="130"/>
        <v>0</v>
      </c>
      <c r="Z121" s="83">
        <f t="shared" si="118"/>
        <v>0</v>
      </c>
      <c r="AA121" s="84">
        <f t="shared" si="128"/>
        <v>0</v>
      </c>
      <c r="AB121" s="84">
        <f t="shared" si="129"/>
        <v>0</v>
      </c>
      <c r="AC121" s="84">
        <f t="shared" si="119"/>
        <v>0</v>
      </c>
      <c r="AD121" s="84"/>
      <c r="AE121" s="84">
        <f t="shared" si="124"/>
        <v>0</v>
      </c>
      <c r="AF121" s="84">
        <f t="shared" si="131"/>
        <v>0</v>
      </c>
      <c r="AG121" s="94">
        <f t="shared" si="125"/>
        <v>0</v>
      </c>
      <c r="AH121" s="85">
        <f>IFERROR(VLOOKUP(A121,CUSTOMERS!$A:$E,4),"")</f>
        <v>-150</v>
      </c>
      <c r="AI121" s="86" t="str">
        <f t="shared" si="134"/>
        <v/>
      </c>
      <c r="AJ121" s="87">
        <f>IFERROR(VLOOKUP(A121,CUSTOMERS!$A:$F,5),"")</f>
        <v>0</v>
      </c>
      <c r="AK121" s="96"/>
      <c r="AL121" s="96">
        <v>0</v>
      </c>
      <c r="AM121" s="96">
        <v>0</v>
      </c>
      <c r="AN121" s="96"/>
      <c r="AO121" s="96">
        <v>0</v>
      </c>
      <c r="AP121" s="103">
        <f t="shared" si="121"/>
        <v>0</v>
      </c>
      <c r="AQ121" s="103">
        <f t="shared" si="132"/>
        <v>0</v>
      </c>
      <c r="AR121" s="68" t="str">
        <f>IFERROR(VLOOKUP(A121,CUSTOMERS!$A:$B,2),"")</f>
        <v>PRD</v>
      </c>
      <c r="AS121" s="68" t="str">
        <f>IFERROR(VLOOKUP(A121,CUSTOMERS!$A:$D,3),"")</f>
        <v>BLG</v>
      </c>
      <c r="AT121" s="68" t="str">
        <f>IFERROR(VLOOKUP(A121,CUSTOMERS!$A:$F,6),"")</f>
        <v>N</v>
      </c>
      <c r="AU121" s="69">
        <f>IFERROR(VLOOKUP(A121,CUSTOMERS!$A:$E,4),"")</f>
        <v>-150</v>
      </c>
      <c r="AV121" s="68" t="str">
        <f t="shared" si="127"/>
        <v/>
      </c>
      <c r="AX121" s="71" t="str">
        <f t="shared" si="122"/>
        <v>reason121</v>
      </c>
    </row>
    <row r="122" spans="1:50" ht="50.25" customHeight="1" thickTop="1" thickBot="1">
      <c r="A122" s="188" t="s">
        <v>27</v>
      </c>
      <c r="B122" s="120" t="str">
        <f t="shared" si="126"/>
        <v>N</v>
      </c>
      <c r="C122" s="120"/>
      <c r="D122" s="121">
        <v>3</v>
      </c>
      <c r="E122" s="121"/>
      <c r="F122" s="122" t="str">
        <f t="shared" si="114"/>
        <v>PRD-BLG-2021-00003</v>
      </c>
      <c r="G122" s="207" t="s">
        <v>339</v>
      </c>
      <c r="H122" s="124" t="s">
        <v>556</v>
      </c>
      <c r="I122" s="239"/>
      <c r="J122" s="80">
        <f t="shared" si="117"/>
        <v>0</v>
      </c>
      <c r="K122" s="177">
        <f t="shared" si="133"/>
        <v>44223</v>
      </c>
      <c r="L122" s="155">
        <v>44223</v>
      </c>
      <c r="M122" s="152"/>
      <c r="N122" s="147"/>
      <c r="O122" s="147"/>
      <c r="P122" s="153"/>
      <c r="Q122" s="201" t="s">
        <v>18</v>
      </c>
      <c r="R122" s="200" t="s">
        <v>78</v>
      </c>
      <c r="S122" s="200"/>
      <c r="T122" s="200"/>
      <c r="U122" s="200"/>
      <c r="V122" s="200"/>
      <c r="W122" s="200"/>
      <c r="X122" s="156" t="s">
        <v>557</v>
      </c>
      <c r="Y122" s="173">
        <f t="shared" si="130"/>
        <v>0</v>
      </c>
      <c r="Z122" s="83">
        <f t="shared" si="118"/>
        <v>0</v>
      </c>
      <c r="AA122" s="84">
        <f t="shared" si="128"/>
        <v>0</v>
      </c>
      <c r="AB122" s="84">
        <f t="shared" si="129"/>
        <v>0</v>
      </c>
      <c r="AC122" s="84">
        <f t="shared" si="119"/>
        <v>0</v>
      </c>
      <c r="AD122" s="84"/>
      <c r="AE122" s="84">
        <f t="shared" si="124"/>
        <v>0</v>
      </c>
      <c r="AF122" s="84">
        <f t="shared" si="131"/>
        <v>0</v>
      </c>
      <c r="AG122" s="94">
        <f t="shared" si="125"/>
        <v>0</v>
      </c>
      <c r="AH122" s="85">
        <f>IFERROR(VLOOKUP(A122,CUSTOMERS!$A:$E,4),"")</f>
        <v>-150</v>
      </c>
      <c r="AI122" s="86" t="str">
        <f t="shared" si="134"/>
        <v/>
      </c>
      <c r="AJ122" s="87">
        <f>IFERROR(VLOOKUP(A122,CUSTOMERS!$A:$F,5),"")</f>
        <v>0</v>
      </c>
      <c r="AK122" s="96"/>
      <c r="AL122" s="96">
        <v>0</v>
      </c>
      <c r="AM122" s="96">
        <v>0</v>
      </c>
      <c r="AN122" s="96"/>
      <c r="AO122" s="96">
        <v>0</v>
      </c>
      <c r="AP122" s="103">
        <f t="shared" si="121"/>
        <v>0</v>
      </c>
      <c r="AQ122" s="103">
        <f t="shared" si="132"/>
        <v>0</v>
      </c>
      <c r="AR122" s="68" t="str">
        <f>IFERROR(VLOOKUP(A122,CUSTOMERS!$A:$B,2),"")</f>
        <v>PRD</v>
      </c>
      <c r="AS122" s="68" t="str">
        <f>IFERROR(VLOOKUP(A122,CUSTOMERS!$A:$D,3),"")</f>
        <v>BLG</v>
      </c>
      <c r="AT122" s="68" t="str">
        <f>IFERROR(VLOOKUP(A122,CUSTOMERS!$A:$F,6),"")</f>
        <v>N</v>
      </c>
      <c r="AU122" s="69">
        <f>IFERROR(VLOOKUP(A122,CUSTOMERS!$A:$E,4),"")</f>
        <v>-150</v>
      </c>
      <c r="AV122" s="68" t="str">
        <f t="shared" si="127"/>
        <v/>
      </c>
      <c r="AX122" s="71" t="str">
        <f t="shared" si="122"/>
        <v>reason122</v>
      </c>
    </row>
    <row r="123" spans="1:50" ht="81" customHeight="1" thickTop="1" thickBot="1">
      <c r="A123" s="188" t="s">
        <v>27</v>
      </c>
      <c r="B123" s="120" t="str">
        <f t="shared" si="126"/>
        <v>N</v>
      </c>
      <c r="C123" s="120"/>
      <c r="D123" s="121">
        <v>4</v>
      </c>
      <c r="E123" s="121"/>
      <c r="F123" s="122" t="str">
        <f t="shared" si="114"/>
        <v>PRD-BLG-2021-00004</v>
      </c>
      <c r="G123" s="207" t="s">
        <v>291</v>
      </c>
      <c r="H123" s="124" t="s">
        <v>558</v>
      </c>
      <c r="I123" s="239"/>
      <c r="J123" s="80">
        <f t="shared" si="117"/>
        <v>0</v>
      </c>
      <c r="K123" s="177">
        <f t="shared" si="133"/>
        <v>44223</v>
      </c>
      <c r="L123" s="155">
        <v>44223</v>
      </c>
      <c r="M123" s="152"/>
      <c r="N123" s="147"/>
      <c r="O123" s="147"/>
      <c r="P123" s="153"/>
      <c r="Q123" s="201" t="s">
        <v>18</v>
      </c>
      <c r="R123" s="200" t="s">
        <v>78</v>
      </c>
      <c r="S123" s="200"/>
      <c r="T123" s="200"/>
      <c r="U123" s="200"/>
      <c r="V123" s="200"/>
      <c r="W123" s="200"/>
      <c r="X123" s="156" t="s">
        <v>557</v>
      </c>
      <c r="Y123" s="173">
        <f t="shared" si="130"/>
        <v>0</v>
      </c>
      <c r="Z123" s="83">
        <f t="shared" si="118"/>
        <v>0</v>
      </c>
      <c r="AA123" s="84">
        <f t="shared" si="128"/>
        <v>0</v>
      </c>
      <c r="AB123" s="84">
        <f t="shared" si="129"/>
        <v>0</v>
      </c>
      <c r="AC123" s="84">
        <f t="shared" si="119"/>
        <v>0</v>
      </c>
      <c r="AD123" s="84"/>
      <c r="AE123" s="84">
        <f t="shared" si="124"/>
        <v>0</v>
      </c>
      <c r="AF123" s="84">
        <f t="shared" si="131"/>
        <v>0</v>
      </c>
      <c r="AG123" s="94">
        <f t="shared" si="125"/>
        <v>0</v>
      </c>
      <c r="AH123" s="85">
        <f>IFERROR(VLOOKUP(A123,CUSTOMERS!$A:$E,4),"")</f>
        <v>-150</v>
      </c>
      <c r="AI123" s="86" t="str">
        <f t="shared" si="134"/>
        <v/>
      </c>
      <c r="AJ123" s="87">
        <f>IFERROR(VLOOKUP(A123,CUSTOMERS!$A:$F,5),"")</f>
        <v>0</v>
      </c>
      <c r="AK123" s="96"/>
      <c r="AL123" s="96">
        <v>0</v>
      </c>
      <c r="AM123" s="96">
        <v>0</v>
      </c>
      <c r="AN123" s="96"/>
      <c r="AO123" s="96">
        <v>0</v>
      </c>
      <c r="AP123" s="103">
        <f t="shared" si="121"/>
        <v>0</v>
      </c>
      <c r="AQ123" s="103">
        <f t="shared" si="132"/>
        <v>0</v>
      </c>
      <c r="AR123" s="68" t="str">
        <f>IFERROR(VLOOKUP(A123,CUSTOMERS!$A:$B,2),"")</f>
        <v>PRD</v>
      </c>
      <c r="AS123" s="68" t="str">
        <f>IFERROR(VLOOKUP(A123,CUSTOMERS!$A:$D,3),"")</f>
        <v>BLG</v>
      </c>
      <c r="AT123" s="68" t="str">
        <f>IFERROR(VLOOKUP(A123,CUSTOMERS!$A:$F,6),"")</f>
        <v>N</v>
      </c>
      <c r="AU123" s="69">
        <f>IFERROR(VLOOKUP(A123,CUSTOMERS!$A:$E,4),"")</f>
        <v>-150</v>
      </c>
      <c r="AV123" s="68" t="str">
        <f t="shared" si="127"/>
        <v/>
      </c>
      <c r="AX123" s="71" t="str">
        <f t="shared" si="122"/>
        <v>reason123</v>
      </c>
    </row>
    <row r="124" spans="1:50" thickTop="1" thickBot="1">
      <c r="A124" s="188" t="s">
        <v>27</v>
      </c>
      <c r="B124" s="120" t="str">
        <f t="shared" si="126"/>
        <v>N</v>
      </c>
      <c r="C124" s="120"/>
      <c r="D124" s="121">
        <v>5</v>
      </c>
      <c r="E124" s="121"/>
      <c r="F124" s="122" t="str">
        <f t="shared" si="114"/>
        <v>PRD-BLG-2021-00005</v>
      </c>
      <c r="G124" s="123" t="s">
        <v>291</v>
      </c>
      <c r="H124" s="124" t="s">
        <v>559</v>
      </c>
      <c r="I124" s="239"/>
      <c r="J124" s="80">
        <f t="shared" si="117"/>
        <v>0</v>
      </c>
      <c r="K124" s="177">
        <f t="shared" si="133"/>
        <v>44223</v>
      </c>
      <c r="L124" s="155">
        <v>44223</v>
      </c>
      <c r="M124" s="152"/>
      <c r="N124" s="147"/>
      <c r="O124" s="147"/>
      <c r="P124" s="153"/>
      <c r="Q124" s="201" t="s">
        <v>18</v>
      </c>
      <c r="R124" s="200" t="s">
        <v>78</v>
      </c>
      <c r="S124" s="200"/>
      <c r="T124" s="200"/>
      <c r="U124" s="200"/>
      <c r="V124" s="200"/>
      <c r="W124" s="200"/>
      <c r="X124" s="156" t="s">
        <v>557</v>
      </c>
      <c r="Y124" s="173">
        <f t="shared" si="130"/>
        <v>0</v>
      </c>
      <c r="Z124" s="83">
        <f t="shared" si="118"/>
        <v>0</v>
      </c>
      <c r="AA124" s="84">
        <f t="shared" si="128"/>
        <v>0</v>
      </c>
      <c r="AB124" s="84">
        <f t="shared" si="129"/>
        <v>0</v>
      </c>
      <c r="AC124" s="84">
        <f t="shared" si="119"/>
        <v>0</v>
      </c>
      <c r="AD124" s="84"/>
      <c r="AE124" s="84">
        <f t="shared" si="124"/>
        <v>0</v>
      </c>
      <c r="AF124" s="84">
        <f t="shared" si="131"/>
        <v>0</v>
      </c>
      <c r="AG124" s="94">
        <f t="shared" si="125"/>
        <v>0</v>
      </c>
      <c r="AH124" s="85">
        <f>IFERROR(VLOOKUP(A124,CUSTOMERS!$A:$E,4),"")</f>
        <v>-150</v>
      </c>
      <c r="AI124" s="86" t="str">
        <f t="shared" si="134"/>
        <v/>
      </c>
      <c r="AJ124" s="87">
        <f>IFERROR(VLOOKUP(A124,CUSTOMERS!$A:$F,5),"")</f>
        <v>0</v>
      </c>
      <c r="AK124" s="96"/>
      <c r="AL124" s="96">
        <v>0</v>
      </c>
      <c r="AM124" s="96">
        <v>0</v>
      </c>
      <c r="AN124" s="96"/>
      <c r="AO124" s="96">
        <v>0</v>
      </c>
      <c r="AP124" s="103">
        <f t="shared" si="121"/>
        <v>0</v>
      </c>
      <c r="AQ124" s="103">
        <f t="shared" si="132"/>
        <v>0</v>
      </c>
      <c r="AR124" s="68" t="str">
        <f>IFERROR(VLOOKUP(A124,CUSTOMERS!$A:$B,2),"")</f>
        <v>PRD</v>
      </c>
      <c r="AS124" s="68" t="str">
        <f>IFERROR(VLOOKUP(A124,CUSTOMERS!$A:$D,3),"")</f>
        <v>BLG</v>
      </c>
      <c r="AT124" s="68" t="str">
        <f>IFERROR(VLOOKUP(A124,CUSTOMERS!$A:$F,6),"")</f>
        <v>N</v>
      </c>
      <c r="AU124" s="69">
        <f>IFERROR(VLOOKUP(A124,CUSTOMERS!$A:$E,4),"")</f>
        <v>-150</v>
      </c>
      <c r="AV124" s="68" t="str">
        <f t="shared" si="127"/>
        <v/>
      </c>
      <c r="AX124" s="71" t="str">
        <f t="shared" si="122"/>
        <v>reason124</v>
      </c>
    </row>
    <row r="125" spans="1:50" ht="46.5" customHeight="1" thickTop="1" thickBot="1">
      <c r="A125" s="188" t="s">
        <v>27</v>
      </c>
      <c r="B125" s="120" t="str">
        <f t="shared" si="126"/>
        <v>N</v>
      </c>
      <c r="C125" s="120"/>
      <c r="D125" s="121">
        <v>6</v>
      </c>
      <c r="E125" s="121"/>
      <c r="F125" s="122" t="str">
        <f t="shared" si="114"/>
        <v>PRD-BLG-2021-00006</v>
      </c>
      <c r="G125" s="123" t="s">
        <v>291</v>
      </c>
      <c r="H125" s="124" t="s">
        <v>560</v>
      </c>
      <c r="I125" s="239"/>
      <c r="J125" s="80">
        <f t="shared" si="117"/>
        <v>0</v>
      </c>
      <c r="K125" s="177">
        <f t="shared" si="133"/>
        <v>44223</v>
      </c>
      <c r="L125" s="155">
        <v>44223</v>
      </c>
      <c r="M125" s="152"/>
      <c r="N125" s="147"/>
      <c r="O125" s="147"/>
      <c r="P125" s="153"/>
      <c r="Q125" s="201" t="s">
        <v>18</v>
      </c>
      <c r="R125" s="200" t="s">
        <v>78</v>
      </c>
      <c r="S125" s="200"/>
      <c r="T125" s="200"/>
      <c r="U125" s="200"/>
      <c r="V125" s="200"/>
      <c r="W125" s="200"/>
      <c r="X125" s="156" t="s">
        <v>557</v>
      </c>
      <c r="Y125" s="173">
        <f t="shared" si="130"/>
        <v>0</v>
      </c>
      <c r="Z125" s="83">
        <f t="shared" si="118"/>
        <v>0</v>
      </c>
      <c r="AA125" s="84">
        <f t="shared" si="128"/>
        <v>0</v>
      </c>
      <c r="AB125" s="84">
        <f t="shared" si="129"/>
        <v>0</v>
      </c>
      <c r="AC125" s="84">
        <f t="shared" si="119"/>
        <v>0</v>
      </c>
      <c r="AD125" s="84"/>
      <c r="AE125" s="84">
        <f t="shared" si="124"/>
        <v>0</v>
      </c>
      <c r="AF125" s="84">
        <f t="shared" si="131"/>
        <v>0</v>
      </c>
      <c r="AG125" s="94">
        <f t="shared" si="125"/>
        <v>0</v>
      </c>
      <c r="AH125" s="85">
        <f>IFERROR(VLOOKUP(A125,CUSTOMERS!$A:$E,4),"")</f>
        <v>-150</v>
      </c>
      <c r="AI125" s="86" t="str">
        <f t="shared" si="134"/>
        <v/>
      </c>
      <c r="AJ125" s="87">
        <f>IFERROR(VLOOKUP(A125,CUSTOMERS!$A:$F,5),"")</f>
        <v>0</v>
      </c>
      <c r="AK125" s="96"/>
      <c r="AL125" s="96">
        <v>0</v>
      </c>
      <c r="AM125" s="96">
        <v>0</v>
      </c>
      <c r="AN125" s="96"/>
      <c r="AO125" s="96">
        <v>0</v>
      </c>
      <c r="AP125" s="103">
        <f t="shared" si="121"/>
        <v>0</v>
      </c>
      <c r="AQ125" s="103">
        <f t="shared" si="132"/>
        <v>0</v>
      </c>
      <c r="AR125" s="68" t="str">
        <f>IFERROR(VLOOKUP(A125,CUSTOMERS!$A:$B,2),"")</f>
        <v>PRD</v>
      </c>
      <c r="AS125" s="68" t="str">
        <f>IFERROR(VLOOKUP(A125,CUSTOMERS!$A:$D,3),"")</f>
        <v>BLG</v>
      </c>
      <c r="AT125" s="68" t="str">
        <f>IFERROR(VLOOKUP(A125,CUSTOMERS!$A:$F,6),"")</f>
        <v>N</v>
      </c>
      <c r="AU125" s="69">
        <f>IFERROR(VLOOKUP(A125,CUSTOMERS!$A:$E,4),"")</f>
        <v>-150</v>
      </c>
      <c r="AV125" s="68" t="str">
        <f t="shared" si="127"/>
        <v/>
      </c>
      <c r="AX125" s="71" t="str">
        <f t="shared" si="122"/>
        <v>reason125</v>
      </c>
    </row>
    <row r="126" spans="1:50" ht="46.5" customHeight="1" thickTop="1" thickBot="1">
      <c r="A126" s="188" t="s">
        <v>27</v>
      </c>
      <c r="B126" s="120" t="str">
        <f t="shared" si="126"/>
        <v>N</v>
      </c>
      <c r="C126" s="120"/>
      <c r="D126" s="121">
        <v>2</v>
      </c>
      <c r="E126" s="121"/>
      <c r="F126" s="122" t="str">
        <f t="shared" si="114"/>
        <v>PRD-BLG-2020-00002</v>
      </c>
      <c r="G126" s="207" t="s">
        <v>339</v>
      </c>
      <c r="H126" s="124" t="s">
        <v>561</v>
      </c>
      <c r="I126" s="239"/>
      <c r="J126" s="80">
        <f t="shared" si="117"/>
        <v>0</v>
      </c>
      <c r="K126" s="177">
        <f t="shared" si="133"/>
        <v>44105</v>
      </c>
      <c r="L126" s="155">
        <v>44105</v>
      </c>
      <c r="M126" s="152"/>
      <c r="N126" s="147"/>
      <c r="O126" s="147"/>
      <c r="P126" s="153"/>
      <c r="Q126" s="201" t="s">
        <v>12</v>
      </c>
      <c r="R126" s="200" t="s">
        <v>78</v>
      </c>
      <c r="S126" s="200"/>
      <c r="T126" s="200"/>
      <c r="U126" s="200"/>
      <c r="V126" s="200"/>
      <c r="W126" s="200"/>
      <c r="X126" s="154" t="s">
        <v>562</v>
      </c>
      <c r="Y126" s="173">
        <f t="shared" si="130"/>
        <v>0</v>
      </c>
      <c r="Z126" s="83">
        <f t="shared" si="118"/>
        <v>0</v>
      </c>
      <c r="AA126" s="84">
        <f t="shared" si="128"/>
        <v>0</v>
      </c>
      <c r="AB126" s="84">
        <f t="shared" si="129"/>
        <v>0</v>
      </c>
      <c r="AC126" s="84">
        <f t="shared" si="119"/>
        <v>0</v>
      </c>
      <c r="AD126" s="84"/>
      <c r="AE126" s="84">
        <f t="shared" si="124"/>
        <v>0</v>
      </c>
      <c r="AF126" s="84">
        <f t="shared" si="131"/>
        <v>0</v>
      </c>
      <c r="AG126" s="94">
        <f t="shared" si="125"/>
        <v>0</v>
      </c>
      <c r="AH126" s="85">
        <f>IFERROR(VLOOKUP(A126,CUSTOMERS!$A:$E,4),"")</f>
        <v>-150</v>
      </c>
      <c r="AI126" s="86" t="str">
        <f t="shared" si="134"/>
        <v/>
      </c>
      <c r="AJ126" s="87">
        <f>IFERROR(VLOOKUP(A126,CUSTOMERS!$A:$F,5),"")</f>
        <v>0</v>
      </c>
      <c r="AK126" s="96"/>
      <c r="AL126" s="96">
        <v>0</v>
      </c>
      <c r="AM126" s="96">
        <v>0</v>
      </c>
      <c r="AN126" s="96"/>
      <c r="AO126" s="96">
        <v>0</v>
      </c>
      <c r="AP126" s="103">
        <f t="shared" si="121"/>
        <v>0</v>
      </c>
      <c r="AQ126" s="103">
        <f t="shared" si="132"/>
        <v>0</v>
      </c>
      <c r="AR126" s="68" t="str">
        <f>IFERROR(VLOOKUP(A126,CUSTOMERS!$A:$B,2),"")</f>
        <v>PRD</v>
      </c>
      <c r="AS126" s="68" t="str">
        <f>IFERROR(VLOOKUP(A126,CUSTOMERS!$A:$D,3),"")</f>
        <v>BLG</v>
      </c>
      <c r="AT126" s="68" t="str">
        <f>IFERROR(VLOOKUP(A126,CUSTOMERS!$A:$F,6),"")</f>
        <v>N</v>
      </c>
      <c r="AU126" s="69">
        <f>IFERROR(VLOOKUP(A126,CUSTOMERS!$A:$E,4),"")</f>
        <v>-150</v>
      </c>
      <c r="AV126" s="68" t="str">
        <f t="shared" si="127"/>
        <v/>
      </c>
      <c r="AX126" s="71" t="str">
        <f t="shared" si="122"/>
        <v>reason126</v>
      </c>
    </row>
    <row r="127" spans="1:50" ht="46.5" customHeight="1" thickTop="1" thickBot="1">
      <c r="A127" s="188" t="s">
        <v>27</v>
      </c>
      <c r="B127" s="120" t="str">
        <f t="shared" si="126"/>
        <v>N</v>
      </c>
      <c r="C127" s="120"/>
      <c r="D127" s="121">
        <v>3</v>
      </c>
      <c r="E127" s="121"/>
      <c r="F127" s="122" t="str">
        <f t="shared" si="114"/>
        <v>PRD-BLG-2020-00003</v>
      </c>
      <c r="G127" s="123" t="s">
        <v>291</v>
      </c>
      <c r="H127" s="124" t="s">
        <v>563</v>
      </c>
      <c r="I127" s="239"/>
      <c r="J127" s="80">
        <f t="shared" si="117"/>
        <v>0</v>
      </c>
      <c r="K127" s="177">
        <f t="shared" si="133"/>
        <v>44105</v>
      </c>
      <c r="L127" s="155">
        <v>44105</v>
      </c>
      <c r="M127" s="152"/>
      <c r="N127" s="147"/>
      <c r="O127" s="147"/>
      <c r="P127" s="153"/>
      <c r="Q127" s="201" t="s">
        <v>12</v>
      </c>
      <c r="R127" s="200" t="s">
        <v>78</v>
      </c>
      <c r="S127" s="200"/>
      <c r="T127" s="200"/>
      <c r="U127" s="200"/>
      <c r="V127" s="200"/>
      <c r="W127" s="200"/>
      <c r="X127" s="154" t="s">
        <v>564</v>
      </c>
      <c r="Y127" s="173">
        <f t="shared" si="130"/>
        <v>0</v>
      </c>
      <c r="Z127" s="83">
        <f t="shared" si="118"/>
        <v>0</v>
      </c>
      <c r="AA127" s="84">
        <f t="shared" si="128"/>
        <v>0</v>
      </c>
      <c r="AB127" s="84">
        <f t="shared" si="129"/>
        <v>0</v>
      </c>
      <c r="AC127" s="84">
        <f t="shared" si="119"/>
        <v>0</v>
      </c>
      <c r="AD127" s="84"/>
      <c r="AE127" s="84">
        <f t="shared" si="124"/>
        <v>0</v>
      </c>
      <c r="AF127" s="84">
        <f t="shared" si="131"/>
        <v>0</v>
      </c>
      <c r="AG127" s="94">
        <f t="shared" si="125"/>
        <v>0</v>
      </c>
      <c r="AH127" s="85">
        <f>IFERROR(VLOOKUP(A127,CUSTOMERS!$A:$E,4),"")</f>
        <v>-150</v>
      </c>
      <c r="AI127" s="86" t="str">
        <f t="shared" si="134"/>
        <v/>
      </c>
      <c r="AJ127" s="87">
        <f>IFERROR(VLOOKUP(A127,CUSTOMERS!$A:$F,5),"")</f>
        <v>0</v>
      </c>
      <c r="AK127" s="96"/>
      <c r="AL127" s="96">
        <v>0</v>
      </c>
      <c r="AM127" s="96">
        <v>0</v>
      </c>
      <c r="AN127" s="96"/>
      <c r="AO127" s="96">
        <v>0</v>
      </c>
      <c r="AP127" s="103">
        <f t="shared" si="121"/>
        <v>0</v>
      </c>
      <c r="AQ127" s="103">
        <f t="shared" si="132"/>
        <v>0</v>
      </c>
      <c r="AR127" s="68" t="str">
        <f>IFERROR(VLOOKUP(A127,CUSTOMERS!$A:$B,2),"")</f>
        <v>PRD</v>
      </c>
      <c r="AS127" s="68" t="str">
        <f>IFERROR(VLOOKUP(A127,CUSTOMERS!$A:$D,3),"")</f>
        <v>BLG</v>
      </c>
      <c r="AT127" s="68" t="str">
        <f>IFERROR(VLOOKUP(A127,CUSTOMERS!$A:$F,6),"")</f>
        <v>N</v>
      </c>
      <c r="AU127" s="69">
        <f>IFERROR(VLOOKUP(A127,CUSTOMERS!$A:$E,4),"")</f>
        <v>-150</v>
      </c>
      <c r="AV127" s="68" t="str">
        <f t="shared" si="127"/>
        <v/>
      </c>
      <c r="AX127" s="71" t="str">
        <f t="shared" si="122"/>
        <v>reason127</v>
      </c>
    </row>
    <row r="128" spans="1:50" ht="46.5" customHeight="1" thickTop="1" thickBot="1">
      <c r="A128" s="188" t="s">
        <v>27</v>
      </c>
      <c r="B128" s="120" t="str">
        <f t="shared" si="126"/>
        <v>N</v>
      </c>
      <c r="C128" s="120"/>
      <c r="D128" s="121">
        <v>4</v>
      </c>
      <c r="E128" s="121"/>
      <c r="F128" s="122" t="str">
        <f t="shared" si="114"/>
        <v>PRD-BLG-2020-00004</v>
      </c>
      <c r="G128" s="123" t="s">
        <v>291</v>
      </c>
      <c r="H128" s="124" t="s">
        <v>565</v>
      </c>
      <c r="I128" s="239"/>
      <c r="J128" s="80">
        <f t="shared" si="117"/>
        <v>0</v>
      </c>
      <c r="K128" s="177">
        <f t="shared" si="133"/>
        <v>44105</v>
      </c>
      <c r="L128" s="155">
        <v>44105</v>
      </c>
      <c r="M128" s="152"/>
      <c r="N128" s="147"/>
      <c r="O128" s="147"/>
      <c r="P128" s="153"/>
      <c r="Q128" s="201" t="s">
        <v>12</v>
      </c>
      <c r="R128" s="200" t="s">
        <v>78</v>
      </c>
      <c r="S128" s="200"/>
      <c r="T128" s="200"/>
      <c r="U128" s="200"/>
      <c r="V128" s="200"/>
      <c r="W128" s="200"/>
      <c r="X128" s="154" t="s">
        <v>566</v>
      </c>
      <c r="Y128" s="173">
        <f t="shared" si="130"/>
        <v>0</v>
      </c>
      <c r="Z128" s="83">
        <f t="shared" si="118"/>
        <v>0</v>
      </c>
      <c r="AA128" s="84">
        <f t="shared" si="128"/>
        <v>0</v>
      </c>
      <c r="AB128" s="84">
        <f t="shared" si="129"/>
        <v>0</v>
      </c>
      <c r="AC128" s="84">
        <f t="shared" si="119"/>
        <v>0</v>
      </c>
      <c r="AD128" s="84"/>
      <c r="AE128" s="84">
        <f t="shared" si="124"/>
        <v>0</v>
      </c>
      <c r="AF128" s="84">
        <f t="shared" si="131"/>
        <v>0</v>
      </c>
      <c r="AG128" s="94">
        <f t="shared" si="125"/>
        <v>0</v>
      </c>
      <c r="AH128" s="85">
        <f>IFERROR(VLOOKUP(A128,CUSTOMERS!$A:$E,4),"")</f>
        <v>-150</v>
      </c>
      <c r="AI128" s="86" t="str">
        <f t="shared" si="134"/>
        <v/>
      </c>
      <c r="AJ128" s="87">
        <f>IFERROR(VLOOKUP(A128,CUSTOMERS!$A:$F,5),"")</f>
        <v>0</v>
      </c>
      <c r="AK128" s="96"/>
      <c r="AL128" s="96">
        <v>0</v>
      </c>
      <c r="AM128" s="96">
        <v>0</v>
      </c>
      <c r="AN128" s="96"/>
      <c r="AO128" s="96">
        <v>0</v>
      </c>
      <c r="AP128" s="103">
        <f t="shared" si="121"/>
        <v>0</v>
      </c>
      <c r="AQ128" s="103">
        <f t="shared" si="132"/>
        <v>0</v>
      </c>
      <c r="AR128" s="68" t="str">
        <f>IFERROR(VLOOKUP(A128,CUSTOMERS!$A:$B,2),"")</f>
        <v>PRD</v>
      </c>
      <c r="AS128" s="68" t="str">
        <f>IFERROR(VLOOKUP(A128,CUSTOMERS!$A:$D,3),"")</f>
        <v>BLG</v>
      </c>
      <c r="AT128" s="68" t="str">
        <f>IFERROR(VLOOKUP(A128,CUSTOMERS!$A:$F,6),"")</f>
        <v>N</v>
      </c>
      <c r="AU128" s="69">
        <f>IFERROR(VLOOKUP(A128,CUSTOMERS!$A:$E,4),"")</f>
        <v>-150</v>
      </c>
      <c r="AV128" s="68" t="str">
        <f t="shared" si="127"/>
        <v/>
      </c>
      <c r="AX128" s="71" t="str">
        <f t="shared" si="122"/>
        <v>reason128</v>
      </c>
    </row>
    <row r="129" spans="1:50" ht="45" customHeight="1" thickTop="1" thickBot="1">
      <c r="A129" s="188" t="s">
        <v>27</v>
      </c>
      <c r="B129" s="120" t="str">
        <f t="shared" si="126"/>
        <v>N</v>
      </c>
      <c r="C129" s="120"/>
      <c r="D129" s="121">
        <v>5</v>
      </c>
      <c r="E129" s="121"/>
      <c r="F129" s="122" t="str">
        <f t="shared" si="114"/>
        <v>PRD-BLG-2020-00005</v>
      </c>
      <c r="G129" s="123" t="s">
        <v>291</v>
      </c>
      <c r="H129" s="124" t="s">
        <v>567</v>
      </c>
      <c r="I129" s="239"/>
      <c r="J129" s="220">
        <f t="shared" si="117"/>
        <v>0</v>
      </c>
      <c r="K129" s="177">
        <f t="shared" si="133"/>
        <v>44105</v>
      </c>
      <c r="L129" s="155">
        <v>44105</v>
      </c>
      <c r="M129" s="152"/>
      <c r="N129" s="147"/>
      <c r="O129" s="147"/>
      <c r="P129" s="153"/>
      <c r="Q129" s="221" t="s">
        <v>12</v>
      </c>
      <c r="R129" s="200" t="s">
        <v>78</v>
      </c>
      <c r="S129" s="200"/>
      <c r="T129" s="200"/>
      <c r="U129" s="200"/>
      <c r="V129" s="200"/>
      <c r="W129" s="200"/>
      <c r="X129" s="154" t="s">
        <v>568</v>
      </c>
      <c r="Y129" s="173">
        <f t="shared" si="130"/>
        <v>0</v>
      </c>
      <c r="Z129" s="83">
        <f t="shared" si="118"/>
        <v>0</v>
      </c>
      <c r="AA129" s="84">
        <f t="shared" si="128"/>
        <v>0</v>
      </c>
      <c r="AB129" s="84">
        <f t="shared" si="129"/>
        <v>0</v>
      </c>
      <c r="AC129" s="84">
        <f t="shared" si="119"/>
        <v>0</v>
      </c>
      <c r="AD129" s="84"/>
      <c r="AE129" s="84">
        <f t="shared" si="124"/>
        <v>0</v>
      </c>
      <c r="AF129" s="84">
        <f t="shared" si="131"/>
        <v>0</v>
      </c>
      <c r="AG129" s="94">
        <f t="shared" si="125"/>
        <v>0</v>
      </c>
      <c r="AH129" s="85">
        <f>IFERROR(VLOOKUP(A129,CUSTOMERS!$A:$E,4),"")</f>
        <v>-150</v>
      </c>
      <c r="AI129" s="86" t="str">
        <f t="shared" si="134"/>
        <v/>
      </c>
      <c r="AJ129" s="87">
        <f>IFERROR(VLOOKUP(A129,CUSTOMERS!$A:$F,5),"")</f>
        <v>0</v>
      </c>
      <c r="AK129" s="96"/>
      <c r="AL129" s="96">
        <v>0</v>
      </c>
      <c r="AM129" s="96">
        <v>0</v>
      </c>
      <c r="AN129" s="96"/>
      <c r="AO129" s="96">
        <v>0</v>
      </c>
      <c r="AP129" s="103">
        <f t="shared" si="121"/>
        <v>0</v>
      </c>
      <c r="AQ129" s="103">
        <f t="shared" si="132"/>
        <v>0</v>
      </c>
      <c r="AR129" s="68" t="str">
        <f>IFERROR(VLOOKUP(A129,CUSTOMERS!$A:$B,2),"")</f>
        <v>PRD</v>
      </c>
      <c r="AS129" s="68" t="str">
        <f>IFERROR(VLOOKUP(A129,CUSTOMERS!$A:$D,3),"")</f>
        <v>BLG</v>
      </c>
      <c r="AT129" s="68" t="str">
        <f>IFERROR(VLOOKUP(A129,CUSTOMERS!$A:$F,6),"")</f>
        <v>N</v>
      </c>
      <c r="AU129" s="69">
        <f>IFERROR(VLOOKUP(A129,CUSTOMERS!$A:$E,4),"")</f>
        <v>-150</v>
      </c>
      <c r="AV129" s="68" t="str">
        <f t="shared" si="127"/>
        <v/>
      </c>
      <c r="AX129" s="71" t="str">
        <f t="shared" si="122"/>
        <v>reason129</v>
      </c>
    </row>
    <row r="130" spans="1:50" ht="45" customHeight="1" thickTop="1" thickBot="1">
      <c r="A130" s="188" t="s">
        <v>50</v>
      </c>
      <c r="B130" s="120" t="str">
        <f t="shared" si="126"/>
        <v>N</v>
      </c>
      <c r="C130" s="120"/>
      <c r="D130" s="121">
        <v>6</v>
      </c>
      <c r="E130" s="121"/>
      <c r="F130" s="122" t="str">
        <f t="shared" si="114"/>
        <v>PRD-REQ-2020-00006</v>
      </c>
      <c r="G130" s="123" t="s">
        <v>29</v>
      </c>
      <c r="H130" s="216" t="s">
        <v>77</v>
      </c>
      <c r="I130" s="240"/>
      <c r="J130" s="227">
        <f t="shared" si="117"/>
        <v>0</v>
      </c>
      <c r="K130" s="218">
        <f t="shared" si="133"/>
        <v>44105</v>
      </c>
      <c r="L130" s="155">
        <v>44105</v>
      </c>
      <c r="M130" s="152"/>
      <c r="N130" s="147"/>
      <c r="O130" s="147"/>
      <c r="P130" s="217"/>
      <c r="Q130" s="213" t="s">
        <v>12</v>
      </c>
      <c r="R130" s="229" t="s">
        <v>78</v>
      </c>
      <c r="S130" s="200" t="s">
        <v>311</v>
      </c>
      <c r="T130" s="200"/>
      <c r="U130" s="200"/>
      <c r="V130" s="200"/>
      <c r="W130" s="200"/>
      <c r="X130" s="154" t="s">
        <v>569</v>
      </c>
      <c r="Y130" s="173">
        <f t="shared" si="130"/>
        <v>0</v>
      </c>
      <c r="Z130" s="83">
        <f t="shared" si="118"/>
        <v>0</v>
      </c>
      <c r="AA130" s="84">
        <f t="shared" si="128"/>
        <v>0</v>
      </c>
      <c r="AB130" s="84">
        <f t="shared" si="129"/>
        <v>0</v>
      </c>
      <c r="AC130" s="84">
        <f t="shared" si="119"/>
        <v>0</v>
      </c>
      <c r="AD130" s="84"/>
      <c r="AE130" s="84">
        <f t="shared" si="124"/>
        <v>0</v>
      </c>
      <c r="AF130" s="84">
        <f t="shared" si="131"/>
        <v>0</v>
      </c>
      <c r="AG130" s="94">
        <f t="shared" si="125"/>
        <v>0</v>
      </c>
      <c r="AH130" s="85">
        <f>IFERROR(VLOOKUP(A130,CUSTOMERS!$A:$E,4),"")</f>
        <v>-150</v>
      </c>
      <c r="AI130" s="86" t="str">
        <f t="shared" si="134"/>
        <v/>
      </c>
      <c r="AJ130" s="87">
        <f>IFERROR(VLOOKUP(A130,CUSTOMERS!$A:$F,5),"")</f>
        <v>0</v>
      </c>
      <c r="AK130" s="96"/>
      <c r="AL130" s="96">
        <v>0</v>
      </c>
      <c r="AM130" s="96">
        <v>0</v>
      </c>
      <c r="AN130" s="96"/>
      <c r="AO130" s="96">
        <v>0</v>
      </c>
      <c r="AP130" s="103">
        <f t="shared" si="121"/>
        <v>0</v>
      </c>
      <c r="AQ130" s="103">
        <f t="shared" si="132"/>
        <v>0</v>
      </c>
      <c r="AR130" s="68" t="str">
        <f>IFERROR(VLOOKUP(A130,CUSTOMERS!$A:$B,2),"")</f>
        <v>PRD</v>
      </c>
      <c r="AS130" s="68" t="str">
        <f>IFERROR(VLOOKUP(A130,CUSTOMERS!$A:$D,3),"")</f>
        <v>REQ</v>
      </c>
      <c r="AT130" s="68" t="str">
        <f>IFERROR(VLOOKUP(A130,CUSTOMERS!$A:$F,6),"")</f>
        <v>N</v>
      </c>
      <c r="AU130" s="69">
        <f>IFERROR(VLOOKUP(A130,CUSTOMERS!$A:$E,4),"")</f>
        <v>-150</v>
      </c>
      <c r="AV130" s="68" t="str">
        <f t="shared" si="127"/>
        <v/>
      </c>
      <c r="AX130" s="71" t="str">
        <f t="shared" si="122"/>
        <v>reason130</v>
      </c>
    </row>
    <row r="131" spans="1:50" ht="45" customHeight="1" thickTop="1" thickBot="1">
      <c r="A131" s="188" t="s">
        <v>27</v>
      </c>
      <c r="B131" s="125" t="str">
        <f t="shared" si="126"/>
        <v>N</v>
      </c>
      <c r="C131" s="125"/>
      <c r="D131" s="126">
        <v>7</v>
      </c>
      <c r="E131" s="126"/>
      <c r="F131" s="122" t="str">
        <f t="shared" si="114"/>
        <v>PRD-BLG-2020-00007</v>
      </c>
      <c r="G131" s="123" t="s">
        <v>339</v>
      </c>
      <c r="H131" s="124" t="s">
        <v>570</v>
      </c>
      <c r="I131" s="239"/>
      <c r="J131" s="231">
        <f t="shared" si="117"/>
        <v>0</v>
      </c>
      <c r="K131" s="177">
        <f t="shared" si="133"/>
        <v>44105</v>
      </c>
      <c r="L131" s="155">
        <v>44105</v>
      </c>
      <c r="M131" s="152"/>
      <c r="N131" s="147"/>
      <c r="O131" s="147"/>
      <c r="P131" s="153"/>
      <c r="Q131" s="232" t="s">
        <v>12</v>
      </c>
      <c r="R131" s="200" t="s">
        <v>78</v>
      </c>
      <c r="S131" s="200"/>
      <c r="T131" s="200"/>
      <c r="U131" s="200"/>
      <c r="V131" s="200"/>
      <c r="W131" s="200"/>
      <c r="X131" s="154" t="s">
        <v>571</v>
      </c>
      <c r="Y131" s="173">
        <f t="shared" si="130"/>
        <v>0</v>
      </c>
      <c r="Z131" s="83">
        <f t="shared" si="118"/>
        <v>0</v>
      </c>
      <c r="AA131" s="84">
        <f t="shared" si="128"/>
        <v>0</v>
      </c>
      <c r="AB131" s="84">
        <f t="shared" si="129"/>
        <v>0</v>
      </c>
      <c r="AC131" s="84">
        <f t="shared" si="119"/>
        <v>0</v>
      </c>
      <c r="AD131" s="84"/>
      <c r="AE131" s="84">
        <f t="shared" si="124"/>
        <v>0</v>
      </c>
      <c r="AF131" s="84">
        <f t="shared" si="131"/>
        <v>0</v>
      </c>
      <c r="AG131" s="94">
        <f t="shared" si="125"/>
        <v>0</v>
      </c>
      <c r="AH131" s="85">
        <f>IFERROR(VLOOKUP(A131,CUSTOMERS!$A:$E,4),"")</f>
        <v>-150</v>
      </c>
      <c r="AI131" s="86" t="str">
        <f t="shared" si="134"/>
        <v/>
      </c>
      <c r="AJ131" s="87">
        <f>IFERROR(VLOOKUP(A131,CUSTOMERS!$A:$F,5),"")</f>
        <v>0</v>
      </c>
      <c r="AK131" s="96"/>
      <c r="AL131" s="96">
        <v>0</v>
      </c>
      <c r="AM131" s="96">
        <v>0</v>
      </c>
      <c r="AN131" s="96"/>
      <c r="AO131" s="96">
        <v>0</v>
      </c>
      <c r="AP131" s="103">
        <f t="shared" si="121"/>
        <v>0</v>
      </c>
      <c r="AQ131" s="103">
        <f t="shared" si="132"/>
        <v>0</v>
      </c>
      <c r="AR131" s="68" t="str">
        <f>IFERROR(VLOOKUP(A131,CUSTOMERS!$A:$B,2),"")</f>
        <v>PRD</v>
      </c>
      <c r="AS131" s="68" t="str">
        <f>IFERROR(VLOOKUP(A131,CUSTOMERS!$A:$D,3),"")</f>
        <v>BLG</v>
      </c>
      <c r="AT131" s="68" t="str">
        <f>IFERROR(VLOOKUP(A131,CUSTOMERS!$A:$F,6),"")</f>
        <v>N</v>
      </c>
      <c r="AU131" s="69">
        <f>IFERROR(VLOOKUP(A131,CUSTOMERS!$A:$E,4),"")</f>
        <v>-150</v>
      </c>
      <c r="AV131" s="68" t="str">
        <f t="shared" si="127"/>
        <v/>
      </c>
      <c r="AX131" s="71" t="str">
        <f t="shared" si="122"/>
        <v>reason131</v>
      </c>
    </row>
    <row r="132" spans="1:50" ht="44.25" customHeight="1" thickTop="1" thickBot="1">
      <c r="A132" s="188" t="s">
        <v>50</v>
      </c>
      <c r="B132" s="125" t="str">
        <f t="shared" si="126"/>
        <v>N</v>
      </c>
      <c r="C132" s="125"/>
      <c r="D132" s="126">
        <v>8</v>
      </c>
      <c r="E132" s="126"/>
      <c r="F132" s="122" t="str">
        <f t="shared" si="114"/>
        <v>PRD-REQ-2020-00008</v>
      </c>
      <c r="G132" s="123" t="s">
        <v>29</v>
      </c>
      <c r="H132" s="216" t="s">
        <v>80</v>
      </c>
      <c r="I132" s="240"/>
      <c r="J132" s="227">
        <f t="shared" si="117"/>
        <v>0</v>
      </c>
      <c r="K132" s="218">
        <f t="shared" si="133"/>
        <v>44105</v>
      </c>
      <c r="L132" s="155">
        <v>44105</v>
      </c>
      <c r="M132" s="152"/>
      <c r="N132" s="147"/>
      <c r="O132" s="147"/>
      <c r="P132" s="217"/>
      <c r="Q132" s="213" t="s">
        <v>12</v>
      </c>
      <c r="R132" s="229" t="s">
        <v>78</v>
      </c>
      <c r="S132" s="200" t="s">
        <v>308</v>
      </c>
      <c r="T132" s="200"/>
      <c r="U132" s="200"/>
      <c r="V132" s="200"/>
      <c r="W132" s="200"/>
      <c r="X132" s="154" t="s">
        <v>572</v>
      </c>
      <c r="Y132" s="173">
        <f t="shared" si="130"/>
        <v>0</v>
      </c>
      <c r="Z132" s="83">
        <f t="shared" si="118"/>
        <v>0</v>
      </c>
      <c r="AA132" s="84">
        <f t="shared" si="128"/>
        <v>0</v>
      </c>
      <c r="AB132" s="84">
        <f t="shared" si="129"/>
        <v>0</v>
      </c>
      <c r="AC132" s="84">
        <f t="shared" si="119"/>
        <v>0</v>
      </c>
      <c r="AD132" s="84"/>
      <c r="AE132" s="84">
        <f t="shared" si="124"/>
        <v>0</v>
      </c>
      <c r="AF132" s="84">
        <f t="shared" si="131"/>
        <v>0</v>
      </c>
      <c r="AG132" s="94">
        <f t="shared" si="125"/>
        <v>0</v>
      </c>
      <c r="AH132" s="85">
        <f>IFERROR(VLOOKUP(A132,CUSTOMERS!$A:$E,4),"")</f>
        <v>-150</v>
      </c>
      <c r="AI132" s="86" t="str">
        <f t="shared" si="134"/>
        <v/>
      </c>
      <c r="AJ132" s="87">
        <f>IFERROR(VLOOKUP(A132,CUSTOMERS!$A:$F,5),"")</f>
        <v>0</v>
      </c>
      <c r="AK132" s="96"/>
      <c r="AL132" s="96">
        <v>0</v>
      </c>
      <c r="AM132" s="96">
        <v>0</v>
      </c>
      <c r="AN132" s="96"/>
      <c r="AO132" s="96">
        <v>0</v>
      </c>
      <c r="AP132" s="103">
        <f t="shared" si="121"/>
        <v>0</v>
      </c>
      <c r="AQ132" s="103">
        <f t="shared" si="132"/>
        <v>0</v>
      </c>
      <c r="AR132" s="68" t="str">
        <f>IFERROR(VLOOKUP(A132,CUSTOMERS!$A:$B,2),"")</f>
        <v>PRD</v>
      </c>
      <c r="AS132" s="68" t="str">
        <f>IFERROR(VLOOKUP(A132,CUSTOMERS!$A:$D,3),"")</f>
        <v>REQ</v>
      </c>
      <c r="AT132" s="68" t="str">
        <f>IFERROR(VLOOKUP(A132,CUSTOMERS!$A:$F,6),"")</f>
        <v>N</v>
      </c>
      <c r="AU132" s="69">
        <f>IFERROR(VLOOKUP(A132,CUSTOMERS!$A:$E,4),"")</f>
        <v>-150</v>
      </c>
      <c r="AV132" s="68" t="str">
        <f t="shared" si="127"/>
        <v/>
      </c>
      <c r="AX132" s="71" t="str">
        <f t="shared" si="122"/>
        <v>reason132</v>
      </c>
    </row>
    <row r="133" spans="1:50" ht="42" customHeight="1" thickTop="1" thickBot="1">
      <c r="A133" s="188" t="s">
        <v>27</v>
      </c>
      <c r="B133" s="125" t="str">
        <f t="shared" si="126"/>
        <v>N</v>
      </c>
      <c r="C133" s="125"/>
      <c r="D133" s="126">
        <v>9</v>
      </c>
      <c r="E133" s="126"/>
      <c r="F133" s="122" t="str">
        <f t="shared" si="114"/>
        <v>PRD-BLG-2020-00009</v>
      </c>
      <c r="G133" s="207" t="s">
        <v>339</v>
      </c>
      <c r="H133" s="124" t="s">
        <v>573</v>
      </c>
      <c r="I133" s="239"/>
      <c r="J133" s="231">
        <f t="shared" si="117"/>
        <v>0</v>
      </c>
      <c r="K133" s="177">
        <f t="shared" si="133"/>
        <v>44105</v>
      </c>
      <c r="L133" s="155">
        <v>44105</v>
      </c>
      <c r="M133" s="152"/>
      <c r="N133" s="147"/>
      <c r="O133" s="147"/>
      <c r="P133" s="153"/>
      <c r="Q133" s="232" t="s">
        <v>12</v>
      </c>
      <c r="R133" s="200" t="s">
        <v>78</v>
      </c>
      <c r="S133" s="200"/>
      <c r="T133" s="200"/>
      <c r="U133" s="200"/>
      <c r="V133" s="200"/>
      <c r="W133" s="200"/>
      <c r="X133" s="154" t="s">
        <v>574</v>
      </c>
      <c r="Y133" s="173">
        <f t="shared" si="130"/>
        <v>0</v>
      </c>
      <c r="Z133" s="83">
        <f t="shared" si="118"/>
        <v>0</v>
      </c>
      <c r="AA133" s="84">
        <f t="shared" si="128"/>
        <v>0</v>
      </c>
      <c r="AB133" s="84">
        <f t="shared" si="129"/>
        <v>0</v>
      </c>
      <c r="AC133" s="84">
        <f t="shared" si="119"/>
        <v>0</v>
      </c>
      <c r="AD133" s="84"/>
      <c r="AE133" s="84">
        <f t="shared" si="124"/>
        <v>0</v>
      </c>
      <c r="AF133" s="84">
        <f t="shared" si="131"/>
        <v>0</v>
      </c>
      <c r="AG133" s="94">
        <f t="shared" si="125"/>
        <v>0</v>
      </c>
      <c r="AH133" s="85">
        <f>IFERROR(VLOOKUP(A133,CUSTOMERS!$A:$E,4),"")</f>
        <v>-150</v>
      </c>
      <c r="AI133" s="86" t="str">
        <f t="shared" si="134"/>
        <v/>
      </c>
      <c r="AJ133" s="87">
        <f>IFERROR(VLOOKUP(A133,CUSTOMERS!$A:$F,5),"")</f>
        <v>0</v>
      </c>
      <c r="AK133" s="96"/>
      <c r="AL133" s="96">
        <v>0</v>
      </c>
      <c r="AM133" s="96">
        <v>0</v>
      </c>
      <c r="AN133" s="96"/>
      <c r="AO133" s="96">
        <v>0</v>
      </c>
      <c r="AP133" s="103">
        <f t="shared" si="121"/>
        <v>0</v>
      </c>
      <c r="AQ133" s="103">
        <f t="shared" si="132"/>
        <v>0</v>
      </c>
      <c r="AR133" s="68" t="str">
        <f>IFERROR(VLOOKUP(A133,CUSTOMERS!$A:$B,2),"")</f>
        <v>PRD</v>
      </c>
      <c r="AS133" s="68" t="str">
        <f>IFERROR(VLOOKUP(A133,CUSTOMERS!$A:$D,3),"")</f>
        <v>BLG</v>
      </c>
      <c r="AT133" s="68" t="str">
        <f>IFERROR(VLOOKUP(A133,CUSTOMERS!$A:$F,6),"")</f>
        <v>N</v>
      </c>
      <c r="AU133" s="69">
        <f>IFERROR(VLOOKUP(A133,CUSTOMERS!$A:$E,4),"")</f>
        <v>-150</v>
      </c>
      <c r="AV133" s="68" t="str">
        <f t="shared" si="127"/>
        <v/>
      </c>
      <c r="AX133" s="71" t="str">
        <f t="shared" si="122"/>
        <v>reason133</v>
      </c>
    </row>
    <row r="134" spans="1:50" ht="44.25" customHeight="1" thickTop="1" thickBot="1">
      <c r="A134" s="188" t="s">
        <v>27</v>
      </c>
      <c r="B134" s="125" t="str">
        <f t="shared" si="126"/>
        <v>N</v>
      </c>
      <c r="C134" s="125"/>
      <c r="D134" s="126">
        <v>10</v>
      </c>
      <c r="E134" s="126"/>
      <c r="F134" s="122" t="str">
        <f t="shared" ref="F134:F197" si="135">IF(AS134&lt;&gt;"",_xlfn.CONCAT(AR134,"-",AS134,"-",IF(L134&lt;&gt;"",TEXT(L134,"yyyy"),"0000"),"-",REPT(0,5-LEN(D134))&amp;D134),"")</f>
        <v>PRD-BLG-2020-00010</v>
      </c>
      <c r="G134" s="123" t="s">
        <v>29</v>
      </c>
      <c r="H134" s="216" t="s">
        <v>82</v>
      </c>
      <c r="I134" s="240"/>
      <c r="J134" s="227">
        <f t="shared" si="117"/>
        <v>0</v>
      </c>
      <c r="K134" s="218">
        <f t="shared" si="133"/>
        <v>44105</v>
      </c>
      <c r="L134" s="155">
        <v>44105</v>
      </c>
      <c r="M134" s="152"/>
      <c r="N134" s="147"/>
      <c r="O134" s="147"/>
      <c r="P134" s="217"/>
      <c r="Q134" s="213" t="s">
        <v>12</v>
      </c>
      <c r="R134" s="229" t="s">
        <v>78</v>
      </c>
      <c r="S134" s="200" t="s">
        <v>308</v>
      </c>
      <c r="T134" s="200"/>
      <c r="U134" s="200"/>
      <c r="V134" s="200"/>
      <c r="W134" s="200"/>
      <c r="X134" s="154" t="s">
        <v>575</v>
      </c>
      <c r="Y134" s="173">
        <f t="shared" si="130"/>
        <v>0</v>
      </c>
      <c r="Z134" s="83">
        <f t="shared" si="118"/>
        <v>0</v>
      </c>
      <c r="AA134" s="84">
        <f t="shared" si="128"/>
        <v>0</v>
      </c>
      <c r="AB134" s="84">
        <f t="shared" si="129"/>
        <v>0</v>
      </c>
      <c r="AC134" s="84">
        <f t="shared" si="119"/>
        <v>0</v>
      </c>
      <c r="AD134" s="84"/>
      <c r="AE134" s="84">
        <f t="shared" si="124"/>
        <v>0</v>
      </c>
      <c r="AF134" s="84">
        <f t="shared" si="131"/>
        <v>0</v>
      </c>
      <c r="AG134" s="94">
        <f t="shared" si="125"/>
        <v>0</v>
      </c>
      <c r="AH134" s="85">
        <f>IFERROR(VLOOKUP(A134,CUSTOMERS!$A:$E,4),"")</f>
        <v>-150</v>
      </c>
      <c r="AI134" s="86" t="str">
        <f t="shared" si="134"/>
        <v/>
      </c>
      <c r="AJ134" s="87">
        <f>IFERROR(VLOOKUP(A134,CUSTOMERS!$A:$F,5),"")</f>
        <v>0</v>
      </c>
      <c r="AK134" s="96"/>
      <c r="AL134" s="96">
        <v>0</v>
      </c>
      <c r="AM134" s="96">
        <v>0</v>
      </c>
      <c r="AN134" s="96"/>
      <c r="AO134" s="96">
        <v>0</v>
      </c>
      <c r="AP134" s="103">
        <f t="shared" si="121"/>
        <v>0</v>
      </c>
      <c r="AQ134" s="103">
        <f t="shared" si="132"/>
        <v>0</v>
      </c>
      <c r="AR134" s="68" t="str">
        <f>IFERROR(VLOOKUP(A134,CUSTOMERS!$A:$B,2),"")</f>
        <v>PRD</v>
      </c>
      <c r="AS134" s="68" t="str">
        <f>IFERROR(VLOOKUP(A134,CUSTOMERS!$A:$D,3),"")</f>
        <v>BLG</v>
      </c>
      <c r="AT134" s="68" t="str">
        <f>IFERROR(VLOOKUP(A134,CUSTOMERS!$A:$F,6),"")</f>
        <v>N</v>
      </c>
      <c r="AU134" s="69">
        <f>IFERROR(VLOOKUP(A134,CUSTOMERS!$A:$E,4),"")</f>
        <v>-150</v>
      </c>
      <c r="AV134" s="68" t="str">
        <f t="shared" si="127"/>
        <v/>
      </c>
      <c r="AX134" s="71" t="str">
        <f t="shared" si="122"/>
        <v>reason134</v>
      </c>
    </row>
    <row r="135" spans="1:50" ht="44.25" customHeight="1" thickTop="1" thickBot="1">
      <c r="A135" s="188" t="s">
        <v>27</v>
      </c>
      <c r="B135" s="125" t="str">
        <f t="shared" si="126"/>
        <v>N</v>
      </c>
      <c r="C135" s="125"/>
      <c r="D135" s="126">
        <v>7</v>
      </c>
      <c r="E135" s="126"/>
      <c r="F135" s="122" t="str">
        <f t="shared" si="135"/>
        <v>PRD-BLG-2021-00007</v>
      </c>
      <c r="G135" s="207" t="s">
        <v>339</v>
      </c>
      <c r="H135" s="124" t="s">
        <v>576</v>
      </c>
      <c r="I135" s="239"/>
      <c r="J135" s="224">
        <f t="shared" si="117"/>
        <v>-5625</v>
      </c>
      <c r="K135" s="177">
        <f t="shared" si="133"/>
        <v>44271</v>
      </c>
      <c r="L135" s="155">
        <v>44271</v>
      </c>
      <c r="M135" s="152"/>
      <c r="N135" s="147"/>
      <c r="O135" s="147"/>
      <c r="P135" s="153"/>
      <c r="Q135" s="225" t="s">
        <v>423</v>
      </c>
      <c r="R135" s="200" t="s">
        <v>78</v>
      </c>
      <c r="S135" s="200"/>
      <c r="T135" s="200"/>
      <c r="U135" s="200"/>
      <c r="V135" s="200"/>
      <c r="W135" s="200"/>
      <c r="X135" s="154" t="s">
        <v>577</v>
      </c>
      <c r="Y135" s="173">
        <f t="shared" si="130"/>
        <v>-5625</v>
      </c>
      <c r="Z135" s="83">
        <f t="shared" si="118"/>
        <v>-1125</v>
      </c>
      <c r="AA135" s="84">
        <f t="shared" si="128"/>
        <v>-2250</v>
      </c>
      <c r="AB135" s="84">
        <f t="shared" si="129"/>
        <v>-1125</v>
      </c>
      <c r="AC135" s="84">
        <f t="shared" si="119"/>
        <v>0</v>
      </c>
      <c r="AD135" s="84"/>
      <c r="AE135" s="84">
        <f t="shared" si="124"/>
        <v>-1125</v>
      </c>
      <c r="AF135" s="84">
        <f t="shared" si="131"/>
        <v>-5625</v>
      </c>
      <c r="AG135" s="94">
        <f t="shared" si="125"/>
        <v>0</v>
      </c>
      <c r="AH135" s="85">
        <f>IFERROR(VLOOKUP(A135,CUSTOMERS!$A:$E,4),"")</f>
        <v>-150</v>
      </c>
      <c r="AI135" s="86" t="str">
        <f t="shared" si="134"/>
        <v/>
      </c>
      <c r="AJ135" s="87">
        <f>IFERROR(VLOOKUP(A135,CUSTOMERS!$A:$F,5),"")</f>
        <v>0</v>
      </c>
      <c r="AK135" s="96">
        <v>1</v>
      </c>
      <c r="AL135" s="96">
        <v>2</v>
      </c>
      <c r="AM135" s="96">
        <v>1</v>
      </c>
      <c r="AN135" s="96"/>
      <c r="AO135" s="96">
        <v>1</v>
      </c>
      <c r="AP135" s="103">
        <f t="shared" si="121"/>
        <v>5</v>
      </c>
      <c r="AQ135" s="103">
        <f t="shared" si="132"/>
        <v>0</v>
      </c>
      <c r="AR135" s="68" t="str">
        <f>IFERROR(VLOOKUP(A135,CUSTOMERS!$A:$B,2),"")</f>
        <v>PRD</v>
      </c>
      <c r="AS135" s="68" t="str">
        <f>IFERROR(VLOOKUP(A135,CUSTOMERS!$A:$D,3),"")</f>
        <v>BLG</v>
      </c>
      <c r="AT135" s="68" t="str">
        <f>IFERROR(VLOOKUP(A135,CUSTOMERS!$A:$F,6),"")</f>
        <v>N</v>
      </c>
      <c r="AU135" s="69">
        <f>IFERROR(VLOOKUP(A135,CUSTOMERS!$A:$E,4),"")</f>
        <v>-150</v>
      </c>
      <c r="AV135" s="68" t="str">
        <f t="shared" si="127"/>
        <v/>
      </c>
      <c r="AX135" s="71" t="str">
        <f t="shared" si="122"/>
        <v>reason135</v>
      </c>
    </row>
    <row r="136" spans="1:50" ht="98.25" customHeight="1" thickTop="1" thickBot="1">
      <c r="A136" s="188" t="s">
        <v>162</v>
      </c>
      <c r="B136" s="120" t="str">
        <f t="shared" si="126"/>
        <v>Y</v>
      </c>
      <c r="C136" s="120"/>
      <c r="D136" s="121">
        <v>215</v>
      </c>
      <c r="E136" s="121"/>
      <c r="F136" s="122" t="str">
        <f t="shared" si="135"/>
        <v>RMB-RSC-2020-00215</v>
      </c>
      <c r="G136" s="123" t="s">
        <v>339</v>
      </c>
      <c r="H136" s="124" t="s">
        <v>578</v>
      </c>
      <c r="I136" s="239"/>
      <c r="J136" s="220">
        <f t="shared" si="117"/>
        <v>0</v>
      </c>
      <c r="K136" s="177">
        <f t="shared" si="133"/>
        <v>44068</v>
      </c>
      <c r="L136" s="157">
        <v>44068</v>
      </c>
      <c r="M136" s="158"/>
      <c r="N136" s="142"/>
      <c r="O136" s="142"/>
      <c r="P136" s="159"/>
      <c r="Q136" s="201" t="s">
        <v>17</v>
      </c>
      <c r="R136" s="199" t="s">
        <v>4</v>
      </c>
      <c r="S136" s="199"/>
      <c r="T136" s="199"/>
      <c r="U136" s="199"/>
      <c r="V136" s="199"/>
      <c r="W136" s="199"/>
      <c r="X136" s="185" t="s">
        <v>406</v>
      </c>
      <c r="Y136" s="173">
        <f t="shared" si="130"/>
        <v>0</v>
      </c>
      <c r="Z136" s="83">
        <f t="shared" si="118"/>
        <v>0</v>
      </c>
      <c r="AA136" s="84">
        <f t="shared" si="128"/>
        <v>0</v>
      </c>
      <c r="AB136" s="84">
        <f t="shared" si="129"/>
        <v>0</v>
      </c>
      <c r="AC136" s="84">
        <f t="shared" si="119"/>
        <v>0</v>
      </c>
      <c r="AD136" s="84"/>
      <c r="AE136" s="84">
        <f t="shared" si="124"/>
        <v>0</v>
      </c>
      <c r="AF136" s="179">
        <f t="shared" si="131"/>
        <v>0</v>
      </c>
      <c r="AG136" s="179">
        <f t="shared" si="125"/>
        <v>0</v>
      </c>
      <c r="AH136" s="85">
        <f>IFERROR(VLOOKUP(A136,CUSTOMERS!$A:$E,4),"")</f>
        <v>180.81</v>
      </c>
      <c r="AI136" s="86" t="str">
        <f t="shared" si="134"/>
        <v/>
      </c>
      <c r="AJ136" s="87">
        <f>IFERROR(VLOOKUP(A136,CUSTOMERS!$A:$F,5),"")</f>
        <v>0</v>
      </c>
      <c r="AK136" s="96"/>
      <c r="AL136" s="96">
        <v>0</v>
      </c>
      <c r="AM136" s="96">
        <v>0</v>
      </c>
      <c r="AN136" s="96"/>
      <c r="AO136" s="96">
        <v>0</v>
      </c>
      <c r="AP136" s="102">
        <f t="shared" si="121"/>
        <v>0</v>
      </c>
      <c r="AQ136" s="102">
        <f t="shared" si="132"/>
        <v>0</v>
      </c>
      <c r="AR136" s="68" t="str">
        <f>IFERROR(VLOOKUP(A136,CUSTOMERS!$A:$B,2),"")</f>
        <v>RMB</v>
      </c>
      <c r="AS136" s="68" t="str">
        <f>IFERROR(VLOOKUP(A136,CUSTOMERS!$A:$D,3),"")</f>
        <v>RSC</v>
      </c>
      <c r="AT136" s="68" t="str">
        <f>IFERROR(VLOOKUP(A136,CUSTOMERS!$A:$F,6),"")</f>
        <v>Y</v>
      </c>
      <c r="AU136" s="69">
        <f>IFERROR(VLOOKUP(A136,CUSTOMERS!$A:$E,4),"")</f>
        <v>180.81</v>
      </c>
      <c r="AV136" s="68" t="str">
        <f t="shared" si="127"/>
        <v/>
      </c>
      <c r="AX136" s="71" t="str">
        <f t="shared" si="122"/>
        <v>reason136</v>
      </c>
    </row>
    <row r="137" spans="1:50" ht="47.25" customHeight="1" thickTop="1" thickBot="1">
      <c r="A137" s="188" t="s">
        <v>27</v>
      </c>
      <c r="B137" s="120" t="str">
        <f t="shared" si="126"/>
        <v>N</v>
      </c>
      <c r="C137" s="120"/>
      <c r="D137" s="121">
        <v>216</v>
      </c>
      <c r="E137" s="121"/>
      <c r="F137" s="122" t="str">
        <f t="shared" si="135"/>
        <v>PRD-BLG-2020-00216</v>
      </c>
      <c r="G137" s="123" t="s">
        <v>29</v>
      </c>
      <c r="H137" s="216" t="s">
        <v>579</v>
      </c>
      <c r="I137" s="240"/>
      <c r="J137" s="227">
        <f t="shared" si="117"/>
        <v>0</v>
      </c>
      <c r="K137" s="218">
        <f t="shared" si="133"/>
        <v>44068</v>
      </c>
      <c r="L137" s="157">
        <v>44068</v>
      </c>
      <c r="M137" s="158"/>
      <c r="N137" s="142"/>
      <c r="O137" s="142"/>
      <c r="P137" s="159"/>
      <c r="Q137" s="201" t="s">
        <v>18</v>
      </c>
      <c r="R137" s="199" t="s">
        <v>4</v>
      </c>
      <c r="S137" s="199" t="s">
        <v>311</v>
      </c>
      <c r="T137" s="199" t="s">
        <v>455</v>
      </c>
      <c r="U137" s="199" t="s">
        <v>451</v>
      </c>
      <c r="V137" s="199"/>
      <c r="W137" s="199"/>
      <c r="X137" s="185" t="s">
        <v>580</v>
      </c>
      <c r="Y137" s="173">
        <f t="shared" si="130"/>
        <v>0</v>
      </c>
      <c r="Z137" s="83">
        <f t="shared" si="118"/>
        <v>0</v>
      </c>
      <c r="AA137" s="84">
        <f t="shared" si="128"/>
        <v>0</v>
      </c>
      <c r="AB137" s="84">
        <f t="shared" si="129"/>
        <v>0</v>
      </c>
      <c r="AC137" s="84">
        <f t="shared" si="119"/>
        <v>0</v>
      </c>
      <c r="AD137" s="84"/>
      <c r="AE137" s="84">
        <f t="shared" si="124"/>
        <v>0</v>
      </c>
      <c r="AF137" s="179">
        <f t="shared" si="131"/>
        <v>0</v>
      </c>
      <c r="AG137" s="179">
        <f t="shared" si="125"/>
        <v>0</v>
      </c>
      <c r="AH137" s="85">
        <f>IFERROR(VLOOKUP(A137,CUSTOMERS!$A:$E,4),"")</f>
        <v>-150</v>
      </c>
      <c r="AI137" s="86" t="str">
        <f t="shared" si="134"/>
        <v/>
      </c>
      <c r="AJ137" s="87">
        <f>IFERROR(VLOOKUP(A137,CUSTOMERS!$A:$F,5),"")</f>
        <v>0</v>
      </c>
      <c r="AK137" s="96"/>
      <c r="AL137" s="96">
        <v>0</v>
      </c>
      <c r="AM137" s="96">
        <v>0</v>
      </c>
      <c r="AN137" s="96"/>
      <c r="AO137" s="96">
        <v>0</v>
      </c>
      <c r="AP137" s="102">
        <f t="shared" si="121"/>
        <v>0</v>
      </c>
      <c r="AQ137" s="102">
        <f t="shared" si="132"/>
        <v>0</v>
      </c>
      <c r="AR137" s="68" t="str">
        <f>IFERROR(VLOOKUP(A137,CUSTOMERS!$A:$B,2),"")</f>
        <v>PRD</v>
      </c>
      <c r="AS137" s="68" t="str">
        <f>IFERROR(VLOOKUP(A137,CUSTOMERS!$A:$D,3),"")</f>
        <v>BLG</v>
      </c>
      <c r="AT137" s="68" t="str">
        <f>IFERROR(VLOOKUP(A137,CUSTOMERS!$A:$F,6),"")</f>
        <v>N</v>
      </c>
      <c r="AU137" s="69">
        <f>IFERROR(VLOOKUP(A137,CUSTOMERS!$A:$E,4),"")</f>
        <v>-150</v>
      </c>
      <c r="AV137" s="68" t="str">
        <f t="shared" si="127"/>
        <v/>
      </c>
      <c r="AX137" s="71" t="str">
        <f t="shared" si="122"/>
        <v>reason137</v>
      </c>
    </row>
    <row r="138" spans="1:50" ht="40.5" customHeight="1" thickTop="1" thickBot="1">
      <c r="A138" s="188" t="s">
        <v>162</v>
      </c>
      <c r="B138" s="120" t="s">
        <v>294</v>
      </c>
      <c r="C138" s="120"/>
      <c r="D138" s="121">
        <v>217</v>
      </c>
      <c r="E138" s="121"/>
      <c r="F138" s="122" t="str">
        <f t="shared" si="135"/>
        <v>RMB-RSC-2020-00217</v>
      </c>
      <c r="G138" s="123" t="s">
        <v>35</v>
      </c>
      <c r="H138" s="124" t="s">
        <v>163</v>
      </c>
      <c r="I138" s="239"/>
      <c r="J138" s="228">
        <f t="shared" si="117"/>
        <v>10848.600000000002</v>
      </c>
      <c r="K138" s="177">
        <f t="shared" si="133"/>
        <v>43973</v>
      </c>
      <c r="L138" s="157">
        <v>43837</v>
      </c>
      <c r="M138" s="158">
        <v>36892</v>
      </c>
      <c r="N138" s="142">
        <v>43921</v>
      </c>
      <c r="O138" s="142">
        <v>43973</v>
      </c>
      <c r="P138" s="159"/>
      <c r="Q138" s="201" t="s">
        <v>17</v>
      </c>
      <c r="R138" s="199" t="s">
        <v>4</v>
      </c>
      <c r="S138" s="199"/>
      <c r="T138" s="199"/>
      <c r="U138" s="199"/>
      <c r="V138" s="199"/>
      <c r="W138" s="199"/>
      <c r="X138" s="185" t="s">
        <v>581</v>
      </c>
      <c r="Y138" s="173">
        <f t="shared" si="130"/>
        <v>10848.600000000002</v>
      </c>
      <c r="Z138" s="83">
        <f t="shared" si="118"/>
        <v>0</v>
      </c>
      <c r="AA138" s="84">
        <f t="shared" si="128"/>
        <v>8814.4875000000011</v>
      </c>
      <c r="AB138" s="84">
        <f t="shared" si="129"/>
        <v>678.03750000000002</v>
      </c>
      <c r="AC138" s="84">
        <f t="shared" si="119"/>
        <v>0</v>
      </c>
      <c r="AD138" s="84"/>
      <c r="AE138" s="84">
        <f t="shared" si="124"/>
        <v>1356.075</v>
      </c>
      <c r="AF138" s="89">
        <f t="shared" si="131"/>
        <v>10848.600000000002</v>
      </c>
      <c r="AG138" s="94">
        <f t="shared" si="125"/>
        <v>0</v>
      </c>
      <c r="AH138" s="85">
        <f>IFERROR(VLOOKUP(A138,CUSTOMERS!$A:$E,4),"")</f>
        <v>180.81</v>
      </c>
      <c r="AI138" s="86" t="str">
        <f t="shared" si="134"/>
        <v/>
      </c>
      <c r="AJ138" s="87">
        <f>IFERROR(VLOOKUP(A138,CUSTOMERS!$A:$F,5),"")</f>
        <v>0</v>
      </c>
      <c r="AK138" s="96"/>
      <c r="AL138" s="96">
        <v>6.5</v>
      </c>
      <c r="AM138" s="96">
        <v>0.5</v>
      </c>
      <c r="AN138" s="96"/>
      <c r="AO138" s="96">
        <v>1</v>
      </c>
      <c r="AP138" s="102">
        <f t="shared" si="121"/>
        <v>8</v>
      </c>
      <c r="AQ138" s="102">
        <f t="shared" si="132"/>
        <v>0</v>
      </c>
      <c r="AR138" s="68" t="str">
        <f>IFERROR(VLOOKUP(A138,CUSTOMERS!$A:$B,2),"")</f>
        <v>RMB</v>
      </c>
      <c r="AS138" s="68" t="str">
        <f>IFERROR(VLOOKUP(A138,CUSTOMERS!$A:$D,3),"")</f>
        <v>RSC</v>
      </c>
      <c r="AT138" s="68" t="str">
        <f>IFERROR(VLOOKUP(A138,CUSTOMERS!$A:$F,6),"")</f>
        <v>Y</v>
      </c>
      <c r="AU138" s="69">
        <f>IFERROR(VLOOKUP(A138,CUSTOMERS!$A:$E,4),"")</f>
        <v>180.81</v>
      </c>
      <c r="AV138" s="68" t="str">
        <f t="shared" si="127"/>
        <v/>
      </c>
      <c r="AX138" s="71" t="str">
        <f t="shared" si="122"/>
        <v>reason138</v>
      </c>
    </row>
    <row r="139" spans="1:50" ht="66" customHeight="1" thickTop="1" thickBot="1">
      <c r="A139" s="188" t="s">
        <v>162</v>
      </c>
      <c r="B139" s="120" t="s">
        <v>294</v>
      </c>
      <c r="C139" s="120"/>
      <c r="D139" s="121">
        <v>212</v>
      </c>
      <c r="E139" s="121"/>
      <c r="F139" s="122" t="str">
        <f t="shared" si="135"/>
        <v>RMB-RSC-2019-00212</v>
      </c>
      <c r="G139" s="123" t="s">
        <v>35</v>
      </c>
      <c r="H139" s="124" t="s">
        <v>164</v>
      </c>
      <c r="I139" s="239"/>
      <c r="J139" s="81">
        <f t="shared" si="117"/>
        <v>21358.181250000001</v>
      </c>
      <c r="K139" s="177">
        <f t="shared" si="133"/>
        <v>43966</v>
      </c>
      <c r="L139" s="157">
        <v>43803</v>
      </c>
      <c r="M139" s="158">
        <v>43966</v>
      </c>
      <c r="N139" s="142">
        <v>43966</v>
      </c>
      <c r="O139" s="142"/>
      <c r="P139" s="159"/>
      <c r="Q139" s="201" t="s">
        <v>17</v>
      </c>
      <c r="R139" s="199" t="s">
        <v>4</v>
      </c>
      <c r="S139" s="199"/>
      <c r="T139" s="199"/>
      <c r="U139" s="199"/>
      <c r="V139" s="199"/>
      <c r="W139" s="199"/>
      <c r="X139" s="185" t="s">
        <v>581</v>
      </c>
      <c r="Y139" s="173">
        <f t="shared" si="130"/>
        <v>21358.181250000001</v>
      </c>
      <c r="Z139" s="88">
        <f t="shared" si="118"/>
        <v>0</v>
      </c>
      <c r="AA139" s="89">
        <f t="shared" si="128"/>
        <v>16611.918750000001</v>
      </c>
      <c r="AB139" s="89">
        <f t="shared" si="129"/>
        <v>1356.075</v>
      </c>
      <c r="AC139" s="89">
        <f t="shared" si="119"/>
        <v>0</v>
      </c>
      <c r="AD139" s="89"/>
      <c r="AE139" s="89">
        <f t="shared" si="124"/>
        <v>3390.1875</v>
      </c>
      <c r="AF139" s="89">
        <f t="shared" si="131"/>
        <v>21358.181250000001</v>
      </c>
      <c r="AG139" s="95">
        <f t="shared" si="125"/>
        <v>0</v>
      </c>
      <c r="AH139" s="85">
        <f>IFERROR(VLOOKUP(A139,CUSTOMERS!$A:$E,4),"")</f>
        <v>180.81</v>
      </c>
      <c r="AI139" s="86" t="str">
        <f t="shared" si="134"/>
        <v/>
      </c>
      <c r="AJ139" s="87">
        <f>IFERROR(VLOOKUP(A139,CUSTOMERS!$A:$F,5),"")</f>
        <v>0</v>
      </c>
      <c r="AK139" s="96"/>
      <c r="AL139" s="96">
        <v>12.25</v>
      </c>
      <c r="AM139" s="96">
        <v>1</v>
      </c>
      <c r="AN139" s="96"/>
      <c r="AO139" s="96">
        <v>2.5</v>
      </c>
      <c r="AP139" s="102">
        <f t="shared" si="121"/>
        <v>15.75</v>
      </c>
      <c r="AQ139" s="102">
        <f t="shared" si="132"/>
        <v>0</v>
      </c>
      <c r="AR139" s="68" t="str">
        <f>IFERROR(VLOOKUP(A139,CUSTOMERS!$A:$B,2),"")</f>
        <v>RMB</v>
      </c>
      <c r="AS139" s="68" t="str">
        <f>IFERROR(VLOOKUP(A139,CUSTOMERS!$A:$D,3),"")</f>
        <v>RSC</v>
      </c>
      <c r="AT139" s="68" t="str">
        <f>IFERROR(VLOOKUP(A139,CUSTOMERS!$A:$F,6),"")</f>
        <v>Y</v>
      </c>
      <c r="AU139" s="69">
        <f>IFERROR(VLOOKUP(A139,CUSTOMERS!$A:$E,4),"")</f>
        <v>180.81</v>
      </c>
      <c r="AV139" s="68" t="str">
        <f t="shared" si="127"/>
        <v/>
      </c>
      <c r="AX139" s="71" t="str">
        <f t="shared" si="122"/>
        <v>reason139</v>
      </c>
    </row>
    <row r="140" spans="1:50" ht="82.5" customHeight="1" thickTop="1" thickBot="1">
      <c r="A140" s="188" t="s">
        <v>162</v>
      </c>
      <c r="B140" s="120" t="s">
        <v>294</v>
      </c>
      <c r="C140" s="120"/>
      <c r="D140" s="121">
        <v>211</v>
      </c>
      <c r="E140" s="121"/>
      <c r="F140" s="122" t="str">
        <f t="shared" si="135"/>
        <v>RMB-RSC-2019-00211</v>
      </c>
      <c r="G140" s="123" t="s">
        <v>35</v>
      </c>
      <c r="H140" s="124" t="s">
        <v>165</v>
      </c>
      <c r="I140" s="239"/>
      <c r="J140" s="81">
        <f t="shared" si="117"/>
        <v>17628.975000000002</v>
      </c>
      <c r="K140" s="177">
        <f t="shared" si="133"/>
        <v>43973</v>
      </c>
      <c r="L140" s="157">
        <v>43801</v>
      </c>
      <c r="M140" s="158">
        <v>43966</v>
      </c>
      <c r="N140" s="142">
        <v>43966</v>
      </c>
      <c r="O140" s="142">
        <v>43973</v>
      </c>
      <c r="P140" s="159"/>
      <c r="Q140" s="201" t="s">
        <v>17</v>
      </c>
      <c r="R140" s="199" t="s">
        <v>4</v>
      </c>
      <c r="S140" s="199"/>
      <c r="T140" s="199"/>
      <c r="U140" s="199"/>
      <c r="V140" s="199"/>
      <c r="W140" s="199"/>
      <c r="X140" s="185" t="s">
        <v>581</v>
      </c>
      <c r="Y140" s="173">
        <f t="shared" si="130"/>
        <v>17628.975000000002</v>
      </c>
      <c r="Z140" s="88">
        <f t="shared" si="118"/>
        <v>0</v>
      </c>
      <c r="AA140" s="89">
        <f t="shared" si="128"/>
        <v>8136.4500000000007</v>
      </c>
      <c r="AB140" s="89">
        <f t="shared" si="129"/>
        <v>1356.075</v>
      </c>
      <c r="AC140" s="89">
        <f t="shared" si="119"/>
        <v>4746.2625000000007</v>
      </c>
      <c r="AD140" s="89"/>
      <c r="AE140" s="89">
        <f t="shared" si="124"/>
        <v>3390.1875</v>
      </c>
      <c r="AF140" s="89">
        <f t="shared" si="131"/>
        <v>17628.975000000002</v>
      </c>
      <c r="AG140" s="95">
        <f t="shared" si="125"/>
        <v>0</v>
      </c>
      <c r="AH140" s="85">
        <f>IFERROR(VLOOKUP(A140,CUSTOMERS!$A:$E,4),"")</f>
        <v>180.81</v>
      </c>
      <c r="AI140" s="86" t="str">
        <f t="shared" si="134"/>
        <v/>
      </c>
      <c r="AJ140" s="87">
        <f>IFERROR(VLOOKUP(A140,CUSTOMERS!$A:$F,5),"")</f>
        <v>0</v>
      </c>
      <c r="AK140" s="96"/>
      <c r="AL140" s="96">
        <v>6</v>
      </c>
      <c r="AM140" s="96">
        <v>1</v>
      </c>
      <c r="AN140" s="96">
        <v>3.5</v>
      </c>
      <c r="AO140" s="96">
        <v>2.5</v>
      </c>
      <c r="AP140" s="102">
        <f t="shared" si="121"/>
        <v>13</v>
      </c>
      <c r="AQ140" s="102">
        <f t="shared" si="132"/>
        <v>0</v>
      </c>
      <c r="AR140" s="68" t="str">
        <f>IFERROR(VLOOKUP(A140,CUSTOMERS!$A:$B,2),"")</f>
        <v>RMB</v>
      </c>
      <c r="AS140" s="68" t="str">
        <f>IFERROR(VLOOKUP(A140,CUSTOMERS!$A:$D,3),"")</f>
        <v>RSC</v>
      </c>
      <c r="AT140" s="68" t="str">
        <f>IFERROR(VLOOKUP(A140,CUSTOMERS!$A:$F,6),"")</f>
        <v>Y</v>
      </c>
      <c r="AU140" s="69">
        <f>IFERROR(VLOOKUP(A140,CUSTOMERS!$A:$E,4),"")</f>
        <v>180.81</v>
      </c>
      <c r="AV140" s="68" t="str">
        <f t="shared" si="127"/>
        <v/>
      </c>
      <c r="AX140" s="71" t="str">
        <f t="shared" si="122"/>
        <v>reason140</v>
      </c>
    </row>
    <row r="141" spans="1:50" ht="82.5" customHeight="1" thickTop="1" thickBot="1">
      <c r="A141" s="188" t="s">
        <v>162</v>
      </c>
      <c r="B141" s="120" t="s">
        <v>294</v>
      </c>
      <c r="C141" s="120"/>
      <c r="D141" s="121">
        <v>210</v>
      </c>
      <c r="E141" s="121"/>
      <c r="F141" s="122" t="str">
        <f t="shared" si="135"/>
        <v>RMB-RSC-2019-00210</v>
      </c>
      <c r="G141" s="123" t="s">
        <v>35</v>
      </c>
      <c r="H141" s="124" t="s">
        <v>166</v>
      </c>
      <c r="I141" s="239"/>
      <c r="J141" s="81">
        <f t="shared" si="117"/>
        <v>17289.956249999999</v>
      </c>
      <c r="K141" s="177">
        <f t="shared" si="133"/>
        <v>43973</v>
      </c>
      <c r="L141" s="157">
        <v>43771</v>
      </c>
      <c r="M141" s="158">
        <v>43801</v>
      </c>
      <c r="N141" s="142">
        <v>43971</v>
      </c>
      <c r="O141" s="142">
        <v>43973</v>
      </c>
      <c r="P141" s="159"/>
      <c r="Q141" s="201" t="s">
        <v>17</v>
      </c>
      <c r="R141" s="199" t="s">
        <v>4</v>
      </c>
      <c r="S141" s="199"/>
      <c r="T141" s="199"/>
      <c r="U141" s="199"/>
      <c r="V141" s="199"/>
      <c r="W141" s="199"/>
      <c r="X141" s="185" t="s">
        <v>581</v>
      </c>
      <c r="Y141" s="173">
        <f t="shared" si="130"/>
        <v>17289.956249999999</v>
      </c>
      <c r="Z141" s="88">
        <f t="shared" si="118"/>
        <v>0</v>
      </c>
      <c r="AA141" s="89">
        <f t="shared" si="128"/>
        <v>12882.7125</v>
      </c>
      <c r="AB141" s="89">
        <f t="shared" si="129"/>
        <v>1356.075</v>
      </c>
      <c r="AC141" s="89">
        <f t="shared" si="119"/>
        <v>0</v>
      </c>
      <c r="AD141" s="89"/>
      <c r="AE141" s="89">
        <f t="shared" si="124"/>
        <v>3051.1687499999998</v>
      </c>
      <c r="AF141" s="89">
        <f t="shared" si="131"/>
        <v>17289.956249999999</v>
      </c>
      <c r="AG141" s="95">
        <f t="shared" si="125"/>
        <v>0</v>
      </c>
      <c r="AH141" s="85">
        <f>IFERROR(VLOOKUP(A141,CUSTOMERS!$A:$E,4),"")</f>
        <v>180.81</v>
      </c>
      <c r="AI141" s="86" t="str">
        <f t="shared" si="134"/>
        <v/>
      </c>
      <c r="AJ141" s="87">
        <f>IFERROR(VLOOKUP(A141,CUSTOMERS!$A:$F,5),"")</f>
        <v>0</v>
      </c>
      <c r="AK141" s="96"/>
      <c r="AL141" s="96">
        <v>9.5</v>
      </c>
      <c r="AM141" s="96">
        <v>1</v>
      </c>
      <c r="AN141" s="96"/>
      <c r="AO141" s="96">
        <v>2.25</v>
      </c>
      <c r="AP141" s="102">
        <f t="shared" si="121"/>
        <v>12.75</v>
      </c>
      <c r="AQ141" s="102">
        <f t="shared" si="132"/>
        <v>0</v>
      </c>
      <c r="AR141" s="68" t="str">
        <f>IFERROR(VLOOKUP(A141,CUSTOMERS!$A:$B,2),"")</f>
        <v>RMB</v>
      </c>
      <c r="AS141" s="68" t="str">
        <f>IFERROR(VLOOKUP(A141,CUSTOMERS!$A:$D,3),"")</f>
        <v>RSC</v>
      </c>
      <c r="AT141" s="68" t="str">
        <f>IFERROR(VLOOKUP(A141,CUSTOMERS!$A:$F,6),"")</f>
        <v>Y</v>
      </c>
      <c r="AU141" s="69">
        <f>IFERROR(VLOOKUP(A141,CUSTOMERS!$A:$E,4),"")</f>
        <v>180.81</v>
      </c>
      <c r="AV141" s="68" t="str">
        <f t="shared" si="127"/>
        <v/>
      </c>
      <c r="AX141" s="71" t="str">
        <f t="shared" si="122"/>
        <v>reason141</v>
      </c>
    </row>
    <row r="142" spans="1:50" ht="98.25" customHeight="1" thickTop="1" thickBot="1">
      <c r="A142" s="188" t="s">
        <v>162</v>
      </c>
      <c r="B142" s="120" t="str">
        <f t="shared" ref="B142:B173" si="136">AT142</f>
        <v>Y</v>
      </c>
      <c r="C142" s="120"/>
      <c r="D142" s="121">
        <v>204</v>
      </c>
      <c r="E142" s="121"/>
      <c r="F142" s="122" t="str">
        <f t="shared" si="135"/>
        <v>RMB-RSC-2020-00204</v>
      </c>
      <c r="G142" s="123" t="s">
        <v>35</v>
      </c>
      <c r="H142" s="124" t="s">
        <v>167</v>
      </c>
      <c r="I142" s="239"/>
      <c r="J142" s="80">
        <f t="shared" si="117"/>
        <v>0</v>
      </c>
      <c r="K142" s="177">
        <f t="shared" si="133"/>
        <v>44068</v>
      </c>
      <c r="L142" s="157">
        <v>44068</v>
      </c>
      <c r="M142" s="158"/>
      <c r="N142" s="142"/>
      <c r="O142" s="142"/>
      <c r="P142" s="159"/>
      <c r="Q142" s="201" t="s">
        <v>14</v>
      </c>
      <c r="R142" s="199" t="s">
        <v>4</v>
      </c>
      <c r="S142" s="199"/>
      <c r="T142" s="199"/>
      <c r="U142" s="199"/>
      <c r="V142" s="199"/>
      <c r="W142" s="199"/>
      <c r="X142" s="185" t="s">
        <v>406</v>
      </c>
      <c r="Y142" s="173">
        <f t="shared" si="130"/>
        <v>0</v>
      </c>
      <c r="Z142" s="83">
        <f t="shared" si="118"/>
        <v>0</v>
      </c>
      <c r="AA142" s="84">
        <f t="shared" si="128"/>
        <v>0</v>
      </c>
      <c r="AB142" s="84">
        <f t="shared" si="129"/>
        <v>0</v>
      </c>
      <c r="AC142" s="84">
        <f t="shared" si="119"/>
        <v>0</v>
      </c>
      <c r="AD142" s="84"/>
      <c r="AE142" s="84">
        <f t="shared" si="124"/>
        <v>0</v>
      </c>
      <c r="AF142" s="84">
        <f t="shared" si="131"/>
        <v>0</v>
      </c>
      <c r="AG142" s="94">
        <f t="shared" si="125"/>
        <v>0</v>
      </c>
      <c r="AH142" s="85">
        <f>IFERROR(VLOOKUP(A142,CUSTOMERS!$A:$E,4),"")</f>
        <v>180.81</v>
      </c>
      <c r="AI142" s="86" t="str">
        <f t="shared" si="134"/>
        <v/>
      </c>
      <c r="AJ142" s="87">
        <f>IFERROR(VLOOKUP(A142,CUSTOMERS!$A:$F,5),"")</f>
        <v>0</v>
      </c>
      <c r="AK142" s="96"/>
      <c r="AL142" s="96">
        <v>0</v>
      </c>
      <c r="AM142" s="96">
        <v>0</v>
      </c>
      <c r="AN142" s="96"/>
      <c r="AO142" s="96">
        <v>0</v>
      </c>
      <c r="AP142" s="102">
        <f t="shared" si="121"/>
        <v>0</v>
      </c>
      <c r="AQ142" s="102">
        <f t="shared" si="132"/>
        <v>0</v>
      </c>
      <c r="AR142" s="68" t="str">
        <f>IFERROR(VLOOKUP(A142,CUSTOMERS!$A:$B,2),"")</f>
        <v>RMB</v>
      </c>
      <c r="AS142" s="68" t="str">
        <f>IFERROR(VLOOKUP(A142,CUSTOMERS!$A:$D,3),"")</f>
        <v>RSC</v>
      </c>
      <c r="AT142" s="68" t="str">
        <f>IFERROR(VLOOKUP(A142,CUSTOMERS!$A:$F,6),"")</f>
        <v>Y</v>
      </c>
      <c r="AU142" s="69">
        <f>IFERROR(VLOOKUP(A142,CUSTOMERS!$A:$E,4),"")</f>
        <v>180.81</v>
      </c>
      <c r="AV142" s="68" t="str">
        <f t="shared" si="127"/>
        <v/>
      </c>
      <c r="AX142" s="71" t="str">
        <f t="shared" si="122"/>
        <v>reason142</v>
      </c>
    </row>
    <row r="143" spans="1:50" ht="114" customHeight="1" thickTop="1" thickBot="1">
      <c r="A143" s="188" t="s">
        <v>162</v>
      </c>
      <c r="B143" s="120" t="str">
        <f t="shared" si="136"/>
        <v>Y</v>
      </c>
      <c r="C143" s="120"/>
      <c r="D143" s="121"/>
      <c r="E143" s="121"/>
      <c r="F143" s="122" t="str">
        <f t="shared" si="135"/>
        <v>RMB-RSC-2020-00000</v>
      </c>
      <c r="G143" s="123" t="s">
        <v>35</v>
      </c>
      <c r="H143" s="124" t="s">
        <v>168</v>
      </c>
      <c r="I143" s="239"/>
      <c r="J143" s="80">
        <f t="shared" si="117"/>
        <v>0</v>
      </c>
      <c r="K143" s="177">
        <f t="shared" si="133"/>
        <v>44081</v>
      </c>
      <c r="L143" s="157">
        <v>44081</v>
      </c>
      <c r="M143" s="158"/>
      <c r="N143" s="142"/>
      <c r="O143" s="142"/>
      <c r="P143" s="159"/>
      <c r="Q143" s="201" t="s">
        <v>15</v>
      </c>
      <c r="R143" s="199" t="s">
        <v>4</v>
      </c>
      <c r="S143" s="199"/>
      <c r="T143" s="199"/>
      <c r="U143" s="199"/>
      <c r="V143" s="199"/>
      <c r="W143" s="199"/>
      <c r="X143" s="154"/>
      <c r="Y143" s="173">
        <f t="shared" si="130"/>
        <v>0</v>
      </c>
      <c r="Z143" s="83">
        <f t="shared" si="118"/>
        <v>0</v>
      </c>
      <c r="AA143" s="84">
        <f t="shared" si="128"/>
        <v>0</v>
      </c>
      <c r="AB143" s="84">
        <f t="shared" si="129"/>
        <v>0</v>
      </c>
      <c r="AC143" s="84">
        <f t="shared" si="119"/>
        <v>0</v>
      </c>
      <c r="AD143" s="84"/>
      <c r="AE143" s="84">
        <f t="shared" si="124"/>
        <v>0</v>
      </c>
      <c r="AF143" s="84">
        <f t="shared" si="131"/>
        <v>0</v>
      </c>
      <c r="AG143" s="94">
        <f t="shared" si="125"/>
        <v>0</v>
      </c>
      <c r="AH143" s="85">
        <f>IFERROR(VLOOKUP(A143,CUSTOMERS!$A:$E,4),"")</f>
        <v>180.81</v>
      </c>
      <c r="AI143" s="86" t="str">
        <f t="shared" si="134"/>
        <v/>
      </c>
      <c r="AJ143" s="87">
        <f>IFERROR(VLOOKUP(A143,CUSTOMERS!$A:$F,5),"")</f>
        <v>0</v>
      </c>
      <c r="AK143" s="96"/>
      <c r="AL143" s="96">
        <v>0</v>
      </c>
      <c r="AM143" s="96">
        <v>0</v>
      </c>
      <c r="AN143" s="96"/>
      <c r="AO143" s="96">
        <v>0</v>
      </c>
      <c r="AP143" s="102">
        <f t="shared" si="121"/>
        <v>0</v>
      </c>
      <c r="AQ143" s="102">
        <f t="shared" si="132"/>
        <v>0</v>
      </c>
      <c r="AR143" s="68" t="str">
        <f>IFERROR(VLOOKUP(A143,CUSTOMERS!$A:$B,2),"")</f>
        <v>RMB</v>
      </c>
      <c r="AS143" s="68" t="str">
        <f>IFERROR(VLOOKUP(A143,CUSTOMERS!$A:$D,3),"")</f>
        <v>RSC</v>
      </c>
      <c r="AT143" s="68" t="str">
        <f>IFERROR(VLOOKUP(A143,CUSTOMERS!$A:$F,6),"")</f>
        <v>Y</v>
      </c>
      <c r="AU143" s="69">
        <f>IFERROR(VLOOKUP(A143,CUSTOMERS!$A:$E,4),"")</f>
        <v>180.81</v>
      </c>
      <c r="AV143" s="68" t="str">
        <f t="shared" si="127"/>
        <v/>
      </c>
      <c r="AX143" s="71" t="str">
        <f t="shared" si="122"/>
        <v>reason143</v>
      </c>
    </row>
    <row r="144" spans="1:50" ht="98.25" customHeight="1" thickTop="1" thickBot="1">
      <c r="A144" s="188" t="s">
        <v>162</v>
      </c>
      <c r="B144" s="120" t="str">
        <f t="shared" si="136"/>
        <v>Y</v>
      </c>
      <c r="C144" s="120"/>
      <c r="D144" s="121"/>
      <c r="E144" s="121"/>
      <c r="F144" s="122" t="str">
        <f t="shared" si="135"/>
        <v>RMB-RSC-2020-00000</v>
      </c>
      <c r="G144" s="123" t="s">
        <v>35</v>
      </c>
      <c r="H144" s="124" t="s">
        <v>169</v>
      </c>
      <c r="I144" s="239"/>
      <c r="J144" s="80">
        <f t="shared" si="117"/>
        <v>0</v>
      </c>
      <c r="K144" s="177">
        <f t="shared" si="133"/>
        <v>44109</v>
      </c>
      <c r="L144" s="157">
        <v>44109</v>
      </c>
      <c r="M144" s="158"/>
      <c r="N144" s="142"/>
      <c r="O144" s="142"/>
      <c r="P144" s="159"/>
      <c r="Q144" s="201" t="s">
        <v>14</v>
      </c>
      <c r="R144" s="199" t="s">
        <v>4</v>
      </c>
      <c r="S144" s="199"/>
      <c r="T144" s="199"/>
      <c r="U144" s="199"/>
      <c r="V144" s="199"/>
      <c r="W144" s="199"/>
      <c r="X144" s="154"/>
      <c r="Y144" s="173">
        <f t="shared" si="130"/>
        <v>0</v>
      </c>
      <c r="Z144" s="83">
        <f t="shared" si="118"/>
        <v>0</v>
      </c>
      <c r="AA144" s="84">
        <f t="shared" si="128"/>
        <v>0</v>
      </c>
      <c r="AB144" s="84">
        <f t="shared" si="129"/>
        <v>0</v>
      </c>
      <c r="AC144" s="84">
        <f t="shared" si="119"/>
        <v>0</v>
      </c>
      <c r="AD144" s="84"/>
      <c r="AE144" s="84">
        <f t="shared" si="124"/>
        <v>0</v>
      </c>
      <c r="AF144" s="84">
        <f t="shared" si="131"/>
        <v>0</v>
      </c>
      <c r="AG144" s="94">
        <f t="shared" si="125"/>
        <v>0</v>
      </c>
      <c r="AH144" s="85">
        <f>IFERROR(VLOOKUP(A144,CUSTOMERS!$A:$E,4),"")</f>
        <v>180.81</v>
      </c>
      <c r="AI144" s="86" t="str">
        <f t="shared" si="134"/>
        <v/>
      </c>
      <c r="AJ144" s="87">
        <f>IFERROR(VLOOKUP(A144,CUSTOMERS!$A:$F,5),"")</f>
        <v>0</v>
      </c>
      <c r="AK144" s="96"/>
      <c r="AL144" s="96">
        <v>0</v>
      </c>
      <c r="AM144" s="96">
        <v>0</v>
      </c>
      <c r="AN144" s="96"/>
      <c r="AO144" s="96">
        <v>0</v>
      </c>
      <c r="AP144" s="102">
        <f t="shared" si="121"/>
        <v>0</v>
      </c>
      <c r="AQ144" s="102">
        <f t="shared" si="132"/>
        <v>0</v>
      </c>
      <c r="AR144" s="68" t="str">
        <f>IFERROR(VLOOKUP(A144,CUSTOMERS!$A:$B,2),"")</f>
        <v>RMB</v>
      </c>
      <c r="AS144" s="68" t="str">
        <f>IFERROR(VLOOKUP(A144,CUSTOMERS!$A:$D,3),"")</f>
        <v>RSC</v>
      </c>
      <c r="AT144" s="68" t="str">
        <f>IFERROR(VLOOKUP(A144,CUSTOMERS!$A:$F,6),"")</f>
        <v>Y</v>
      </c>
      <c r="AU144" s="69">
        <f>IFERROR(VLOOKUP(A144,CUSTOMERS!$A:$E,4),"")</f>
        <v>180.81</v>
      </c>
      <c r="AV144" s="68" t="str">
        <f t="shared" si="127"/>
        <v/>
      </c>
      <c r="AX144" s="71" t="str">
        <f t="shared" si="122"/>
        <v>reason144</v>
      </c>
    </row>
    <row r="145" spans="1:50" ht="50.25" customHeight="1" thickTop="1" thickBot="1">
      <c r="A145" s="188" t="s">
        <v>162</v>
      </c>
      <c r="B145" s="120" t="str">
        <f t="shared" si="136"/>
        <v>Y</v>
      </c>
      <c r="C145" s="120"/>
      <c r="D145" s="121">
        <v>218</v>
      </c>
      <c r="E145" s="121"/>
      <c r="F145" s="122" t="str">
        <f t="shared" si="135"/>
        <v>RMB-RSC-2020-00218</v>
      </c>
      <c r="G145" s="123" t="s">
        <v>116</v>
      </c>
      <c r="H145" s="124" t="s">
        <v>170</v>
      </c>
      <c r="I145" s="239"/>
      <c r="J145" s="81">
        <f t="shared" si="117"/>
        <v>85365</v>
      </c>
      <c r="K145" s="177">
        <f t="shared" si="133"/>
        <v>44034</v>
      </c>
      <c r="L145" s="157">
        <v>43885</v>
      </c>
      <c r="M145" s="158">
        <v>44028</v>
      </c>
      <c r="N145" s="142">
        <v>44034</v>
      </c>
      <c r="O145" s="142">
        <v>43973</v>
      </c>
      <c r="P145" s="159">
        <v>43973</v>
      </c>
      <c r="Q145" s="201" t="s">
        <v>6</v>
      </c>
      <c r="R145" s="199" t="s">
        <v>4</v>
      </c>
      <c r="S145" s="199"/>
      <c r="T145" s="199"/>
      <c r="U145" s="199"/>
      <c r="V145" s="199"/>
      <c r="W145" s="199"/>
      <c r="X145" s="156" t="s">
        <v>582</v>
      </c>
      <c r="Y145" s="173">
        <f t="shared" si="130"/>
        <v>85365</v>
      </c>
      <c r="Z145" s="83">
        <f t="shared" si="118"/>
        <v>0</v>
      </c>
      <c r="AA145" s="84">
        <f t="shared" si="128"/>
        <v>0</v>
      </c>
      <c r="AB145" s="84">
        <f t="shared" si="129"/>
        <v>0</v>
      </c>
      <c r="AC145" s="84">
        <f t="shared" si="119"/>
        <v>0</v>
      </c>
      <c r="AD145" s="84"/>
      <c r="AE145" s="84">
        <f t="shared" si="124"/>
        <v>0</v>
      </c>
      <c r="AF145" s="179">
        <v>85365</v>
      </c>
      <c r="AG145" s="179">
        <f t="shared" si="125"/>
        <v>0</v>
      </c>
      <c r="AH145" s="85">
        <f>IFERROR(VLOOKUP(A145,CUSTOMERS!$A:$E,4),"")</f>
        <v>180.81</v>
      </c>
      <c r="AI145" s="86" t="str">
        <f t="shared" si="134"/>
        <v/>
      </c>
      <c r="AJ145" s="87">
        <f>IFERROR(VLOOKUP(A145,CUSTOMERS!$A:$F,5),"")</f>
        <v>0</v>
      </c>
      <c r="AK145" s="96"/>
      <c r="AL145" s="96">
        <v>0</v>
      </c>
      <c r="AM145" s="96">
        <v>0</v>
      </c>
      <c r="AN145" s="96"/>
      <c r="AO145" s="96">
        <v>0</v>
      </c>
      <c r="AP145" s="102">
        <f t="shared" si="121"/>
        <v>0</v>
      </c>
      <c r="AQ145" s="102">
        <f t="shared" si="132"/>
        <v>0</v>
      </c>
      <c r="AR145" s="68" t="str">
        <f>IFERROR(VLOOKUP(A145,CUSTOMERS!$A:$B,2),"")</f>
        <v>RMB</v>
      </c>
      <c r="AS145" s="68" t="str">
        <f>IFERROR(VLOOKUP(A145,CUSTOMERS!$A:$D,3),"")</f>
        <v>RSC</v>
      </c>
      <c r="AT145" s="68" t="str">
        <f>IFERROR(VLOOKUP(A145,CUSTOMERS!$A:$F,6),"")</f>
        <v>Y</v>
      </c>
      <c r="AU145" s="69">
        <f>IFERROR(VLOOKUP(A145,CUSTOMERS!$A:$E,4),"")</f>
        <v>180.81</v>
      </c>
      <c r="AV145" s="68" t="str">
        <f t="shared" si="127"/>
        <v/>
      </c>
      <c r="AX145" s="71" t="str">
        <f>"reason"&amp;ROW()</f>
        <v>reason145</v>
      </c>
    </row>
    <row r="146" spans="1:50" ht="50.25" customHeight="1" thickTop="1" thickBot="1">
      <c r="A146" s="188" t="s">
        <v>162</v>
      </c>
      <c r="B146" s="120" t="str">
        <f t="shared" si="136"/>
        <v>Y</v>
      </c>
      <c r="C146" s="120"/>
      <c r="D146" s="121">
        <v>219</v>
      </c>
      <c r="E146" s="121"/>
      <c r="F146" s="122" t="str">
        <f t="shared" si="135"/>
        <v>RMB-RSC-2020-00219</v>
      </c>
      <c r="G146" s="123" t="s">
        <v>116</v>
      </c>
      <c r="H146" s="124" t="s">
        <v>171</v>
      </c>
      <c r="I146" s="239"/>
      <c r="J146" s="81">
        <f t="shared" si="117"/>
        <v>7797.4312500000005</v>
      </c>
      <c r="K146" s="177">
        <f t="shared" si="133"/>
        <v>44061</v>
      </c>
      <c r="L146" s="157">
        <v>44042</v>
      </c>
      <c r="M146" s="158">
        <v>44029</v>
      </c>
      <c r="N146" s="142">
        <v>44030</v>
      </c>
      <c r="O146" s="142"/>
      <c r="P146" s="159">
        <v>44061</v>
      </c>
      <c r="Q146" s="201" t="s">
        <v>17</v>
      </c>
      <c r="R146" s="199" t="s">
        <v>4</v>
      </c>
      <c r="S146" s="199"/>
      <c r="T146" s="199"/>
      <c r="U146" s="199"/>
      <c r="V146" s="199"/>
      <c r="W146" s="199"/>
      <c r="X146" s="156" t="s">
        <v>583</v>
      </c>
      <c r="Y146" s="173">
        <f t="shared" si="130"/>
        <v>7797.4312500000005</v>
      </c>
      <c r="Z146" s="83">
        <f t="shared" si="118"/>
        <v>0</v>
      </c>
      <c r="AA146" s="84">
        <f t="shared" si="128"/>
        <v>5763.3187500000004</v>
      </c>
      <c r="AB146" s="84">
        <f t="shared" si="129"/>
        <v>678.03750000000002</v>
      </c>
      <c r="AC146" s="84">
        <f t="shared" si="119"/>
        <v>0</v>
      </c>
      <c r="AD146" s="84"/>
      <c r="AE146" s="89">
        <f t="shared" si="124"/>
        <v>1356.075</v>
      </c>
      <c r="AF146" s="179">
        <f t="shared" ref="AF146:AF177" si="137">IFERROR(SUM(Z146:AE146),"")</f>
        <v>7797.4312500000005</v>
      </c>
      <c r="AG146" s="179">
        <f t="shared" si="125"/>
        <v>0</v>
      </c>
      <c r="AH146" s="85">
        <f>IFERROR(VLOOKUP(A146,CUSTOMERS!$A:$E,4),"")</f>
        <v>180.81</v>
      </c>
      <c r="AI146" s="86" t="str">
        <f t="shared" si="134"/>
        <v/>
      </c>
      <c r="AJ146" s="87">
        <f>IFERROR(VLOOKUP(A146,CUSTOMERS!$A:$F,5),"")</f>
        <v>0</v>
      </c>
      <c r="AK146" s="96"/>
      <c r="AL146" s="96">
        <v>4.25</v>
      </c>
      <c r="AM146" s="96">
        <v>0.5</v>
      </c>
      <c r="AN146" s="96"/>
      <c r="AO146" s="96">
        <v>1</v>
      </c>
      <c r="AP146" s="102">
        <f t="shared" si="121"/>
        <v>5.75</v>
      </c>
      <c r="AQ146" s="102">
        <f t="shared" si="132"/>
        <v>0</v>
      </c>
      <c r="AR146" s="68" t="str">
        <f>IFERROR(VLOOKUP(A146,CUSTOMERS!$A:$B,2),"")</f>
        <v>RMB</v>
      </c>
      <c r="AS146" s="68" t="str">
        <f>IFERROR(VLOOKUP(A146,CUSTOMERS!$A:$D,3),"")</f>
        <v>RSC</v>
      </c>
      <c r="AT146" s="68" t="str">
        <f>IFERROR(VLOOKUP(A146,CUSTOMERS!$A:$F,6),"")</f>
        <v>Y</v>
      </c>
      <c r="AU146" s="69">
        <f>IFERROR(VLOOKUP(A146,CUSTOMERS!$A:$E,4),"")</f>
        <v>180.81</v>
      </c>
      <c r="AV146" s="68" t="str">
        <f t="shared" si="127"/>
        <v/>
      </c>
      <c r="AX146" s="71" t="str">
        <f t="shared" si="122"/>
        <v>reason146</v>
      </c>
    </row>
    <row r="147" spans="1:50" ht="50.25" customHeight="1" thickTop="1" thickBot="1">
      <c r="A147" s="188" t="s">
        <v>162</v>
      </c>
      <c r="B147" s="120" t="str">
        <f t="shared" si="136"/>
        <v>Y</v>
      </c>
      <c r="C147" s="120"/>
      <c r="D147" s="121">
        <v>220</v>
      </c>
      <c r="E147" s="121"/>
      <c r="F147" s="122" t="str">
        <f t="shared" si="135"/>
        <v>RMB-RSC-2021-00220</v>
      </c>
      <c r="G147" s="123" t="s">
        <v>116</v>
      </c>
      <c r="H147" s="124" t="s">
        <v>172</v>
      </c>
      <c r="I147" s="239"/>
      <c r="J147" s="81">
        <f t="shared" ref="J147:J210" si="138">Y147</f>
        <v>10509.581250000001</v>
      </c>
      <c r="K147" s="177">
        <f t="shared" si="133"/>
        <v>44292</v>
      </c>
      <c r="L147" s="157">
        <v>44292</v>
      </c>
      <c r="M147" s="158">
        <v>44292</v>
      </c>
      <c r="N147" s="142">
        <v>44292</v>
      </c>
      <c r="O147" s="142"/>
      <c r="P147" s="159">
        <v>44292</v>
      </c>
      <c r="Q147" s="201" t="s">
        <v>17</v>
      </c>
      <c r="R147" s="199" t="s">
        <v>4</v>
      </c>
      <c r="S147" s="199"/>
      <c r="T147" s="199"/>
      <c r="U147" s="199"/>
      <c r="V147" s="199"/>
      <c r="W147" s="199"/>
      <c r="X147" s="156" t="s">
        <v>583</v>
      </c>
      <c r="Y147" s="173">
        <f t="shared" si="130"/>
        <v>10509.581250000001</v>
      </c>
      <c r="Z147" s="83">
        <f t="shared" ref="Z147:Z210" si="139">IFERROR((AK147*AH147)*7.5,"")</f>
        <v>0</v>
      </c>
      <c r="AA147" s="84">
        <f t="shared" si="128"/>
        <v>8136.4500000000007</v>
      </c>
      <c r="AB147" s="84">
        <f t="shared" si="129"/>
        <v>678.03750000000002</v>
      </c>
      <c r="AC147" s="84">
        <f t="shared" ref="AC147:AC210" si="140">IFERROR((AN147*AH147)*7.5,"")</f>
        <v>0</v>
      </c>
      <c r="AD147" s="84"/>
      <c r="AE147" s="89">
        <f t="shared" si="124"/>
        <v>1695.09375</v>
      </c>
      <c r="AF147" s="179">
        <f t="shared" si="137"/>
        <v>10509.581250000001</v>
      </c>
      <c r="AG147" s="179">
        <f t="shared" si="125"/>
        <v>0</v>
      </c>
      <c r="AH147" s="179">
        <f>IFERROR(VLOOKUP(A147,CUSTOMERS!$A:$E,4),"")</f>
        <v>180.81</v>
      </c>
      <c r="AI147" s="86" t="str">
        <f t="shared" si="134"/>
        <v/>
      </c>
      <c r="AJ147" s="87">
        <f>IFERROR(VLOOKUP(A147,CUSTOMERS!$A:$F,5),"")</f>
        <v>0</v>
      </c>
      <c r="AK147" s="96"/>
      <c r="AL147" s="96">
        <v>6</v>
      </c>
      <c r="AM147" s="96">
        <v>0.5</v>
      </c>
      <c r="AN147" s="96"/>
      <c r="AO147" s="96">
        <v>1.25</v>
      </c>
      <c r="AP147" s="102">
        <f t="shared" ref="AP147:AP210" si="141">SUM(AK147:AO147)</f>
        <v>7.75</v>
      </c>
      <c r="AQ147" s="102">
        <f t="shared" si="132"/>
        <v>0</v>
      </c>
      <c r="AR147" s="68" t="str">
        <f>IFERROR(VLOOKUP(A147,CUSTOMERS!$A:$B,2),"")</f>
        <v>RMB</v>
      </c>
      <c r="AS147" s="68" t="str">
        <f>IFERROR(VLOOKUP(A147,CUSTOMERS!$A:$D,3),"")</f>
        <v>RSC</v>
      </c>
      <c r="AT147" s="68" t="str">
        <f>IFERROR(VLOOKUP(A147,CUSTOMERS!$A:$F,6),"")</f>
        <v>Y</v>
      </c>
      <c r="AU147" s="69">
        <f>IFERROR(VLOOKUP(A147,CUSTOMERS!$A:$E,4),"")</f>
        <v>180.81</v>
      </c>
      <c r="AV147" s="68" t="str">
        <f t="shared" si="127"/>
        <v/>
      </c>
      <c r="AX147" s="71" t="str">
        <f t="shared" si="122"/>
        <v>reason147</v>
      </c>
    </row>
    <row r="148" spans="1:50" ht="50.25" customHeight="1" thickTop="1" thickBot="1">
      <c r="A148" s="188" t="s">
        <v>299</v>
      </c>
      <c r="B148" s="120" t="str">
        <f t="shared" si="136"/>
        <v>Y</v>
      </c>
      <c r="C148" s="120"/>
      <c r="D148" s="121">
        <v>18</v>
      </c>
      <c r="E148" s="121"/>
      <c r="F148" s="122" t="str">
        <f t="shared" si="135"/>
        <v>RCB-RSC-2020-00018</v>
      </c>
      <c r="G148" s="123" t="s">
        <v>100</v>
      </c>
      <c r="H148" s="124" t="s">
        <v>584</v>
      </c>
      <c r="I148" s="239"/>
      <c r="J148" s="80">
        <f t="shared" si="138"/>
        <v>0</v>
      </c>
      <c r="K148" s="177">
        <f t="shared" si="133"/>
        <v>44068</v>
      </c>
      <c r="L148" s="157">
        <v>44068</v>
      </c>
      <c r="M148" s="158"/>
      <c r="N148" s="142"/>
      <c r="O148" s="142"/>
      <c r="P148" s="159"/>
      <c r="Q148" s="201" t="s">
        <v>14</v>
      </c>
      <c r="R148" s="199" t="s">
        <v>4</v>
      </c>
      <c r="S148" s="199"/>
      <c r="T148" s="199"/>
      <c r="U148" s="199"/>
      <c r="V148" s="199"/>
      <c r="W148" s="199"/>
      <c r="X148" s="185" t="s">
        <v>406</v>
      </c>
      <c r="Y148" s="173">
        <f t="shared" si="130"/>
        <v>0</v>
      </c>
      <c r="Z148" s="83">
        <f t="shared" si="139"/>
        <v>0</v>
      </c>
      <c r="AA148" s="84">
        <f t="shared" si="128"/>
        <v>0</v>
      </c>
      <c r="AB148" s="84">
        <f t="shared" si="129"/>
        <v>0</v>
      </c>
      <c r="AC148" s="84">
        <f t="shared" si="140"/>
        <v>0</v>
      </c>
      <c r="AD148" s="84"/>
      <c r="AE148" s="84">
        <f t="shared" si="124"/>
        <v>0</v>
      </c>
      <c r="AF148" s="84">
        <f t="shared" si="137"/>
        <v>0</v>
      </c>
      <c r="AG148" s="179">
        <f t="shared" si="125"/>
        <v>0</v>
      </c>
      <c r="AH148" s="179">
        <f>IFERROR(VLOOKUP(A148,CUSTOMERS!$A:$E,4),"")</f>
        <v>0</v>
      </c>
      <c r="AI148" s="86" t="str">
        <f t="shared" si="134"/>
        <v/>
      </c>
      <c r="AJ148" s="87">
        <f>IFERROR(VLOOKUP(A148,CUSTOMERS!$A:$F,5),"")</f>
        <v>0.2</v>
      </c>
      <c r="AK148" s="96"/>
      <c r="AL148" s="96">
        <v>0</v>
      </c>
      <c r="AM148" s="96">
        <v>0</v>
      </c>
      <c r="AN148" s="96"/>
      <c r="AO148" s="96">
        <v>0</v>
      </c>
      <c r="AP148" s="102">
        <f t="shared" si="141"/>
        <v>0</v>
      </c>
      <c r="AQ148" s="102">
        <f t="shared" si="132"/>
        <v>0</v>
      </c>
      <c r="AR148" s="68" t="str">
        <f>IFERROR(VLOOKUP(A148,CUSTOMERS!$A:$B,2),"")</f>
        <v>RCB</v>
      </c>
      <c r="AS148" s="68" t="str">
        <f>IFERROR(VLOOKUP(A148,CUSTOMERS!$A:$D,3),"")</f>
        <v>RSC</v>
      </c>
      <c r="AT148" s="68" t="str">
        <f>IFERROR(VLOOKUP(A148,CUSTOMERS!$A:$F,6),"")</f>
        <v>Y</v>
      </c>
      <c r="AU148" s="69">
        <f>IFERROR(VLOOKUP(A148,CUSTOMERS!$A:$E,4),"")</f>
        <v>0</v>
      </c>
      <c r="AV148" s="68" t="str">
        <f t="shared" si="127"/>
        <v/>
      </c>
      <c r="AX148" s="71" t="str">
        <f t="shared" si="122"/>
        <v>reason148</v>
      </c>
    </row>
    <row r="149" spans="1:50" ht="50.25" customHeight="1" thickTop="1" thickBot="1">
      <c r="A149" s="188" t="s">
        <v>173</v>
      </c>
      <c r="B149" s="120" t="str">
        <f t="shared" si="136"/>
        <v>Y</v>
      </c>
      <c r="C149" s="120"/>
      <c r="D149" s="121"/>
      <c r="E149" s="121"/>
      <c r="F149" s="122" t="str">
        <f t="shared" si="135"/>
        <v>ZTH-RSC-2020-00000</v>
      </c>
      <c r="G149" s="123" t="s">
        <v>339</v>
      </c>
      <c r="H149" s="124" t="s">
        <v>585</v>
      </c>
      <c r="I149" s="239"/>
      <c r="J149" s="81">
        <f t="shared" si="138"/>
        <v>0</v>
      </c>
      <c r="K149" s="177">
        <f t="shared" si="133"/>
        <v>43969</v>
      </c>
      <c r="L149" s="157">
        <v>43969</v>
      </c>
      <c r="M149" s="158"/>
      <c r="N149" s="142"/>
      <c r="O149" s="142"/>
      <c r="P149" s="159"/>
      <c r="Q149" s="201" t="s">
        <v>18</v>
      </c>
      <c r="R149" s="199" t="s">
        <v>4</v>
      </c>
      <c r="S149" s="199"/>
      <c r="T149" s="199"/>
      <c r="U149" s="199"/>
      <c r="V149" s="199"/>
      <c r="W149" s="199"/>
      <c r="X149" s="185" t="s">
        <v>586</v>
      </c>
      <c r="Y149" s="173">
        <f t="shared" si="130"/>
        <v>0</v>
      </c>
      <c r="Z149" s="83">
        <f t="shared" si="139"/>
        <v>0</v>
      </c>
      <c r="AA149" s="84">
        <f t="shared" si="128"/>
        <v>0</v>
      </c>
      <c r="AB149" s="84">
        <f t="shared" si="129"/>
        <v>0</v>
      </c>
      <c r="AC149" s="84">
        <f t="shared" si="140"/>
        <v>0</v>
      </c>
      <c r="AD149" s="84"/>
      <c r="AE149" s="84">
        <f t="shared" si="124"/>
        <v>0</v>
      </c>
      <c r="AF149" s="89">
        <f t="shared" si="137"/>
        <v>0</v>
      </c>
      <c r="AG149" s="179">
        <f t="shared" si="125"/>
        <v>0</v>
      </c>
      <c r="AH149" s="179">
        <f>IFERROR(VLOOKUP(A149,CUSTOMERS!$A:$E,4),"")</f>
        <v>211.3</v>
      </c>
      <c r="AI149" s="86" t="str">
        <f t="shared" si="134"/>
        <v/>
      </c>
      <c r="AJ149" s="87">
        <f>IFERROR(VLOOKUP(A149,CUSTOMERS!$A:$F,5),"")</f>
        <v>0.2</v>
      </c>
      <c r="AK149" s="96"/>
      <c r="AL149" s="96">
        <v>0</v>
      </c>
      <c r="AM149" s="96">
        <v>0</v>
      </c>
      <c r="AN149" s="96"/>
      <c r="AO149" s="96">
        <v>0</v>
      </c>
      <c r="AP149" s="102">
        <f t="shared" si="141"/>
        <v>0</v>
      </c>
      <c r="AQ149" s="102">
        <f t="shared" si="132"/>
        <v>0</v>
      </c>
      <c r="AR149" s="68" t="str">
        <f>IFERROR(VLOOKUP(A149,CUSTOMERS!$A:$B,2),"")</f>
        <v>ZTH</v>
      </c>
      <c r="AS149" s="68" t="str">
        <f>IFERROR(VLOOKUP(A149,CUSTOMERS!$A:$D,3),"")</f>
        <v>RSC</v>
      </c>
      <c r="AT149" s="68" t="str">
        <f>IFERROR(VLOOKUP(A149,CUSTOMERS!$A:$F,6),"")</f>
        <v>Y</v>
      </c>
      <c r="AU149" s="69">
        <f>IFERROR(VLOOKUP(A149,CUSTOMERS!$A:$E,4),"")</f>
        <v>211.3</v>
      </c>
      <c r="AV149" s="68" t="str">
        <f t="shared" si="127"/>
        <v/>
      </c>
      <c r="AX149" s="71" t="str">
        <f t="shared" si="122"/>
        <v>reason149</v>
      </c>
    </row>
    <row r="150" spans="1:50" ht="50.25" customHeight="1" thickTop="1" thickBot="1">
      <c r="A150" s="188" t="s">
        <v>173</v>
      </c>
      <c r="B150" s="120" t="str">
        <f t="shared" si="136"/>
        <v>Y</v>
      </c>
      <c r="C150" s="120"/>
      <c r="D150" s="121">
        <v>48</v>
      </c>
      <c r="E150" s="121"/>
      <c r="F150" s="122" t="str">
        <f t="shared" si="135"/>
        <v>ZTH-RSC-2020-00048</v>
      </c>
      <c r="G150" s="123" t="s">
        <v>35</v>
      </c>
      <c r="H150" s="124" t="s">
        <v>174</v>
      </c>
      <c r="I150" s="239"/>
      <c r="J150" s="81">
        <f t="shared" si="138"/>
        <v>31530.186000000002</v>
      </c>
      <c r="K150" s="177">
        <f t="shared" si="133"/>
        <v>43971</v>
      </c>
      <c r="L150" s="141">
        <v>43971</v>
      </c>
      <c r="M150" s="142"/>
      <c r="N150" s="142"/>
      <c r="O150" s="142"/>
      <c r="P150" s="142"/>
      <c r="Q150" s="199" t="s">
        <v>18</v>
      </c>
      <c r="R150" s="199" t="s">
        <v>4</v>
      </c>
      <c r="S150" s="199"/>
      <c r="T150" s="199"/>
      <c r="U150" s="199"/>
      <c r="V150" s="199"/>
      <c r="W150" s="199"/>
      <c r="X150" s="143" t="s">
        <v>587</v>
      </c>
      <c r="Y150" s="173">
        <f t="shared" si="130"/>
        <v>31530.186000000002</v>
      </c>
      <c r="Z150" s="83">
        <f t="shared" si="139"/>
        <v>0</v>
      </c>
      <c r="AA150" s="84">
        <f t="shared" si="128"/>
        <v>22313.280000000002</v>
      </c>
      <c r="AB150" s="84">
        <f t="shared" si="129"/>
        <v>522.96750000000009</v>
      </c>
      <c r="AC150" s="84">
        <f t="shared" si="140"/>
        <v>0</v>
      </c>
      <c r="AD150" s="84"/>
      <c r="AE150" s="84">
        <f t="shared" si="124"/>
        <v>3438.9075000000003</v>
      </c>
      <c r="AF150" s="89">
        <f t="shared" si="137"/>
        <v>26275.155000000002</v>
      </c>
      <c r="AG150" s="94">
        <f t="shared" si="125"/>
        <v>5255.0309999999999</v>
      </c>
      <c r="AH150" s="85">
        <f>IFERROR(VLOOKUP(A150,CUSTOMERS!$A:$E,4),"")</f>
        <v>211.3</v>
      </c>
      <c r="AI150" s="86" t="str">
        <f t="shared" si="134"/>
        <v/>
      </c>
      <c r="AJ150" s="87">
        <f>IFERROR(VLOOKUP(A150,CUSTOMERS!$A:$F,5),"")</f>
        <v>0.2</v>
      </c>
      <c r="AK150" s="96"/>
      <c r="AL150" s="96">
        <v>14.08</v>
      </c>
      <c r="AM150" s="96">
        <v>0.33</v>
      </c>
      <c r="AN150" s="96"/>
      <c r="AO150" s="96">
        <v>2.17</v>
      </c>
      <c r="AP150" s="102">
        <f t="shared" si="141"/>
        <v>16.579999999999998</v>
      </c>
      <c r="AQ150" s="102">
        <f t="shared" si="132"/>
        <v>3.3159999999999998</v>
      </c>
      <c r="AR150" s="68" t="str">
        <f>IFERROR(VLOOKUP(A150,CUSTOMERS!$A:$B,2),"")</f>
        <v>ZTH</v>
      </c>
      <c r="AS150" s="68" t="str">
        <f>IFERROR(VLOOKUP(A150,CUSTOMERS!$A:$D,3),"")</f>
        <v>RSC</v>
      </c>
      <c r="AT150" s="68" t="str">
        <f>IFERROR(VLOOKUP(A150,CUSTOMERS!$A:$F,6),"")</f>
        <v>Y</v>
      </c>
      <c r="AU150" s="69">
        <f>IFERROR(VLOOKUP(A150,CUSTOMERS!$A:$E,4),"")</f>
        <v>211.3</v>
      </c>
      <c r="AV150" s="68" t="str">
        <f t="shared" si="127"/>
        <v/>
      </c>
      <c r="AW150" s="70" t="str">
        <f>"descr"&amp;ROW()</f>
        <v>descr150</v>
      </c>
      <c r="AX150" s="71" t="str">
        <f>"reason"&amp;ROW()</f>
        <v>reason150</v>
      </c>
    </row>
    <row r="151" spans="1:50" ht="50.25" customHeight="1" thickTop="1" thickBot="1">
      <c r="A151" s="188" t="s">
        <v>173</v>
      </c>
      <c r="B151" s="120" t="str">
        <f t="shared" si="136"/>
        <v>Y</v>
      </c>
      <c r="C151" s="120"/>
      <c r="D151" s="121">
        <v>45</v>
      </c>
      <c r="E151" s="121"/>
      <c r="F151" s="122" t="str">
        <f t="shared" si="135"/>
        <v>ZTH-RSC-2020-00045</v>
      </c>
      <c r="G151" s="123" t="s">
        <v>100</v>
      </c>
      <c r="H151" s="124" t="s">
        <v>175</v>
      </c>
      <c r="I151" s="239"/>
      <c r="J151" s="80">
        <f t="shared" si="138"/>
        <v>0</v>
      </c>
      <c r="K151" s="177">
        <f t="shared" ref="K151:K182" si="142">MAX(L151:R151)</f>
        <v>44068</v>
      </c>
      <c r="L151" s="157">
        <v>44068</v>
      </c>
      <c r="M151" s="142"/>
      <c r="N151" s="142"/>
      <c r="O151" s="142"/>
      <c r="P151" s="142"/>
      <c r="Q151" s="199" t="s">
        <v>18</v>
      </c>
      <c r="R151" s="199" t="s">
        <v>4</v>
      </c>
      <c r="S151" s="199"/>
      <c r="T151" s="199"/>
      <c r="U151" s="199"/>
      <c r="V151" s="199"/>
      <c r="W151" s="199"/>
      <c r="X151" s="143" t="s">
        <v>588</v>
      </c>
      <c r="Y151" s="173">
        <f t="shared" si="130"/>
        <v>0</v>
      </c>
      <c r="Z151" s="83">
        <f t="shared" si="139"/>
        <v>0</v>
      </c>
      <c r="AA151" s="84">
        <f t="shared" si="128"/>
        <v>0</v>
      </c>
      <c r="AB151" s="84">
        <f t="shared" si="129"/>
        <v>0</v>
      </c>
      <c r="AC151" s="84">
        <f t="shared" si="140"/>
        <v>0</v>
      </c>
      <c r="AD151" s="84"/>
      <c r="AE151" s="84">
        <f t="shared" si="124"/>
        <v>0</v>
      </c>
      <c r="AF151" s="84">
        <f t="shared" si="137"/>
        <v>0</v>
      </c>
      <c r="AG151" s="94">
        <f t="shared" si="125"/>
        <v>0</v>
      </c>
      <c r="AH151" s="85">
        <f>IFERROR(VLOOKUP(A151,CUSTOMERS!$A:$E,4),"")</f>
        <v>211.3</v>
      </c>
      <c r="AI151" s="86" t="str">
        <f t="shared" si="134"/>
        <v/>
      </c>
      <c r="AJ151" s="87">
        <f>IFERROR(VLOOKUP(A151,CUSTOMERS!$A:$F,5),"")</f>
        <v>0.2</v>
      </c>
      <c r="AK151" s="96"/>
      <c r="AL151" s="96">
        <v>0</v>
      </c>
      <c r="AM151" s="96">
        <v>0</v>
      </c>
      <c r="AN151" s="96"/>
      <c r="AO151" s="96">
        <v>0</v>
      </c>
      <c r="AP151" s="102">
        <f t="shared" si="141"/>
        <v>0</v>
      </c>
      <c r="AQ151" s="102">
        <f t="shared" si="132"/>
        <v>0</v>
      </c>
      <c r="AR151" s="68" t="str">
        <f>IFERROR(VLOOKUP(A151,CUSTOMERS!$A:$B,2),"")</f>
        <v>ZTH</v>
      </c>
      <c r="AS151" s="68" t="str">
        <f>IFERROR(VLOOKUP(A151,CUSTOMERS!$A:$D,3),"")</f>
        <v>RSC</v>
      </c>
      <c r="AT151" s="68" t="str">
        <f>IFERROR(VLOOKUP(A151,CUSTOMERS!$A:$F,6),"")</f>
        <v>Y</v>
      </c>
      <c r="AU151" s="69">
        <f>IFERROR(VLOOKUP(A151,CUSTOMERS!$A:$E,4),"")</f>
        <v>211.3</v>
      </c>
      <c r="AV151" s="68" t="str">
        <f t="shared" si="127"/>
        <v/>
      </c>
      <c r="AW151" s="70" t="str">
        <f>"descr"&amp;ROW()</f>
        <v>descr151</v>
      </c>
      <c r="AX151" s="71" t="str">
        <f>"reason"&amp;ROW()</f>
        <v>reason151</v>
      </c>
    </row>
    <row r="152" spans="1:50" ht="50.25" customHeight="1" thickTop="1" thickBot="1">
      <c r="A152" s="188" t="s">
        <v>173</v>
      </c>
      <c r="B152" s="120" t="str">
        <f t="shared" si="136"/>
        <v>Y</v>
      </c>
      <c r="C152" s="120"/>
      <c r="D152" s="121">
        <v>52</v>
      </c>
      <c r="E152" s="121"/>
      <c r="F152" s="122" t="str">
        <f t="shared" si="135"/>
        <v>ZTH-RSC-2020-00052</v>
      </c>
      <c r="G152" s="123" t="s">
        <v>103</v>
      </c>
      <c r="H152" s="124" t="s">
        <v>176</v>
      </c>
      <c r="I152" s="239"/>
      <c r="J152" s="80">
        <f t="shared" si="138"/>
        <v>0</v>
      </c>
      <c r="K152" s="177">
        <f t="shared" si="142"/>
        <v>44068</v>
      </c>
      <c r="L152" s="141">
        <v>44068</v>
      </c>
      <c r="M152" s="142"/>
      <c r="N152" s="142"/>
      <c r="O152" s="142"/>
      <c r="P152" s="142"/>
      <c r="Q152" s="199" t="s">
        <v>15</v>
      </c>
      <c r="R152" s="199" t="s">
        <v>4</v>
      </c>
      <c r="S152" s="199"/>
      <c r="T152" s="199"/>
      <c r="U152" s="199"/>
      <c r="V152" s="199"/>
      <c r="W152" s="199"/>
      <c r="X152" s="143" t="s">
        <v>406</v>
      </c>
      <c r="Y152" s="173">
        <f t="shared" si="130"/>
        <v>0</v>
      </c>
      <c r="Z152" s="83">
        <f t="shared" si="139"/>
        <v>0</v>
      </c>
      <c r="AA152" s="84">
        <f t="shared" si="128"/>
        <v>0</v>
      </c>
      <c r="AB152" s="84">
        <f t="shared" si="129"/>
        <v>0</v>
      </c>
      <c r="AC152" s="84">
        <f t="shared" si="140"/>
        <v>0</v>
      </c>
      <c r="AD152" s="84"/>
      <c r="AE152" s="84">
        <f t="shared" si="124"/>
        <v>0</v>
      </c>
      <c r="AF152" s="84">
        <f t="shared" si="137"/>
        <v>0</v>
      </c>
      <c r="AG152" s="94">
        <f t="shared" si="125"/>
        <v>0</v>
      </c>
      <c r="AH152" s="85">
        <f>IFERROR(VLOOKUP(A152,CUSTOMERS!$A:$E,4),"")</f>
        <v>211.3</v>
      </c>
      <c r="AI152" s="86" t="str">
        <f t="shared" si="134"/>
        <v/>
      </c>
      <c r="AJ152" s="87">
        <f>IFERROR(VLOOKUP(A152,CUSTOMERS!$A:$F,5),"")</f>
        <v>0.2</v>
      </c>
      <c r="AK152" s="96"/>
      <c r="AL152" s="96">
        <v>0</v>
      </c>
      <c r="AM152" s="96">
        <v>0</v>
      </c>
      <c r="AN152" s="96"/>
      <c r="AO152" s="96">
        <v>0</v>
      </c>
      <c r="AP152" s="102">
        <f t="shared" si="141"/>
        <v>0</v>
      </c>
      <c r="AQ152" s="102">
        <f t="shared" si="132"/>
        <v>0</v>
      </c>
      <c r="AR152" s="68" t="str">
        <f>IFERROR(VLOOKUP(A152,CUSTOMERS!$A:$B,2),"")</f>
        <v>ZTH</v>
      </c>
      <c r="AS152" s="68" t="str">
        <f>IFERROR(VLOOKUP(A152,CUSTOMERS!$A:$D,3),"")</f>
        <v>RSC</v>
      </c>
      <c r="AT152" s="68" t="str">
        <f>IFERROR(VLOOKUP(A152,CUSTOMERS!$A:$F,6),"")</f>
        <v>Y</v>
      </c>
      <c r="AU152" s="69">
        <f>IFERROR(VLOOKUP(A152,CUSTOMERS!$A:$E,4),"")</f>
        <v>211.3</v>
      </c>
      <c r="AV152" s="68" t="str">
        <f t="shared" si="127"/>
        <v/>
      </c>
      <c r="AW152" s="70" t="str">
        <f>"descr"&amp;ROW()</f>
        <v>descr152</v>
      </c>
      <c r="AX152" s="71" t="str">
        <f>"reason"&amp;ROW()</f>
        <v>reason152</v>
      </c>
    </row>
    <row r="153" spans="1:50" ht="50.25" customHeight="1" thickTop="1" thickBot="1">
      <c r="A153" s="188" t="s">
        <v>173</v>
      </c>
      <c r="B153" s="120" t="str">
        <f t="shared" si="136"/>
        <v>Y</v>
      </c>
      <c r="C153" s="120"/>
      <c r="D153" s="121">
        <v>53</v>
      </c>
      <c r="E153" s="121"/>
      <c r="F153" s="122" t="str">
        <f t="shared" si="135"/>
        <v>ZTH-RSC-2020-00053</v>
      </c>
      <c r="G153" s="123" t="s">
        <v>100</v>
      </c>
      <c r="H153" s="124" t="s">
        <v>177</v>
      </c>
      <c r="I153" s="239"/>
      <c r="J153" s="80">
        <f t="shared" si="138"/>
        <v>0</v>
      </c>
      <c r="K153" s="177">
        <f t="shared" si="142"/>
        <v>44068</v>
      </c>
      <c r="L153" s="157">
        <v>44068</v>
      </c>
      <c r="M153" s="158"/>
      <c r="N153" s="142"/>
      <c r="O153" s="142"/>
      <c r="P153" s="159"/>
      <c r="Q153" s="201" t="s">
        <v>15</v>
      </c>
      <c r="R153" s="199" t="s">
        <v>4</v>
      </c>
      <c r="S153" s="199"/>
      <c r="T153" s="199"/>
      <c r="U153" s="199"/>
      <c r="V153" s="199"/>
      <c r="W153" s="199"/>
      <c r="X153" s="185" t="s">
        <v>406</v>
      </c>
      <c r="Y153" s="173">
        <f t="shared" si="130"/>
        <v>0</v>
      </c>
      <c r="Z153" s="83">
        <f t="shared" si="139"/>
        <v>0</v>
      </c>
      <c r="AA153" s="84">
        <f t="shared" si="128"/>
        <v>0</v>
      </c>
      <c r="AB153" s="84">
        <f t="shared" si="129"/>
        <v>0</v>
      </c>
      <c r="AC153" s="84">
        <f t="shared" si="140"/>
        <v>0</v>
      </c>
      <c r="AD153" s="84"/>
      <c r="AE153" s="84">
        <f t="shared" si="124"/>
        <v>0</v>
      </c>
      <c r="AF153" s="84">
        <f t="shared" si="137"/>
        <v>0</v>
      </c>
      <c r="AG153" s="94">
        <f t="shared" si="125"/>
        <v>0</v>
      </c>
      <c r="AH153" s="85">
        <f>IFERROR(VLOOKUP(A153,CUSTOMERS!$A:$E,4),"")</f>
        <v>211.3</v>
      </c>
      <c r="AI153" s="86" t="str">
        <f t="shared" si="134"/>
        <v/>
      </c>
      <c r="AJ153" s="87">
        <f>IFERROR(VLOOKUP(A153,CUSTOMERS!$A:$F,5),"")</f>
        <v>0.2</v>
      </c>
      <c r="AK153" s="96"/>
      <c r="AL153" s="96">
        <v>0</v>
      </c>
      <c r="AM153" s="96">
        <v>0</v>
      </c>
      <c r="AN153" s="96"/>
      <c r="AO153" s="96">
        <v>0</v>
      </c>
      <c r="AP153" s="102">
        <f t="shared" si="141"/>
        <v>0</v>
      </c>
      <c r="AQ153" s="102">
        <f t="shared" si="132"/>
        <v>0</v>
      </c>
      <c r="AR153" s="68" t="str">
        <f>IFERROR(VLOOKUP(A153,CUSTOMERS!$A:$B,2),"")</f>
        <v>ZTH</v>
      </c>
      <c r="AS153" s="68" t="str">
        <f>IFERROR(VLOOKUP(A153,CUSTOMERS!$A:$D,3),"")</f>
        <v>RSC</v>
      </c>
      <c r="AT153" s="68" t="str">
        <f>IFERROR(VLOOKUP(A153,CUSTOMERS!$A:$F,6),"")</f>
        <v>Y</v>
      </c>
      <c r="AU153" s="69">
        <f>IFERROR(VLOOKUP(A153,CUSTOMERS!$A:$E,4),"")</f>
        <v>211.3</v>
      </c>
      <c r="AV153" s="68" t="str">
        <f t="shared" si="127"/>
        <v/>
      </c>
      <c r="AX153" s="71" t="str">
        <f t="shared" ref="AX153:AX215" si="143">"reason"&amp;ROW()</f>
        <v>reason153</v>
      </c>
    </row>
    <row r="154" spans="1:50" ht="50.25" customHeight="1" thickTop="1" thickBot="1">
      <c r="A154" s="188" t="s">
        <v>27</v>
      </c>
      <c r="B154" s="125" t="str">
        <f t="shared" si="136"/>
        <v>N</v>
      </c>
      <c r="C154" s="125"/>
      <c r="D154" s="126">
        <v>8</v>
      </c>
      <c r="E154" s="126"/>
      <c r="F154" s="122" t="str">
        <f t="shared" si="135"/>
        <v>PRD-BLG-2021-00008</v>
      </c>
      <c r="G154" s="207" t="s">
        <v>339</v>
      </c>
      <c r="H154" s="124" t="s">
        <v>589</v>
      </c>
      <c r="I154" s="239"/>
      <c r="J154" s="80">
        <f t="shared" si="138"/>
        <v>0</v>
      </c>
      <c r="K154" s="177">
        <f t="shared" si="142"/>
        <v>44287</v>
      </c>
      <c r="L154" s="155">
        <v>44287</v>
      </c>
      <c r="M154" s="152"/>
      <c r="N154" s="147"/>
      <c r="O154" s="147"/>
      <c r="P154" s="153"/>
      <c r="Q154" s="201" t="s">
        <v>16</v>
      </c>
      <c r="R154" s="200" t="s">
        <v>78</v>
      </c>
      <c r="S154" s="200"/>
      <c r="T154" s="200"/>
      <c r="U154" s="200"/>
      <c r="V154" s="200"/>
      <c r="W154" s="200"/>
      <c r="X154" s="154" t="s">
        <v>590</v>
      </c>
      <c r="Y154" s="173">
        <f t="shared" si="130"/>
        <v>0</v>
      </c>
      <c r="Z154" s="83">
        <f t="shared" si="139"/>
        <v>0</v>
      </c>
      <c r="AA154" s="84">
        <f t="shared" si="128"/>
        <v>0</v>
      </c>
      <c r="AB154" s="84">
        <f t="shared" si="129"/>
        <v>0</v>
      </c>
      <c r="AC154" s="84">
        <f t="shared" si="140"/>
        <v>0</v>
      </c>
      <c r="AD154" s="84"/>
      <c r="AE154" s="84">
        <f t="shared" si="124"/>
        <v>0</v>
      </c>
      <c r="AF154" s="84">
        <f t="shared" si="137"/>
        <v>0</v>
      </c>
      <c r="AG154" s="94">
        <f t="shared" si="125"/>
        <v>0</v>
      </c>
      <c r="AH154" s="85">
        <f>IFERROR(VLOOKUP(A154,CUSTOMERS!$A:$E,4),"")</f>
        <v>-150</v>
      </c>
      <c r="AI154" s="86" t="str">
        <f t="shared" si="134"/>
        <v/>
      </c>
      <c r="AJ154" s="87">
        <f>IFERROR(VLOOKUP(A154,CUSTOMERS!$A:$F,5),"")</f>
        <v>0</v>
      </c>
      <c r="AK154" s="96"/>
      <c r="AL154" s="96">
        <v>0</v>
      </c>
      <c r="AM154" s="96">
        <v>0</v>
      </c>
      <c r="AN154" s="96"/>
      <c r="AO154" s="96">
        <v>0</v>
      </c>
      <c r="AP154" s="103">
        <f t="shared" si="141"/>
        <v>0</v>
      </c>
      <c r="AQ154" s="103">
        <f t="shared" si="132"/>
        <v>0</v>
      </c>
      <c r="AR154" s="68" t="str">
        <f>IFERROR(VLOOKUP(A154,CUSTOMERS!$A:$B,2),"")</f>
        <v>PRD</v>
      </c>
      <c r="AS154" s="68" t="str">
        <f>IFERROR(VLOOKUP(A154,CUSTOMERS!$A:$D,3),"")</f>
        <v>BLG</v>
      </c>
      <c r="AT154" s="68" t="str">
        <f>IFERROR(VLOOKUP(A154,CUSTOMERS!$A:$F,6),"")</f>
        <v>N</v>
      </c>
      <c r="AU154" s="69">
        <f>IFERROR(VLOOKUP(A154,CUSTOMERS!$A:$E,4),"")</f>
        <v>-150</v>
      </c>
      <c r="AV154" s="68" t="str">
        <f t="shared" si="127"/>
        <v/>
      </c>
      <c r="AX154" s="71" t="str">
        <f t="shared" si="143"/>
        <v>reason154</v>
      </c>
    </row>
    <row r="155" spans="1:50" ht="50.25" customHeight="1" thickTop="1" thickBot="1">
      <c r="A155" s="188" t="s">
        <v>27</v>
      </c>
      <c r="B155" s="125" t="str">
        <f t="shared" si="136"/>
        <v>N</v>
      </c>
      <c r="C155" s="125"/>
      <c r="D155" s="126">
        <v>9</v>
      </c>
      <c r="E155" s="126"/>
      <c r="F155" s="122" t="str">
        <f t="shared" si="135"/>
        <v>PRD-BLG-2021-00009</v>
      </c>
      <c r="G155" s="207" t="s">
        <v>339</v>
      </c>
      <c r="H155" s="124" t="s">
        <v>591</v>
      </c>
      <c r="I155" s="239"/>
      <c r="J155" s="80">
        <f t="shared" si="138"/>
        <v>0</v>
      </c>
      <c r="K155" s="177">
        <f t="shared" si="142"/>
        <v>44287</v>
      </c>
      <c r="L155" s="155">
        <v>44287</v>
      </c>
      <c r="M155" s="152"/>
      <c r="N155" s="147"/>
      <c r="O155" s="147"/>
      <c r="P155" s="153"/>
      <c r="Q155" s="201" t="s">
        <v>16</v>
      </c>
      <c r="R155" s="200" t="s">
        <v>78</v>
      </c>
      <c r="S155" s="200"/>
      <c r="T155" s="200"/>
      <c r="U155" s="200"/>
      <c r="V155" s="200"/>
      <c r="W155" s="200"/>
      <c r="X155" s="154" t="s">
        <v>590</v>
      </c>
      <c r="Y155" s="173">
        <f t="shared" si="130"/>
        <v>0</v>
      </c>
      <c r="Z155" s="83">
        <f t="shared" si="139"/>
        <v>0</v>
      </c>
      <c r="AA155" s="84">
        <f t="shared" si="128"/>
        <v>0</v>
      </c>
      <c r="AB155" s="84">
        <f t="shared" si="129"/>
        <v>0</v>
      </c>
      <c r="AC155" s="84">
        <f t="shared" si="140"/>
        <v>0</v>
      </c>
      <c r="AD155" s="84"/>
      <c r="AE155" s="84">
        <f t="shared" si="124"/>
        <v>0</v>
      </c>
      <c r="AF155" s="84">
        <f t="shared" si="137"/>
        <v>0</v>
      </c>
      <c r="AG155" s="94">
        <f t="shared" si="125"/>
        <v>0</v>
      </c>
      <c r="AH155" s="85">
        <f>IFERROR(VLOOKUP(A155,CUSTOMERS!$A:$E,4),"")</f>
        <v>-150</v>
      </c>
      <c r="AI155" s="86" t="str">
        <f t="shared" si="134"/>
        <v/>
      </c>
      <c r="AJ155" s="87">
        <f>IFERROR(VLOOKUP(A155,CUSTOMERS!$A:$F,5),"")</f>
        <v>0</v>
      </c>
      <c r="AK155" s="96"/>
      <c r="AL155" s="96">
        <v>0</v>
      </c>
      <c r="AM155" s="96">
        <v>0</v>
      </c>
      <c r="AN155" s="96"/>
      <c r="AO155" s="96">
        <v>0</v>
      </c>
      <c r="AP155" s="103">
        <f t="shared" si="141"/>
        <v>0</v>
      </c>
      <c r="AQ155" s="103">
        <f t="shared" si="132"/>
        <v>0</v>
      </c>
      <c r="AR155" s="68" t="str">
        <f>IFERROR(VLOOKUP(A155,CUSTOMERS!$A:$B,2),"")</f>
        <v>PRD</v>
      </c>
      <c r="AS155" s="68" t="str">
        <f>IFERROR(VLOOKUP(A155,CUSTOMERS!$A:$D,3),"")</f>
        <v>BLG</v>
      </c>
      <c r="AT155" s="68" t="str">
        <f>IFERROR(VLOOKUP(A155,CUSTOMERS!$A:$F,6),"")</f>
        <v>N</v>
      </c>
      <c r="AU155" s="69">
        <f>IFERROR(VLOOKUP(A155,CUSTOMERS!$A:$E,4),"")</f>
        <v>-150</v>
      </c>
      <c r="AV155" s="68" t="str">
        <f t="shared" si="127"/>
        <v/>
      </c>
      <c r="AX155" s="71" t="str">
        <f t="shared" si="143"/>
        <v>reason155</v>
      </c>
    </row>
    <row r="156" spans="1:50" ht="50.25" customHeight="1" thickTop="1" thickBot="1">
      <c r="A156" s="188" t="s">
        <v>27</v>
      </c>
      <c r="B156" s="125" t="str">
        <f t="shared" si="136"/>
        <v>N</v>
      </c>
      <c r="C156" s="125"/>
      <c r="D156" s="126">
        <v>10</v>
      </c>
      <c r="E156" s="126"/>
      <c r="F156" s="122" t="str">
        <f t="shared" si="135"/>
        <v>PRD-BLG-2021-00010</v>
      </c>
      <c r="G156" s="207" t="s">
        <v>339</v>
      </c>
      <c r="H156" s="124" t="s">
        <v>592</v>
      </c>
      <c r="I156" s="239"/>
      <c r="J156" s="80">
        <f t="shared" si="138"/>
        <v>0</v>
      </c>
      <c r="K156" s="177">
        <f t="shared" si="142"/>
        <v>44287</v>
      </c>
      <c r="L156" s="155">
        <v>44287</v>
      </c>
      <c r="M156" s="152"/>
      <c r="N156" s="147"/>
      <c r="O156" s="147"/>
      <c r="P156" s="153"/>
      <c r="Q156" s="201" t="s">
        <v>16</v>
      </c>
      <c r="R156" s="200" t="s">
        <v>78</v>
      </c>
      <c r="S156" s="200"/>
      <c r="T156" s="200"/>
      <c r="U156" s="200"/>
      <c r="V156" s="200"/>
      <c r="W156" s="200"/>
      <c r="X156" s="154" t="s">
        <v>590</v>
      </c>
      <c r="Y156" s="173">
        <f t="shared" si="130"/>
        <v>0</v>
      </c>
      <c r="Z156" s="83">
        <f t="shared" si="139"/>
        <v>0</v>
      </c>
      <c r="AA156" s="84">
        <f t="shared" si="128"/>
        <v>0</v>
      </c>
      <c r="AB156" s="84">
        <f t="shared" si="129"/>
        <v>0</v>
      </c>
      <c r="AC156" s="84">
        <f t="shared" si="140"/>
        <v>0</v>
      </c>
      <c r="AD156" s="84"/>
      <c r="AE156" s="84">
        <f t="shared" si="124"/>
        <v>0</v>
      </c>
      <c r="AF156" s="84">
        <f t="shared" si="137"/>
        <v>0</v>
      </c>
      <c r="AG156" s="94">
        <f t="shared" si="125"/>
        <v>0</v>
      </c>
      <c r="AH156" s="85">
        <f>IFERROR(VLOOKUP(A156,CUSTOMERS!$A:$E,4),"")</f>
        <v>-150</v>
      </c>
      <c r="AI156" s="86" t="str">
        <f t="shared" si="134"/>
        <v/>
      </c>
      <c r="AJ156" s="87">
        <f>IFERROR(VLOOKUP(A156,CUSTOMERS!$A:$F,5),"")</f>
        <v>0</v>
      </c>
      <c r="AK156" s="96"/>
      <c r="AL156" s="96">
        <v>0</v>
      </c>
      <c r="AM156" s="96">
        <v>0</v>
      </c>
      <c r="AN156" s="96"/>
      <c r="AO156" s="96">
        <v>0</v>
      </c>
      <c r="AP156" s="103">
        <f t="shared" si="141"/>
        <v>0</v>
      </c>
      <c r="AQ156" s="103">
        <f t="shared" si="132"/>
        <v>0</v>
      </c>
      <c r="AR156" s="68" t="str">
        <f>IFERROR(VLOOKUP(A156,CUSTOMERS!$A:$B,2),"")</f>
        <v>PRD</v>
      </c>
      <c r="AS156" s="68" t="str">
        <f>IFERROR(VLOOKUP(A156,CUSTOMERS!$A:$D,3),"")</f>
        <v>BLG</v>
      </c>
      <c r="AT156" s="68" t="str">
        <f>IFERROR(VLOOKUP(A156,CUSTOMERS!$A:$F,6),"")</f>
        <v>N</v>
      </c>
      <c r="AU156" s="69">
        <f>IFERROR(VLOOKUP(A156,CUSTOMERS!$A:$E,4),"")</f>
        <v>-150</v>
      </c>
      <c r="AV156" s="68" t="str">
        <f t="shared" si="127"/>
        <v/>
      </c>
      <c r="AX156" s="71" t="str">
        <f t="shared" si="143"/>
        <v>reason156</v>
      </c>
    </row>
    <row r="157" spans="1:50" ht="50.25" customHeight="1" thickTop="1" thickBot="1">
      <c r="A157" s="188" t="s">
        <v>27</v>
      </c>
      <c r="B157" s="125" t="str">
        <f t="shared" si="136"/>
        <v>N</v>
      </c>
      <c r="C157" s="125"/>
      <c r="D157" s="126">
        <v>11</v>
      </c>
      <c r="E157" s="126"/>
      <c r="F157" s="122" t="str">
        <f t="shared" si="135"/>
        <v>PRD-BLG-2021-00011</v>
      </c>
      <c r="G157" s="207" t="s">
        <v>339</v>
      </c>
      <c r="H157" s="124" t="s">
        <v>593</v>
      </c>
      <c r="I157" s="239"/>
      <c r="J157" s="80">
        <f t="shared" si="138"/>
        <v>0</v>
      </c>
      <c r="K157" s="177">
        <f t="shared" si="142"/>
        <v>44287</v>
      </c>
      <c r="L157" s="155">
        <v>44287</v>
      </c>
      <c r="M157" s="152"/>
      <c r="N157" s="147"/>
      <c r="O157" s="147"/>
      <c r="P157" s="153"/>
      <c r="Q157" s="201" t="s">
        <v>16</v>
      </c>
      <c r="R157" s="200" t="s">
        <v>78</v>
      </c>
      <c r="S157" s="200"/>
      <c r="T157" s="200"/>
      <c r="U157" s="200"/>
      <c r="V157" s="200"/>
      <c r="W157" s="200"/>
      <c r="X157" s="154" t="s">
        <v>590</v>
      </c>
      <c r="Y157" s="173">
        <f t="shared" si="130"/>
        <v>0</v>
      </c>
      <c r="Z157" s="83">
        <f t="shared" si="139"/>
        <v>0</v>
      </c>
      <c r="AA157" s="84">
        <f t="shared" si="128"/>
        <v>0</v>
      </c>
      <c r="AB157" s="84">
        <f t="shared" si="129"/>
        <v>0</v>
      </c>
      <c r="AC157" s="84">
        <f t="shared" si="140"/>
        <v>0</v>
      </c>
      <c r="AD157" s="84"/>
      <c r="AE157" s="84">
        <f t="shared" si="124"/>
        <v>0</v>
      </c>
      <c r="AF157" s="84">
        <f t="shared" si="137"/>
        <v>0</v>
      </c>
      <c r="AG157" s="94">
        <f t="shared" si="125"/>
        <v>0</v>
      </c>
      <c r="AH157" s="85">
        <f>IFERROR(VLOOKUP(A157,CUSTOMERS!$A:$E,4),"")</f>
        <v>-150</v>
      </c>
      <c r="AI157" s="86" t="str">
        <f t="shared" si="134"/>
        <v/>
      </c>
      <c r="AJ157" s="87">
        <f>IFERROR(VLOOKUP(A157,CUSTOMERS!$A:$F,5),"")</f>
        <v>0</v>
      </c>
      <c r="AK157" s="96"/>
      <c r="AL157" s="96">
        <v>0</v>
      </c>
      <c r="AM157" s="96">
        <v>0</v>
      </c>
      <c r="AN157" s="96"/>
      <c r="AO157" s="96">
        <v>0</v>
      </c>
      <c r="AP157" s="103">
        <f t="shared" si="141"/>
        <v>0</v>
      </c>
      <c r="AQ157" s="103">
        <f t="shared" si="132"/>
        <v>0</v>
      </c>
      <c r="AR157" s="68" t="str">
        <f>IFERROR(VLOOKUP(A157,CUSTOMERS!$A:$B,2),"")</f>
        <v>PRD</v>
      </c>
      <c r="AS157" s="68" t="str">
        <f>IFERROR(VLOOKUP(A157,CUSTOMERS!$A:$D,3),"")</f>
        <v>BLG</v>
      </c>
      <c r="AT157" s="68" t="str">
        <f>IFERROR(VLOOKUP(A157,CUSTOMERS!$A:$F,6),"")</f>
        <v>N</v>
      </c>
      <c r="AU157" s="69">
        <f>IFERROR(VLOOKUP(A157,CUSTOMERS!$A:$E,4),"")</f>
        <v>-150</v>
      </c>
      <c r="AV157" s="68" t="str">
        <f t="shared" si="127"/>
        <v/>
      </c>
      <c r="AX157" s="71" t="str">
        <f t="shared" si="143"/>
        <v>reason157</v>
      </c>
    </row>
    <row r="158" spans="1:50" ht="50.25" customHeight="1" thickTop="1" thickBot="1">
      <c r="A158" s="188" t="s">
        <v>27</v>
      </c>
      <c r="B158" s="125" t="str">
        <f t="shared" si="136"/>
        <v>N</v>
      </c>
      <c r="C158" s="125"/>
      <c r="D158" s="126">
        <v>12</v>
      </c>
      <c r="E158" s="126"/>
      <c r="F158" s="122" t="str">
        <f t="shared" si="135"/>
        <v>PRD-BLG-2021-00012</v>
      </c>
      <c r="G158" s="207" t="s">
        <v>339</v>
      </c>
      <c r="H158" s="124" t="s">
        <v>594</v>
      </c>
      <c r="I158" s="239"/>
      <c r="J158" s="80">
        <f t="shared" si="138"/>
        <v>0</v>
      </c>
      <c r="K158" s="177">
        <f t="shared" si="142"/>
        <v>44287</v>
      </c>
      <c r="L158" s="155">
        <v>44287</v>
      </c>
      <c r="M158" s="152"/>
      <c r="N158" s="147"/>
      <c r="O158" s="147"/>
      <c r="P158" s="153"/>
      <c r="Q158" s="201" t="s">
        <v>16</v>
      </c>
      <c r="R158" s="200" t="s">
        <v>78</v>
      </c>
      <c r="S158" s="200"/>
      <c r="T158" s="200"/>
      <c r="U158" s="200"/>
      <c r="V158" s="200"/>
      <c r="W158" s="200"/>
      <c r="X158" s="154" t="s">
        <v>590</v>
      </c>
      <c r="Y158" s="173">
        <f t="shared" si="130"/>
        <v>0</v>
      </c>
      <c r="Z158" s="83">
        <f t="shared" si="139"/>
        <v>0</v>
      </c>
      <c r="AA158" s="84">
        <f t="shared" si="128"/>
        <v>0</v>
      </c>
      <c r="AB158" s="84">
        <f t="shared" si="129"/>
        <v>0</v>
      </c>
      <c r="AC158" s="84">
        <f t="shared" si="140"/>
        <v>0</v>
      </c>
      <c r="AD158" s="84"/>
      <c r="AE158" s="84">
        <f t="shared" si="124"/>
        <v>0</v>
      </c>
      <c r="AF158" s="84">
        <f t="shared" si="137"/>
        <v>0</v>
      </c>
      <c r="AG158" s="94">
        <f t="shared" si="125"/>
        <v>0</v>
      </c>
      <c r="AH158" s="85">
        <f>IFERROR(VLOOKUP(A158,CUSTOMERS!$A:$E,4),"")</f>
        <v>-150</v>
      </c>
      <c r="AI158" s="86" t="str">
        <f t="shared" si="134"/>
        <v/>
      </c>
      <c r="AJ158" s="87">
        <f>IFERROR(VLOOKUP(A158,CUSTOMERS!$A:$F,5),"")</f>
        <v>0</v>
      </c>
      <c r="AK158" s="96"/>
      <c r="AL158" s="96">
        <v>0</v>
      </c>
      <c r="AM158" s="96">
        <v>0</v>
      </c>
      <c r="AN158" s="96"/>
      <c r="AO158" s="96">
        <v>0</v>
      </c>
      <c r="AP158" s="103">
        <f t="shared" si="141"/>
        <v>0</v>
      </c>
      <c r="AQ158" s="103">
        <f t="shared" si="132"/>
        <v>0</v>
      </c>
      <c r="AR158" s="68" t="str">
        <f>IFERROR(VLOOKUP(A158,CUSTOMERS!$A:$B,2),"")</f>
        <v>PRD</v>
      </c>
      <c r="AS158" s="68" t="str">
        <f>IFERROR(VLOOKUP(A158,CUSTOMERS!$A:$D,3),"")</f>
        <v>BLG</v>
      </c>
      <c r="AT158" s="68" t="str">
        <f>IFERROR(VLOOKUP(A158,CUSTOMERS!$A:$F,6),"")</f>
        <v>N</v>
      </c>
      <c r="AU158" s="69">
        <f>IFERROR(VLOOKUP(A158,CUSTOMERS!$A:$E,4),"")</f>
        <v>-150</v>
      </c>
      <c r="AV158" s="68" t="str">
        <f t="shared" si="127"/>
        <v/>
      </c>
      <c r="AX158" s="71" t="str">
        <f t="shared" si="143"/>
        <v>reason158</v>
      </c>
    </row>
    <row r="159" spans="1:50" ht="50.25" customHeight="1" thickTop="1" thickBot="1">
      <c r="A159" s="188" t="s">
        <v>27</v>
      </c>
      <c r="B159" s="125" t="str">
        <f t="shared" si="136"/>
        <v>N</v>
      </c>
      <c r="C159" s="125"/>
      <c r="D159" s="126">
        <v>13</v>
      </c>
      <c r="E159" s="126"/>
      <c r="F159" s="122" t="str">
        <f t="shared" si="135"/>
        <v>PRD-BLG-2021-00013</v>
      </c>
      <c r="G159" s="207" t="s">
        <v>339</v>
      </c>
      <c r="H159" s="124" t="s">
        <v>595</v>
      </c>
      <c r="I159" s="239"/>
      <c r="J159" s="80">
        <f t="shared" si="138"/>
        <v>0</v>
      </c>
      <c r="K159" s="177">
        <f t="shared" si="142"/>
        <v>44287</v>
      </c>
      <c r="L159" s="155">
        <v>44287</v>
      </c>
      <c r="M159" s="152"/>
      <c r="N159" s="147"/>
      <c r="O159" s="147"/>
      <c r="P159" s="153"/>
      <c r="Q159" s="201" t="s">
        <v>16</v>
      </c>
      <c r="R159" s="200" t="s">
        <v>78</v>
      </c>
      <c r="S159" s="200"/>
      <c r="T159" s="200"/>
      <c r="U159" s="200"/>
      <c r="V159" s="200"/>
      <c r="W159" s="200"/>
      <c r="X159" s="154" t="s">
        <v>590</v>
      </c>
      <c r="Y159" s="173">
        <f t="shared" si="130"/>
        <v>0</v>
      </c>
      <c r="Z159" s="83">
        <f t="shared" si="139"/>
        <v>0</v>
      </c>
      <c r="AA159" s="84">
        <f t="shared" si="128"/>
        <v>0</v>
      </c>
      <c r="AB159" s="84">
        <f t="shared" si="129"/>
        <v>0</v>
      </c>
      <c r="AC159" s="84">
        <f t="shared" si="140"/>
        <v>0</v>
      </c>
      <c r="AD159" s="84"/>
      <c r="AE159" s="84">
        <f t="shared" si="124"/>
        <v>0</v>
      </c>
      <c r="AF159" s="84">
        <f t="shared" si="137"/>
        <v>0</v>
      </c>
      <c r="AG159" s="94">
        <f t="shared" si="125"/>
        <v>0</v>
      </c>
      <c r="AH159" s="85">
        <f>IFERROR(VLOOKUP(A159,CUSTOMERS!$A:$E,4),"")</f>
        <v>-150</v>
      </c>
      <c r="AI159" s="86" t="str">
        <f t="shared" si="134"/>
        <v/>
      </c>
      <c r="AJ159" s="87">
        <f>IFERROR(VLOOKUP(A159,CUSTOMERS!$A:$F,5),"")</f>
        <v>0</v>
      </c>
      <c r="AK159" s="96"/>
      <c r="AL159" s="96">
        <v>0</v>
      </c>
      <c r="AM159" s="96">
        <v>0</v>
      </c>
      <c r="AN159" s="96"/>
      <c r="AO159" s="96">
        <v>0</v>
      </c>
      <c r="AP159" s="103">
        <f t="shared" si="141"/>
        <v>0</v>
      </c>
      <c r="AQ159" s="103">
        <f t="shared" si="132"/>
        <v>0</v>
      </c>
      <c r="AR159" s="68" t="str">
        <f>IFERROR(VLOOKUP(A159,CUSTOMERS!$A:$B,2),"")</f>
        <v>PRD</v>
      </c>
      <c r="AS159" s="68" t="str">
        <f>IFERROR(VLOOKUP(A159,CUSTOMERS!$A:$D,3),"")</f>
        <v>BLG</v>
      </c>
      <c r="AT159" s="68" t="str">
        <f>IFERROR(VLOOKUP(A159,CUSTOMERS!$A:$F,6),"")</f>
        <v>N</v>
      </c>
      <c r="AU159" s="69">
        <f>IFERROR(VLOOKUP(A159,CUSTOMERS!$A:$E,4),"")</f>
        <v>-150</v>
      </c>
      <c r="AV159" s="68" t="str">
        <f t="shared" si="127"/>
        <v/>
      </c>
      <c r="AX159" s="71" t="str">
        <f t="shared" si="143"/>
        <v>reason159</v>
      </c>
    </row>
    <row r="160" spans="1:50" ht="50.25" customHeight="1" thickTop="1" thickBot="1">
      <c r="A160" s="188" t="s">
        <v>27</v>
      </c>
      <c r="B160" s="125" t="str">
        <f t="shared" si="136"/>
        <v>N</v>
      </c>
      <c r="C160" s="125"/>
      <c r="D160" s="126">
        <v>14</v>
      </c>
      <c r="E160" s="126"/>
      <c r="F160" s="122" t="str">
        <f t="shared" si="135"/>
        <v>PRD-BLG-2021-00014</v>
      </c>
      <c r="G160" s="207" t="s">
        <v>339</v>
      </c>
      <c r="H160" s="124" t="s">
        <v>596</v>
      </c>
      <c r="I160" s="239"/>
      <c r="J160" s="80">
        <f t="shared" si="138"/>
        <v>0</v>
      </c>
      <c r="K160" s="177">
        <f t="shared" si="142"/>
        <v>44287</v>
      </c>
      <c r="L160" s="155">
        <v>44287</v>
      </c>
      <c r="M160" s="152"/>
      <c r="N160" s="147"/>
      <c r="O160" s="147"/>
      <c r="P160" s="153"/>
      <c r="Q160" s="201" t="s">
        <v>16</v>
      </c>
      <c r="R160" s="200" t="s">
        <v>78</v>
      </c>
      <c r="S160" s="200"/>
      <c r="T160" s="200"/>
      <c r="U160" s="200"/>
      <c r="V160" s="200"/>
      <c r="W160" s="200"/>
      <c r="X160" s="154" t="s">
        <v>590</v>
      </c>
      <c r="Y160" s="173">
        <f t="shared" si="130"/>
        <v>0</v>
      </c>
      <c r="Z160" s="83">
        <f t="shared" si="139"/>
        <v>0</v>
      </c>
      <c r="AA160" s="84">
        <f t="shared" si="128"/>
        <v>0</v>
      </c>
      <c r="AB160" s="84">
        <f t="shared" si="129"/>
        <v>0</v>
      </c>
      <c r="AC160" s="84">
        <f t="shared" si="140"/>
        <v>0</v>
      </c>
      <c r="AD160" s="84"/>
      <c r="AE160" s="84">
        <f t="shared" si="124"/>
        <v>0</v>
      </c>
      <c r="AF160" s="84">
        <f t="shared" si="137"/>
        <v>0</v>
      </c>
      <c r="AG160" s="94">
        <f t="shared" si="125"/>
        <v>0</v>
      </c>
      <c r="AH160" s="85">
        <f>IFERROR(VLOOKUP(A160,CUSTOMERS!$A:$E,4),"")</f>
        <v>-150</v>
      </c>
      <c r="AI160" s="86" t="str">
        <f t="shared" si="134"/>
        <v/>
      </c>
      <c r="AJ160" s="87">
        <f>IFERROR(VLOOKUP(A160,CUSTOMERS!$A:$F,5),"")</f>
        <v>0</v>
      </c>
      <c r="AK160" s="96"/>
      <c r="AL160" s="96">
        <v>0</v>
      </c>
      <c r="AM160" s="96">
        <v>0</v>
      </c>
      <c r="AN160" s="96"/>
      <c r="AO160" s="96">
        <v>0</v>
      </c>
      <c r="AP160" s="103">
        <f t="shared" si="141"/>
        <v>0</v>
      </c>
      <c r="AQ160" s="103">
        <f t="shared" si="132"/>
        <v>0</v>
      </c>
      <c r="AR160" s="68" t="str">
        <f>IFERROR(VLOOKUP(A160,CUSTOMERS!$A:$B,2),"")</f>
        <v>PRD</v>
      </c>
      <c r="AS160" s="68" t="str">
        <f>IFERROR(VLOOKUP(A160,CUSTOMERS!$A:$D,3),"")</f>
        <v>BLG</v>
      </c>
      <c r="AT160" s="68" t="str">
        <f>IFERROR(VLOOKUP(A160,CUSTOMERS!$A:$F,6),"")</f>
        <v>N</v>
      </c>
      <c r="AU160" s="69">
        <f>IFERROR(VLOOKUP(A160,CUSTOMERS!$A:$E,4),"")</f>
        <v>-150</v>
      </c>
      <c r="AV160" s="68" t="str">
        <f t="shared" si="127"/>
        <v/>
      </c>
      <c r="AX160" s="71" t="str">
        <f t="shared" si="143"/>
        <v>reason160</v>
      </c>
    </row>
    <row r="161" spans="1:50" ht="50.25" customHeight="1" thickTop="1" thickBot="1">
      <c r="A161" s="188" t="s">
        <v>27</v>
      </c>
      <c r="B161" s="125" t="str">
        <f t="shared" si="136"/>
        <v>N</v>
      </c>
      <c r="C161" s="125"/>
      <c r="D161" s="126">
        <v>15</v>
      </c>
      <c r="E161" s="126"/>
      <c r="F161" s="122" t="str">
        <f t="shared" si="135"/>
        <v>PRD-BLG-2021-00015</v>
      </c>
      <c r="G161" s="123" t="s">
        <v>291</v>
      </c>
      <c r="H161" s="124" t="s">
        <v>597</v>
      </c>
      <c r="I161" s="239"/>
      <c r="J161" s="220">
        <f t="shared" si="138"/>
        <v>0</v>
      </c>
      <c r="K161" s="177">
        <f t="shared" si="142"/>
        <v>44287</v>
      </c>
      <c r="L161" s="155">
        <v>44287</v>
      </c>
      <c r="M161" s="152"/>
      <c r="N161" s="147"/>
      <c r="O161" s="147"/>
      <c r="P161" s="153"/>
      <c r="Q161" s="221" t="s">
        <v>16</v>
      </c>
      <c r="R161" s="222" t="s">
        <v>78</v>
      </c>
      <c r="S161" s="200"/>
      <c r="T161" s="200"/>
      <c r="U161" s="200"/>
      <c r="V161" s="200"/>
      <c r="W161" s="200"/>
      <c r="X161" s="154" t="s">
        <v>590</v>
      </c>
      <c r="Y161" s="173">
        <f t="shared" si="130"/>
        <v>0</v>
      </c>
      <c r="Z161" s="83">
        <f t="shared" si="139"/>
        <v>0</v>
      </c>
      <c r="AA161" s="84">
        <f t="shared" si="128"/>
        <v>0</v>
      </c>
      <c r="AB161" s="84">
        <f t="shared" si="129"/>
        <v>0</v>
      </c>
      <c r="AC161" s="84">
        <f t="shared" si="140"/>
        <v>0</v>
      </c>
      <c r="AD161" s="84"/>
      <c r="AE161" s="84">
        <f t="shared" si="124"/>
        <v>0</v>
      </c>
      <c r="AF161" s="84">
        <f t="shared" si="137"/>
        <v>0</v>
      </c>
      <c r="AG161" s="94">
        <f t="shared" si="125"/>
        <v>0</v>
      </c>
      <c r="AH161" s="85">
        <f>IFERROR(VLOOKUP(A161,CUSTOMERS!$A:$E,4),"")</f>
        <v>-150</v>
      </c>
      <c r="AI161" s="86" t="str">
        <f t="shared" si="134"/>
        <v/>
      </c>
      <c r="AJ161" s="87">
        <f>IFERROR(VLOOKUP(A161,CUSTOMERS!$A:$F,5),"")</f>
        <v>0</v>
      </c>
      <c r="AK161" s="96"/>
      <c r="AL161" s="96">
        <v>0</v>
      </c>
      <c r="AM161" s="96">
        <v>0</v>
      </c>
      <c r="AN161" s="96"/>
      <c r="AO161" s="96">
        <v>0</v>
      </c>
      <c r="AP161" s="103">
        <f t="shared" si="141"/>
        <v>0</v>
      </c>
      <c r="AQ161" s="103">
        <f t="shared" si="132"/>
        <v>0</v>
      </c>
      <c r="AR161" s="68" t="str">
        <f>IFERROR(VLOOKUP(A161,CUSTOMERS!$A:$B,2),"")</f>
        <v>PRD</v>
      </c>
      <c r="AS161" s="68" t="str">
        <f>IFERROR(VLOOKUP(A161,CUSTOMERS!$A:$D,3),"")</f>
        <v>BLG</v>
      </c>
      <c r="AT161" s="68" t="str">
        <f>IFERROR(VLOOKUP(A161,CUSTOMERS!$A:$F,6),"")</f>
        <v>N</v>
      </c>
      <c r="AU161" s="69">
        <f>IFERROR(VLOOKUP(A161,CUSTOMERS!$A:$E,4),"")</f>
        <v>-150</v>
      </c>
      <c r="AV161" s="68" t="str">
        <f t="shared" si="127"/>
        <v/>
      </c>
      <c r="AX161" s="71" t="str">
        <f t="shared" si="143"/>
        <v>reason161</v>
      </c>
    </row>
    <row r="162" spans="1:50" ht="50.25" customHeight="1" thickTop="1" thickBot="1">
      <c r="A162" s="188" t="s">
        <v>50</v>
      </c>
      <c r="B162" s="125" t="str">
        <f t="shared" si="136"/>
        <v>N</v>
      </c>
      <c r="C162" s="125"/>
      <c r="D162" s="126">
        <v>16</v>
      </c>
      <c r="E162" s="126"/>
      <c r="F162" s="122" t="str">
        <f t="shared" si="135"/>
        <v>PRD-REQ-2021-00016</v>
      </c>
      <c r="G162" s="123" t="s">
        <v>29</v>
      </c>
      <c r="H162" s="216" t="s">
        <v>86</v>
      </c>
      <c r="I162" s="240"/>
      <c r="J162" s="227">
        <f t="shared" si="138"/>
        <v>0</v>
      </c>
      <c r="K162" s="218">
        <f t="shared" si="142"/>
        <v>44287</v>
      </c>
      <c r="L162" s="155">
        <v>44287</v>
      </c>
      <c r="M162" s="152"/>
      <c r="N162" s="147"/>
      <c r="O162" s="147"/>
      <c r="P162" s="217"/>
      <c r="Q162" s="213" t="s">
        <v>16</v>
      </c>
      <c r="R162" s="230" t="s">
        <v>78</v>
      </c>
      <c r="S162" s="229" t="s">
        <v>308</v>
      </c>
      <c r="T162" s="200"/>
      <c r="U162" s="200"/>
      <c r="V162" s="200"/>
      <c r="W162" s="200"/>
      <c r="X162" s="154" t="s">
        <v>590</v>
      </c>
      <c r="Y162" s="173">
        <f t="shared" si="130"/>
        <v>0</v>
      </c>
      <c r="Z162" s="83">
        <f t="shared" si="139"/>
        <v>0</v>
      </c>
      <c r="AA162" s="84">
        <f t="shared" si="128"/>
        <v>0</v>
      </c>
      <c r="AB162" s="84">
        <f t="shared" si="129"/>
        <v>0</v>
      </c>
      <c r="AC162" s="84">
        <f t="shared" si="140"/>
        <v>0</v>
      </c>
      <c r="AD162" s="84"/>
      <c r="AE162" s="84">
        <f t="shared" si="124"/>
        <v>0</v>
      </c>
      <c r="AF162" s="84">
        <f t="shared" si="137"/>
        <v>0</v>
      </c>
      <c r="AG162" s="94">
        <f t="shared" si="125"/>
        <v>0</v>
      </c>
      <c r="AH162" s="85">
        <f>IFERROR(VLOOKUP(A162,CUSTOMERS!$A:$E,4),"")</f>
        <v>-150</v>
      </c>
      <c r="AI162" s="86" t="str">
        <f t="shared" si="134"/>
        <v/>
      </c>
      <c r="AJ162" s="87">
        <f>IFERROR(VLOOKUP(A162,CUSTOMERS!$A:$F,5),"")</f>
        <v>0</v>
      </c>
      <c r="AK162" s="96"/>
      <c r="AL162" s="96">
        <v>0</v>
      </c>
      <c r="AM162" s="96">
        <v>0</v>
      </c>
      <c r="AN162" s="96"/>
      <c r="AO162" s="96">
        <v>0</v>
      </c>
      <c r="AP162" s="103">
        <f t="shared" si="141"/>
        <v>0</v>
      </c>
      <c r="AQ162" s="103">
        <f t="shared" si="132"/>
        <v>0</v>
      </c>
      <c r="AR162" s="68" t="str">
        <f>IFERROR(VLOOKUP(A162,CUSTOMERS!$A:$B,2),"")</f>
        <v>PRD</v>
      </c>
      <c r="AS162" s="68" t="str">
        <f>IFERROR(VLOOKUP(A162,CUSTOMERS!$A:$D,3),"")</f>
        <v>REQ</v>
      </c>
      <c r="AT162" s="68" t="str">
        <f>IFERROR(VLOOKUP(A162,CUSTOMERS!$A:$F,6),"")</f>
        <v>N</v>
      </c>
      <c r="AU162" s="69">
        <f>IFERROR(VLOOKUP(A162,CUSTOMERS!$A:$E,4),"")</f>
        <v>-150</v>
      </c>
      <c r="AV162" s="68" t="str">
        <f t="shared" si="127"/>
        <v/>
      </c>
      <c r="AX162" s="71" t="str">
        <f t="shared" si="143"/>
        <v>reason162</v>
      </c>
    </row>
    <row r="163" spans="1:50" ht="50.25" customHeight="1" thickTop="1" thickBot="1">
      <c r="A163" s="188" t="s">
        <v>27</v>
      </c>
      <c r="B163" s="125" t="str">
        <f t="shared" si="136"/>
        <v>N</v>
      </c>
      <c r="C163" s="125"/>
      <c r="D163" s="126">
        <v>17</v>
      </c>
      <c r="E163" s="126"/>
      <c r="F163" s="122" t="str">
        <f t="shared" si="135"/>
        <v>PRD-BLG-2021-00017</v>
      </c>
      <c r="G163" s="123" t="s">
        <v>29</v>
      </c>
      <c r="H163" s="216" t="s">
        <v>598</v>
      </c>
      <c r="I163" s="240"/>
      <c r="J163" s="233">
        <f t="shared" si="138"/>
        <v>0</v>
      </c>
      <c r="K163" s="218">
        <f t="shared" si="142"/>
        <v>44302</v>
      </c>
      <c r="L163" s="155">
        <v>44302</v>
      </c>
      <c r="M163" s="152"/>
      <c r="N163" s="147"/>
      <c r="O163" s="147"/>
      <c r="P163" s="217"/>
      <c r="Q163" s="234" t="s">
        <v>18</v>
      </c>
      <c r="R163" s="213" t="s">
        <v>31</v>
      </c>
      <c r="S163" s="201" t="s">
        <v>308</v>
      </c>
      <c r="T163" s="199"/>
      <c r="U163" s="199"/>
      <c r="V163" s="199"/>
      <c r="W163" s="199"/>
      <c r="X163" s="154" t="s">
        <v>599</v>
      </c>
      <c r="Y163" s="173">
        <f t="shared" si="130"/>
        <v>0</v>
      </c>
      <c r="Z163" s="83">
        <f t="shared" si="139"/>
        <v>0</v>
      </c>
      <c r="AA163" s="84">
        <f t="shared" si="128"/>
        <v>0</v>
      </c>
      <c r="AB163" s="84">
        <f t="shared" si="129"/>
        <v>0</v>
      </c>
      <c r="AC163" s="84">
        <f t="shared" si="140"/>
        <v>0</v>
      </c>
      <c r="AD163" s="84"/>
      <c r="AE163" s="84">
        <f t="shared" ref="AE163:AE226" si="144">IFERROR((AO163*AH163)*7.5,"")</f>
        <v>0</v>
      </c>
      <c r="AF163" s="84">
        <f t="shared" si="137"/>
        <v>0</v>
      </c>
      <c r="AG163" s="94">
        <f t="shared" ref="AG163:AG226" si="145">IFERROR((AQ163*AH163)*7.5,"")</f>
        <v>0</v>
      </c>
      <c r="AH163" s="85">
        <f>IFERROR(VLOOKUP(A163,CUSTOMERS!$A:$E,4),"")</f>
        <v>-150</v>
      </c>
      <c r="AI163" s="86" t="str">
        <f t="shared" si="134"/>
        <v/>
      </c>
      <c r="AJ163" s="87">
        <f>IFERROR(VLOOKUP(A163,CUSTOMERS!$A:$F,5),"")</f>
        <v>0</v>
      </c>
      <c r="AK163" s="96"/>
      <c r="AL163" s="96">
        <v>0</v>
      </c>
      <c r="AM163" s="96">
        <v>0</v>
      </c>
      <c r="AN163" s="96"/>
      <c r="AO163" s="96">
        <v>0</v>
      </c>
      <c r="AP163" s="103">
        <f t="shared" si="141"/>
        <v>0</v>
      </c>
      <c r="AQ163" s="103">
        <f t="shared" si="132"/>
        <v>0</v>
      </c>
      <c r="AR163" s="68" t="str">
        <f>IFERROR(VLOOKUP(A163,CUSTOMERS!$A:$B,2),"")</f>
        <v>PRD</v>
      </c>
      <c r="AS163" s="68" t="str">
        <f>IFERROR(VLOOKUP(A163,CUSTOMERS!$A:$D,3),"")</f>
        <v>BLG</v>
      </c>
      <c r="AT163" s="68" t="str">
        <f>IFERROR(VLOOKUP(A163,CUSTOMERS!$A:$F,6),"")</f>
        <v>N</v>
      </c>
      <c r="AU163" s="69">
        <f>IFERROR(VLOOKUP(A163,CUSTOMERS!$A:$E,4),"")</f>
        <v>-150</v>
      </c>
      <c r="AV163" s="68" t="str">
        <f t="shared" si="127"/>
        <v/>
      </c>
      <c r="AX163" s="71" t="str">
        <f t="shared" si="143"/>
        <v>reason163</v>
      </c>
    </row>
    <row r="164" spans="1:50" ht="50.25" customHeight="1" thickTop="1" thickBot="1">
      <c r="A164" s="188" t="s">
        <v>27</v>
      </c>
      <c r="B164" s="125" t="str">
        <f t="shared" si="136"/>
        <v>N</v>
      </c>
      <c r="C164" s="125"/>
      <c r="D164" s="126">
        <v>18</v>
      </c>
      <c r="E164" s="126"/>
      <c r="F164" s="122" t="str">
        <f t="shared" si="135"/>
        <v>PRD-BLG-2021-00018</v>
      </c>
      <c r="G164" s="123" t="s">
        <v>29</v>
      </c>
      <c r="H164" s="216" t="s">
        <v>90</v>
      </c>
      <c r="I164" s="240"/>
      <c r="J164" s="227">
        <f t="shared" si="138"/>
        <v>0</v>
      </c>
      <c r="K164" s="218">
        <f t="shared" si="142"/>
        <v>44305</v>
      </c>
      <c r="L164" s="155">
        <v>44305</v>
      </c>
      <c r="M164" s="152"/>
      <c r="N164" s="147"/>
      <c r="O164" s="147"/>
      <c r="P164" s="217"/>
      <c r="Q164" s="213" t="s">
        <v>18</v>
      </c>
      <c r="R164" s="213" t="s">
        <v>31</v>
      </c>
      <c r="S164" s="201" t="s">
        <v>313</v>
      </c>
      <c r="T164" s="199"/>
      <c r="U164" s="199"/>
      <c r="V164" s="199"/>
      <c r="W164" s="199"/>
      <c r="X164" s="154" t="s">
        <v>600</v>
      </c>
      <c r="Y164" s="173">
        <f t="shared" si="130"/>
        <v>0</v>
      </c>
      <c r="Z164" s="83">
        <f t="shared" si="139"/>
        <v>0</v>
      </c>
      <c r="AA164" s="84">
        <f t="shared" si="128"/>
        <v>0</v>
      </c>
      <c r="AB164" s="84">
        <f t="shared" si="129"/>
        <v>0</v>
      </c>
      <c r="AC164" s="84">
        <f t="shared" si="140"/>
        <v>0</v>
      </c>
      <c r="AD164" s="84"/>
      <c r="AE164" s="84">
        <f t="shared" si="144"/>
        <v>0</v>
      </c>
      <c r="AF164" s="84">
        <f t="shared" si="137"/>
        <v>0</v>
      </c>
      <c r="AG164" s="94">
        <f t="shared" si="145"/>
        <v>0</v>
      </c>
      <c r="AH164" s="85">
        <f>IFERROR(VLOOKUP(A164,CUSTOMERS!$A:$E,4),"")</f>
        <v>-150</v>
      </c>
      <c r="AI164" s="86" t="str">
        <f t="shared" si="134"/>
        <v/>
      </c>
      <c r="AJ164" s="87">
        <f>IFERROR(VLOOKUP(A164,CUSTOMERS!$A:$F,5),"")</f>
        <v>0</v>
      </c>
      <c r="AK164" s="96"/>
      <c r="AL164" s="96">
        <v>0</v>
      </c>
      <c r="AM164" s="96">
        <v>0</v>
      </c>
      <c r="AN164" s="96"/>
      <c r="AO164" s="96">
        <v>0</v>
      </c>
      <c r="AP164" s="103">
        <f t="shared" si="141"/>
        <v>0</v>
      </c>
      <c r="AQ164" s="103">
        <f t="shared" si="132"/>
        <v>0</v>
      </c>
      <c r="AR164" s="68" t="str">
        <f>IFERROR(VLOOKUP(A164,CUSTOMERS!$A:$B,2),"")</f>
        <v>PRD</v>
      </c>
      <c r="AS164" s="68" t="str">
        <f>IFERROR(VLOOKUP(A164,CUSTOMERS!$A:$D,3),"")</f>
        <v>BLG</v>
      </c>
      <c r="AT164" s="68" t="str">
        <f>IFERROR(VLOOKUP(A164,CUSTOMERS!$A:$F,6),"")</f>
        <v>N</v>
      </c>
      <c r="AU164" s="69">
        <f>IFERROR(VLOOKUP(A164,CUSTOMERS!$A:$E,4),"")</f>
        <v>-150</v>
      </c>
      <c r="AV164" s="68" t="str">
        <f t="shared" si="127"/>
        <v/>
      </c>
      <c r="AX164" s="71" t="str">
        <f t="shared" si="143"/>
        <v>reason164</v>
      </c>
    </row>
    <row r="165" spans="1:50" ht="50.25" customHeight="1" thickTop="1" thickBot="1">
      <c r="A165" s="188" t="s">
        <v>27</v>
      </c>
      <c r="B165" s="125" t="str">
        <f t="shared" si="136"/>
        <v>N</v>
      </c>
      <c r="C165" s="125"/>
      <c r="D165" s="126">
        <v>19</v>
      </c>
      <c r="E165" s="126"/>
      <c r="F165" s="122" t="str">
        <f t="shared" si="135"/>
        <v>PRD-BLG-2021-00019</v>
      </c>
      <c r="G165" s="123" t="s">
        <v>200</v>
      </c>
      <c r="H165" s="124" t="s">
        <v>601</v>
      </c>
      <c r="I165" s="239"/>
      <c r="J165" s="224">
        <f t="shared" si="138"/>
        <v>-5625</v>
      </c>
      <c r="K165" s="177">
        <f t="shared" si="142"/>
        <v>44307</v>
      </c>
      <c r="L165" s="155">
        <v>44307</v>
      </c>
      <c r="M165" s="152"/>
      <c r="N165" s="147"/>
      <c r="O165" s="147"/>
      <c r="P165" s="153"/>
      <c r="Q165" s="225" t="s">
        <v>12</v>
      </c>
      <c r="R165" s="226" t="s">
        <v>4</v>
      </c>
      <c r="S165" s="210"/>
      <c r="T165" s="210"/>
      <c r="U165" s="210"/>
      <c r="V165" s="210"/>
      <c r="W165" s="210"/>
      <c r="X165" s="154" t="s">
        <v>602</v>
      </c>
      <c r="Y165" s="173">
        <f t="shared" si="130"/>
        <v>-5625</v>
      </c>
      <c r="Z165" s="83">
        <f t="shared" si="139"/>
        <v>-688.77551020408168</v>
      </c>
      <c r="AA165" s="84">
        <f t="shared" si="128"/>
        <v>-2640.3061224489797</v>
      </c>
      <c r="AB165" s="84">
        <f t="shared" si="129"/>
        <v>-918.36734693877543</v>
      </c>
      <c r="AC165" s="84">
        <f t="shared" si="140"/>
        <v>-688.77551020408168</v>
      </c>
      <c r="AD165" s="84"/>
      <c r="AE165" s="84">
        <f t="shared" si="144"/>
        <v>-688.77551020408168</v>
      </c>
      <c r="AF165" s="84">
        <f t="shared" si="137"/>
        <v>-5625</v>
      </c>
      <c r="AG165" s="94">
        <f t="shared" si="145"/>
        <v>0</v>
      </c>
      <c r="AH165" s="85">
        <f>IFERROR(VLOOKUP(A165,CUSTOMERS!$A:$E,4),"")</f>
        <v>-150</v>
      </c>
      <c r="AI165" s="86" t="str">
        <f t="shared" si="134"/>
        <v/>
      </c>
      <c r="AJ165" s="87">
        <f>IFERROR(VLOOKUP(A165,CUSTOMERS!$A:$F,5),"")</f>
        <v>0</v>
      </c>
      <c r="AK165" s="96">
        <v>0.61224489795918369</v>
      </c>
      <c r="AL165" s="96">
        <v>2.3469387755102042</v>
      </c>
      <c r="AM165" s="96">
        <v>0.81632653061224481</v>
      </c>
      <c r="AN165" s="96">
        <v>0.61224489795918369</v>
      </c>
      <c r="AO165" s="96">
        <v>0.61224489795918369</v>
      </c>
      <c r="AP165" s="103">
        <f t="shared" si="141"/>
        <v>5.0000000000000009</v>
      </c>
      <c r="AQ165" s="103">
        <f t="shared" si="132"/>
        <v>0</v>
      </c>
      <c r="AR165" s="68" t="str">
        <f>IFERROR(VLOOKUP(A165,CUSTOMERS!$A:$B,2),"")</f>
        <v>PRD</v>
      </c>
      <c r="AS165" s="68" t="str">
        <f>IFERROR(VLOOKUP(A165,CUSTOMERS!$A:$D,3),"")</f>
        <v>BLG</v>
      </c>
      <c r="AT165" s="68" t="str">
        <f>IFERROR(VLOOKUP(A165,CUSTOMERS!$A:$F,6),"")</f>
        <v>N</v>
      </c>
      <c r="AU165" s="69">
        <f>IFERROR(VLOOKUP(A165,CUSTOMERS!$A:$E,4),"")</f>
        <v>-150</v>
      </c>
      <c r="AV165" s="68" t="str">
        <f t="shared" si="127"/>
        <v/>
      </c>
      <c r="AX165" s="71" t="str">
        <f t="shared" si="143"/>
        <v>reason165</v>
      </c>
    </row>
    <row r="166" spans="1:50" ht="50.25" customHeight="1" thickTop="1" thickBot="1">
      <c r="A166" s="188" t="s">
        <v>27</v>
      </c>
      <c r="B166" s="125" t="str">
        <f t="shared" si="136"/>
        <v>N</v>
      </c>
      <c r="C166" s="125"/>
      <c r="D166" s="126">
        <v>20</v>
      </c>
      <c r="E166" s="126"/>
      <c r="F166" s="122" t="str">
        <f t="shared" si="135"/>
        <v>PRD-BLG-2021-00020</v>
      </c>
      <c r="G166" s="123" t="s">
        <v>200</v>
      </c>
      <c r="H166" s="124" t="s">
        <v>603</v>
      </c>
      <c r="I166" s="239"/>
      <c r="J166" s="80">
        <f t="shared" si="138"/>
        <v>-4218.75</v>
      </c>
      <c r="K166" s="177">
        <f t="shared" si="142"/>
        <v>44307</v>
      </c>
      <c r="L166" s="155">
        <v>44307</v>
      </c>
      <c r="M166" s="152"/>
      <c r="N166" s="147"/>
      <c r="O166" s="147"/>
      <c r="P166" s="153"/>
      <c r="Q166" s="201" t="s">
        <v>12</v>
      </c>
      <c r="R166" s="199" t="s">
        <v>4</v>
      </c>
      <c r="S166" s="210"/>
      <c r="T166" s="210"/>
      <c r="U166" s="210"/>
      <c r="V166" s="210"/>
      <c r="W166" s="210"/>
      <c r="X166" s="154" t="s">
        <v>604</v>
      </c>
      <c r="Y166" s="173">
        <f t="shared" si="130"/>
        <v>-4218.75</v>
      </c>
      <c r="Z166" s="83">
        <f t="shared" si="139"/>
        <v>-516.58163265306121</v>
      </c>
      <c r="AA166" s="84">
        <f t="shared" si="128"/>
        <v>-1980.2295918367347</v>
      </c>
      <c r="AB166" s="84">
        <f t="shared" si="129"/>
        <v>-688.77551020408146</v>
      </c>
      <c r="AC166" s="84">
        <f t="shared" si="140"/>
        <v>-516.58163265306121</v>
      </c>
      <c r="AD166" s="84"/>
      <c r="AE166" s="84">
        <f t="shared" si="144"/>
        <v>-516.58163265306121</v>
      </c>
      <c r="AF166" s="84">
        <f t="shared" si="137"/>
        <v>-4218.75</v>
      </c>
      <c r="AG166" s="94">
        <f t="shared" si="145"/>
        <v>0</v>
      </c>
      <c r="AH166" s="85">
        <f>IFERROR(VLOOKUP(A166,CUSTOMERS!$A:$E,4),"")</f>
        <v>-150</v>
      </c>
      <c r="AI166" s="86" t="str">
        <f t="shared" si="134"/>
        <v/>
      </c>
      <c r="AJ166" s="87">
        <f>IFERROR(VLOOKUP(A166,CUSTOMERS!$A:$F,5),"")</f>
        <v>0</v>
      </c>
      <c r="AK166" s="183">
        <v>0.45918367346938777</v>
      </c>
      <c r="AL166" s="183">
        <v>1.7602040816326532</v>
      </c>
      <c r="AM166" s="183">
        <v>0.61224489795918358</v>
      </c>
      <c r="AN166" s="183">
        <v>0.45918367346938777</v>
      </c>
      <c r="AO166" s="183">
        <v>0.45918367346938777</v>
      </c>
      <c r="AP166" s="103">
        <f t="shared" si="141"/>
        <v>3.75</v>
      </c>
      <c r="AQ166" s="103">
        <f t="shared" si="132"/>
        <v>0</v>
      </c>
      <c r="AR166" s="68" t="str">
        <f>IFERROR(VLOOKUP(A166,CUSTOMERS!$A:$B,2),"")</f>
        <v>PRD</v>
      </c>
      <c r="AS166" s="68" t="str">
        <f>IFERROR(VLOOKUP(A166,CUSTOMERS!$A:$D,3),"")</f>
        <v>BLG</v>
      </c>
      <c r="AT166" s="68" t="str">
        <f>IFERROR(VLOOKUP(A166,CUSTOMERS!$A:$F,6),"")</f>
        <v>N</v>
      </c>
      <c r="AU166" s="69">
        <f>IFERROR(VLOOKUP(A166,CUSTOMERS!$A:$E,4),"")</f>
        <v>-150</v>
      </c>
      <c r="AV166" s="68" t="str">
        <f t="shared" si="127"/>
        <v/>
      </c>
      <c r="AX166" s="71" t="str">
        <f t="shared" si="143"/>
        <v>reason166</v>
      </c>
    </row>
    <row r="167" spans="1:50" ht="50.25" customHeight="1" thickTop="1" thickBot="1">
      <c r="A167" s="188" t="s">
        <v>27</v>
      </c>
      <c r="B167" s="125" t="str">
        <f t="shared" si="136"/>
        <v>N</v>
      </c>
      <c r="C167" s="125"/>
      <c r="D167" s="126">
        <v>21</v>
      </c>
      <c r="E167" s="126"/>
      <c r="F167" s="122" t="str">
        <f t="shared" si="135"/>
        <v>PRD-BLG-2021-00021</v>
      </c>
      <c r="G167" s="123" t="s">
        <v>200</v>
      </c>
      <c r="H167" s="124" t="s">
        <v>605</v>
      </c>
      <c r="I167" s="239"/>
      <c r="J167" s="80">
        <f t="shared" si="138"/>
        <v>-5625</v>
      </c>
      <c r="K167" s="177">
        <f t="shared" si="142"/>
        <v>44307</v>
      </c>
      <c r="L167" s="155">
        <v>44307</v>
      </c>
      <c r="M167" s="152"/>
      <c r="N167" s="147"/>
      <c r="O167" s="147"/>
      <c r="P167" s="153"/>
      <c r="Q167" s="201" t="s">
        <v>12</v>
      </c>
      <c r="R167" s="199" t="s">
        <v>4</v>
      </c>
      <c r="S167" s="210"/>
      <c r="T167" s="210"/>
      <c r="U167" s="210"/>
      <c r="V167" s="210"/>
      <c r="W167" s="210"/>
      <c r="X167" s="154" t="s">
        <v>606</v>
      </c>
      <c r="Y167" s="173">
        <f t="shared" si="130"/>
        <v>-5625</v>
      </c>
      <c r="Z167" s="83">
        <f t="shared" si="139"/>
        <v>-688.77551020408168</v>
      </c>
      <c r="AA167" s="84">
        <f t="shared" si="128"/>
        <v>-2640.3061224489797</v>
      </c>
      <c r="AB167" s="84">
        <f t="shared" si="129"/>
        <v>-918.36734693877543</v>
      </c>
      <c r="AC167" s="84">
        <f t="shared" si="140"/>
        <v>-688.77551020408168</v>
      </c>
      <c r="AD167" s="84"/>
      <c r="AE167" s="84">
        <f t="shared" si="144"/>
        <v>-688.77551020408168</v>
      </c>
      <c r="AF167" s="84">
        <f t="shared" si="137"/>
        <v>-5625</v>
      </c>
      <c r="AG167" s="94">
        <f t="shared" si="145"/>
        <v>0</v>
      </c>
      <c r="AH167" s="85">
        <f>IFERROR(VLOOKUP(A167,CUSTOMERS!$A:$E,4),"")</f>
        <v>-150</v>
      </c>
      <c r="AI167" s="86" t="str">
        <f t="shared" si="134"/>
        <v/>
      </c>
      <c r="AJ167" s="87">
        <f>IFERROR(VLOOKUP(A167,CUSTOMERS!$A:$F,5),"")</f>
        <v>0</v>
      </c>
      <c r="AK167" s="96">
        <v>0.61224489795918369</v>
      </c>
      <c r="AL167" s="96">
        <v>2.3469387755102042</v>
      </c>
      <c r="AM167" s="96">
        <v>0.81632653061224481</v>
      </c>
      <c r="AN167" s="96">
        <v>0.61224489795918369</v>
      </c>
      <c r="AO167" s="96">
        <v>0.61224489795918369</v>
      </c>
      <c r="AP167" s="103">
        <f t="shared" si="141"/>
        <v>5.0000000000000009</v>
      </c>
      <c r="AQ167" s="103">
        <f t="shared" si="132"/>
        <v>0</v>
      </c>
      <c r="AR167" s="68" t="str">
        <f>IFERROR(VLOOKUP(A167,CUSTOMERS!$A:$B,2),"")</f>
        <v>PRD</v>
      </c>
      <c r="AS167" s="68" t="str">
        <f>IFERROR(VLOOKUP(A167,CUSTOMERS!$A:$D,3),"")</f>
        <v>BLG</v>
      </c>
      <c r="AT167" s="68" t="str">
        <f>IFERROR(VLOOKUP(A167,CUSTOMERS!$A:$F,6),"")</f>
        <v>N</v>
      </c>
      <c r="AU167" s="69">
        <f>IFERROR(VLOOKUP(A167,CUSTOMERS!$A:$E,4),"")</f>
        <v>-150</v>
      </c>
      <c r="AV167" s="68" t="str">
        <f t="shared" si="127"/>
        <v/>
      </c>
      <c r="AX167" s="71" t="str">
        <f t="shared" si="143"/>
        <v>reason167</v>
      </c>
    </row>
    <row r="168" spans="1:50" ht="50.25" customHeight="1" thickTop="1" thickBot="1">
      <c r="A168" s="188" t="s">
        <v>27</v>
      </c>
      <c r="B168" s="125" t="str">
        <f t="shared" si="136"/>
        <v>N</v>
      </c>
      <c r="C168" s="125"/>
      <c r="D168" s="126">
        <v>22</v>
      </c>
      <c r="E168" s="126"/>
      <c r="F168" s="122" t="str">
        <f t="shared" si="135"/>
        <v>PRD-BLG-2021-00022</v>
      </c>
      <c r="G168" s="123" t="s">
        <v>200</v>
      </c>
      <c r="H168" s="124" t="s">
        <v>607</v>
      </c>
      <c r="I168" s="239"/>
      <c r="J168" s="80">
        <f t="shared" si="138"/>
        <v>-2812.5</v>
      </c>
      <c r="K168" s="177">
        <f t="shared" si="142"/>
        <v>44307</v>
      </c>
      <c r="L168" s="155">
        <v>44307</v>
      </c>
      <c r="M168" s="152"/>
      <c r="N168" s="147"/>
      <c r="O168" s="147"/>
      <c r="P168" s="153"/>
      <c r="Q168" s="201" t="s">
        <v>12</v>
      </c>
      <c r="R168" s="199" t="s">
        <v>4</v>
      </c>
      <c r="S168" s="210"/>
      <c r="T168" s="210"/>
      <c r="U168" s="210"/>
      <c r="V168" s="210"/>
      <c r="W168" s="210"/>
      <c r="X168" s="154" t="s">
        <v>608</v>
      </c>
      <c r="Y168" s="173">
        <f t="shared" si="130"/>
        <v>-2812.5</v>
      </c>
      <c r="Z168" s="83">
        <f t="shared" si="139"/>
        <v>-344.38775510204084</v>
      </c>
      <c r="AA168" s="84">
        <f t="shared" si="128"/>
        <v>-1320.1530612244899</v>
      </c>
      <c r="AB168" s="84">
        <f t="shared" si="129"/>
        <v>-459.18367346938771</v>
      </c>
      <c r="AC168" s="84">
        <f t="shared" si="140"/>
        <v>-344.38775510204084</v>
      </c>
      <c r="AD168" s="84"/>
      <c r="AE168" s="84">
        <f t="shared" si="144"/>
        <v>-344.38775510204084</v>
      </c>
      <c r="AF168" s="84">
        <f t="shared" si="137"/>
        <v>-2812.5</v>
      </c>
      <c r="AG168" s="94">
        <f t="shared" si="145"/>
        <v>0</v>
      </c>
      <c r="AH168" s="85">
        <f>IFERROR(VLOOKUP(A168,CUSTOMERS!$A:$E,4),"")</f>
        <v>-150</v>
      </c>
      <c r="AI168" s="86" t="str">
        <f t="shared" si="134"/>
        <v/>
      </c>
      <c r="AJ168" s="87">
        <f>IFERROR(VLOOKUP(A168,CUSTOMERS!$A:$F,5),"")</f>
        <v>0</v>
      </c>
      <c r="AK168" s="96">
        <v>0.30612244897959184</v>
      </c>
      <c r="AL168" s="96">
        <v>1.1734693877551021</v>
      </c>
      <c r="AM168" s="96">
        <v>0.4081632653061224</v>
      </c>
      <c r="AN168" s="96">
        <v>0.30612244897959184</v>
      </c>
      <c r="AO168" s="96">
        <v>0.30612244897959184</v>
      </c>
      <c r="AP168" s="103">
        <f t="shared" si="141"/>
        <v>2.5000000000000004</v>
      </c>
      <c r="AQ168" s="103">
        <f t="shared" si="132"/>
        <v>0</v>
      </c>
      <c r="AR168" s="68" t="str">
        <f>IFERROR(VLOOKUP(A168,CUSTOMERS!$A:$B,2),"")</f>
        <v>PRD</v>
      </c>
      <c r="AS168" s="68" t="str">
        <f>IFERROR(VLOOKUP(A168,CUSTOMERS!$A:$D,3),"")</f>
        <v>BLG</v>
      </c>
      <c r="AT168" s="68" t="str">
        <f>IFERROR(VLOOKUP(A168,CUSTOMERS!$A:$F,6),"")</f>
        <v>N</v>
      </c>
      <c r="AU168" s="69">
        <f>IFERROR(VLOOKUP(A168,CUSTOMERS!$A:$E,4),"")</f>
        <v>-150</v>
      </c>
      <c r="AV168" s="68" t="str">
        <f t="shared" si="127"/>
        <v/>
      </c>
      <c r="AX168" s="71" t="str">
        <f t="shared" si="143"/>
        <v>reason168</v>
      </c>
    </row>
    <row r="169" spans="1:50" ht="50.25" customHeight="1" thickTop="1" thickBot="1">
      <c r="A169" s="188" t="s">
        <v>27</v>
      </c>
      <c r="B169" s="125" t="str">
        <f t="shared" si="136"/>
        <v>N</v>
      </c>
      <c r="C169" s="125"/>
      <c r="D169" s="126">
        <v>23</v>
      </c>
      <c r="E169" s="126"/>
      <c r="F169" s="122" t="str">
        <f t="shared" si="135"/>
        <v>PRD-BLG-2021-00023</v>
      </c>
      <c r="G169" s="123" t="s">
        <v>200</v>
      </c>
      <c r="H169" s="124" t="s">
        <v>609</v>
      </c>
      <c r="I169" s="239"/>
      <c r="J169" s="80">
        <f t="shared" si="138"/>
        <v>-3164.0624999999995</v>
      </c>
      <c r="K169" s="177">
        <f t="shared" si="142"/>
        <v>44307</v>
      </c>
      <c r="L169" s="155">
        <v>44307</v>
      </c>
      <c r="M169" s="152"/>
      <c r="N169" s="147"/>
      <c r="O169" s="147"/>
      <c r="P169" s="153"/>
      <c r="Q169" s="201" t="s">
        <v>12</v>
      </c>
      <c r="R169" s="199" t="s">
        <v>4</v>
      </c>
      <c r="S169" s="210"/>
      <c r="T169" s="210"/>
      <c r="U169" s="210"/>
      <c r="V169" s="210"/>
      <c r="W169" s="210"/>
      <c r="X169" s="154" t="s">
        <v>610</v>
      </c>
      <c r="Y169" s="173">
        <f t="shared" si="130"/>
        <v>-3164.0624999999995</v>
      </c>
      <c r="Z169" s="83">
        <f t="shared" si="139"/>
        <v>-387.43622448979585</v>
      </c>
      <c r="AA169" s="84">
        <f t="shared" si="128"/>
        <v>-1485.1721938775511</v>
      </c>
      <c r="AB169" s="84">
        <f t="shared" si="129"/>
        <v>-516.58163265306121</v>
      </c>
      <c r="AC169" s="84">
        <f t="shared" si="140"/>
        <v>-387.43622448979585</v>
      </c>
      <c r="AD169" s="84"/>
      <c r="AE169" s="84">
        <f t="shared" si="144"/>
        <v>-387.43622448979585</v>
      </c>
      <c r="AF169" s="84">
        <f t="shared" si="137"/>
        <v>-3164.0624999999995</v>
      </c>
      <c r="AG169" s="94">
        <f t="shared" si="145"/>
        <v>0</v>
      </c>
      <c r="AH169" s="85">
        <f>IFERROR(VLOOKUP(A169,CUSTOMERS!$A:$E,4),"")</f>
        <v>-150</v>
      </c>
      <c r="AI169" s="86" t="str">
        <f t="shared" si="134"/>
        <v/>
      </c>
      <c r="AJ169" s="87">
        <f>IFERROR(VLOOKUP(A169,CUSTOMERS!$A:$F,5),"")</f>
        <v>0</v>
      </c>
      <c r="AK169" s="96">
        <v>0.34438775510204078</v>
      </c>
      <c r="AL169" s="96">
        <v>1.3201530612244898</v>
      </c>
      <c r="AM169" s="96">
        <v>0.45918367346938771</v>
      </c>
      <c r="AN169" s="96">
        <v>0.34438775510204078</v>
      </c>
      <c r="AO169" s="96">
        <v>0.34438775510204078</v>
      </c>
      <c r="AP169" s="103">
        <f t="shared" si="141"/>
        <v>2.8124999999999996</v>
      </c>
      <c r="AQ169" s="103">
        <f t="shared" si="132"/>
        <v>0</v>
      </c>
      <c r="AR169" s="68" t="str">
        <f>IFERROR(VLOOKUP(A169,CUSTOMERS!$A:$B,2),"")</f>
        <v>PRD</v>
      </c>
      <c r="AS169" s="68" t="str">
        <f>IFERROR(VLOOKUP(A169,CUSTOMERS!$A:$D,3),"")</f>
        <v>BLG</v>
      </c>
      <c r="AT169" s="68" t="str">
        <f>IFERROR(VLOOKUP(A169,CUSTOMERS!$A:$F,6),"")</f>
        <v>N</v>
      </c>
      <c r="AU169" s="69">
        <f>IFERROR(VLOOKUP(A169,CUSTOMERS!$A:$E,4),"")</f>
        <v>-150</v>
      </c>
      <c r="AV169" s="68" t="str">
        <f t="shared" si="127"/>
        <v/>
      </c>
      <c r="AX169" s="71" t="str">
        <f t="shared" si="143"/>
        <v>reason169</v>
      </c>
    </row>
    <row r="170" spans="1:50" ht="50.25" customHeight="1" thickTop="1" thickBot="1">
      <c r="A170" s="188" t="s">
        <v>27</v>
      </c>
      <c r="B170" s="125" t="str">
        <f t="shared" si="136"/>
        <v>N</v>
      </c>
      <c r="C170" s="125"/>
      <c r="D170" s="126">
        <v>24</v>
      </c>
      <c r="E170" s="126"/>
      <c r="F170" s="122" t="str">
        <f t="shared" si="135"/>
        <v>PRD-BLG-2021-00024</v>
      </c>
      <c r="G170" s="123" t="s">
        <v>200</v>
      </c>
      <c r="H170" s="124" t="s">
        <v>611</v>
      </c>
      <c r="I170" s="239"/>
      <c r="J170" s="80">
        <f t="shared" si="138"/>
        <v>-70312.5</v>
      </c>
      <c r="K170" s="177">
        <f t="shared" si="142"/>
        <v>44307</v>
      </c>
      <c r="L170" s="155">
        <v>44307</v>
      </c>
      <c r="M170" s="152"/>
      <c r="N170" s="147"/>
      <c r="O170" s="147"/>
      <c r="P170" s="153"/>
      <c r="Q170" s="201" t="s">
        <v>12</v>
      </c>
      <c r="R170" s="199" t="s">
        <v>4</v>
      </c>
      <c r="S170" s="210"/>
      <c r="T170" s="210"/>
      <c r="U170" s="210"/>
      <c r="V170" s="210"/>
      <c r="W170" s="210"/>
      <c r="X170" s="154" t="s">
        <v>612</v>
      </c>
      <c r="Y170" s="173">
        <f t="shared" si="130"/>
        <v>-70312.5</v>
      </c>
      <c r="Z170" s="83">
        <f t="shared" si="139"/>
        <v>-8609.6938775510207</v>
      </c>
      <c r="AA170" s="84">
        <f t="shared" si="128"/>
        <v>-33003.826530612248</v>
      </c>
      <c r="AB170" s="84">
        <f t="shared" si="129"/>
        <v>-11479.591836734693</v>
      </c>
      <c r="AC170" s="84">
        <f t="shared" si="140"/>
        <v>-8609.6938775510207</v>
      </c>
      <c r="AD170" s="84"/>
      <c r="AE170" s="84">
        <f t="shared" si="144"/>
        <v>-8609.6938775510207</v>
      </c>
      <c r="AF170" s="84">
        <f t="shared" si="137"/>
        <v>-70312.5</v>
      </c>
      <c r="AG170" s="94">
        <f t="shared" si="145"/>
        <v>0</v>
      </c>
      <c r="AH170" s="85">
        <f>IFERROR(VLOOKUP(A170,CUSTOMERS!$A:$E,4),"")</f>
        <v>-150</v>
      </c>
      <c r="AI170" s="86" t="str">
        <f t="shared" si="134"/>
        <v/>
      </c>
      <c r="AJ170" s="87">
        <f>IFERROR(VLOOKUP(A170,CUSTOMERS!$A:$F,5),"")</f>
        <v>0</v>
      </c>
      <c r="AK170" s="96">
        <v>7.6530612244897958</v>
      </c>
      <c r="AL170" s="96">
        <v>29.336734693877553</v>
      </c>
      <c r="AM170" s="96">
        <v>10.204081632653061</v>
      </c>
      <c r="AN170" s="96">
        <v>7.6530612244897958</v>
      </c>
      <c r="AO170" s="96">
        <v>7.6530612244897958</v>
      </c>
      <c r="AP170" s="103">
        <f t="shared" si="141"/>
        <v>62.5</v>
      </c>
      <c r="AQ170" s="103">
        <f t="shared" si="132"/>
        <v>0</v>
      </c>
      <c r="AR170" s="68" t="str">
        <f>IFERROR(VLOOKUP(A170,CUSTOMERS!$A:$B,2),"")</f>
        <v>PRD</v>
      </c>
      <c r="AS170" s="68" t="str">
        <f>IFERROR(VLOOKUP(A170,CUSTOMERS!$A:$D,3),"")</f>
        <v>BLG</v>
      </c>
      <c r="AT170" s="68" t="str">
        <f>IFERROR(VLOOKUP(A170,CUSTOMERS!$A:$F,6),"")</f>
        <v>N</v>
      </c>
      <c r="AU170" s="69">
        <f>IFERROR(VLOOKUP(A170,CUSTOMERS!$A:$E,4),"")</f>
        <v>-150</v>
      </c>
      <c r="AV170" s="68" t="str">
        <f t="shared" ref="AV170:AV233" si="146">IF(AH170&lt;&gt;AU170,"Y","")</f>
        <v/>
      </c>
      <c r="AX170" s="71" t="str">
        <f t="shared" si="143"/>
        <v>reason170</v>
      </c>
    </row>
    <row r="171" spans="1:50" ht="50.25" customHeight="1" thickTop="1" thickBot="1">
      <c r="A171" s="188" t="s">
        <v>27</v>
      </c>
      <c r="B171" s="125" t="str">
        <f t="shared" si="136"/>
        <v>N</v>
      </c>
      <c r="C171" s="125"/>
      <c r="D171" s="126">
        <v>25</v>
      </c>
      <c r="E171" s="126"/>
      <c r="F171" s="122" t="str">
        <f t="shared" si="135"/>
        <v>PRD-BLG-2021-00025</v>
      </c>
      <c r="G171" s="123" t="s">
        <v>200</v>
      </c>
      <c r="H171" s="124" t="s">
        <v>613</v>
      </c>
      <c r="I171" s="239"/>
      <c r="J171" s="80">
        <f t="shared" si="138"/>
        <v>-3515.625</v>
      </c>
      <c r="K171" s="177">
        <f t="shared" si="142"/>
        <v>44307</v>
      </c>
      <c r="L171" s="155">
        <v>44307</v>
      </c>
      <c r="M171" s="152"/>
      <c r="N171" s="147"/>
      <c r="O171" s="147"/>
      <c r="P171" s="153"/>
      <c r="Q171" s="201" t="s">
        <v>12</v>
      </c>
      <c r="R171" s="199" t="s">
        <v>4</v>
      </c>
      <c r="S171" s="210"/>
      <c r="T171" s="210"/>
      <c r="U171" s="210"/>
      <c r="V171" s="210"/>
      <c r="W171" s="210"/>
      <c r="X171" s="154" t="s">
        <v>614</v>
      </c>
      <c r="Y171" s="173">
        <f t="shared" si="130"/>
        <v>-3515.625</v>
      </c>
      <c r="Z171" s="83">
        <f t="shared" si="139"/>
        <v>-430.48469387755097</v>
      </c>
      <c r="AA171" s="84">
        <f t="shared" si="128"/>
        <v>-1650.1913265306123</v>
      </c>
      <c r="AB171" s="84">
        <f t="shared" si="129"/>
        <v>-573.9795918367347</v>
      </c>
      <c r="AC171" s="84">
        <f t="shared" si="140"/>
        <v>-430.48469387755097</v>
      </c>
      <c r="AD171" s="84"/>
      <c r="AE171" s="84">
        <f t="shared" si="144"/>
        <v>-430.48469387755097</v>
      </c>
      <c r="AF171" s="84">
        <f t="shared" si="137"/>
        <v>-3515.625</v>
      </c>
      <c r="AG171" s="94">
        <f t="shared" si="145"/>
        <v>0</v>
      </c>
      <c r="AH171" s="85">
        <f>IFERROR(VLOOKUP(A171,CUSTOMERS!$A:$E,4),"")</f>
        <v>-150</v>
      </c>
      <c r="AI171" s="86" t="str">
        <f t="shared" si="134"/>
        <v/>
      </c>
      <c r="AJ171" s="87">
        <f>IFERROR(VLOOKUP(A171,CUSTOMERS!$A:$F,5),"")</f>
        <v>0</v>
      </c>
      <c r="AK171" s="96">
        <v>0.38265306122448978</v>
      </c>
      <c r="AL171" s="96">
        <v>1.4668367346938775</v>
      </c>
      <c r="AM171" s="96">
        <v>0.51020408163265307</v>
      </c>
      <c r="AN171" s="96">
        <v>0.38265306122448978</v>
      </c>
      <c r="AO171" s="96">
        <v>0.38265306122448978</v>
      </c>
      <c r="AP171" s="103">
        <f t="shared" si="141"/>
        <v>3.125</v>
      </c>
      <c r="AQ171" s="103">
        <f t="shared" si="132"/>
        <v>0</v>
      </c>
      <c r="AR171" s="68" t="str">
        <f>IFERROR(VLOOKUP(A171,CUSTOMERS!$A:$B,2),"")</f>
        <v>PRD</v>
      </c>
      <c r="AS171" s="68" t="str">
        <f>IFERROR(VLOOKUP(A171,CUSTOMERS!$A:$D,3),"")</f>
        <v>BLG</v>
      </c>
      <c r="AT171" s="68" t="str">
        <f>IFERROR(VLOOKUP(A171,CUSTOMERS!$A:$F,6),"")</f>
        <v>N</v>
      </c>
      <c r="AU171" s="69">
        <f>IFERROR(VLOOKUP(A171,CUSTOMERS!$A:$E,4),"")</f>
        <v>-150</v>
      </c>
      <c r="AV171" s="68" t="str">
        <f t="shared" si="146"/>
        <v/>
      </c>
      <c r="AX171" s="71" t="str">
        <f t="shared" si="143"/>
        <v>reason171</v>
      </c>
    </row>
    <row r="172" spans="1:50" ht="50.25" customHeight="1" thickTop="1" thickBot="1">
      <c r="A172" s="188" t="s">
        <v>27</v>
      </c>
      <c r="B172" s="125" t="str">
        <f t="shared" si="136"/>
        <v>N</v>
      </c>
      <c r="C172" s="125"/>
      <c r="D172" s="126">
        <v>26</v>
      </c>
      <c r="E172" s="126"/>
      <c r="F172" s="122" t="str">
        <f t="shared" si="135"/>
        <v>PRD-BLG-2021-00026</v>
      </c>
      <c r="G172" s="123" t="s">
        <v>200</v>
      </c>
      <c r="H172" s="124" t="s">
        <v>615</v>
      </c>
      <c r="I172" s="239"/>
      <c r="J172" s="80">
        <f t="shared" si="138"/>
        <v>-7875</v>
      </c>
      <c r="K172" s="177">
        <f t="shared" si="142"/>
        <v>44307</v>
      </c>
      <c r="L172" s="155">
        <v>44307</v>
      </c>
      <c r="M172" s="152"/>
      <c r="N172" s="147"/>
      <c r="O172" s="147"/>
      <c r="P172" s="153"/>
      <c r="Q172" s="201" t="s">
        <v>12</v>
      </c>
      <c r="R172" s="199" t="s">
        <v>4</v>
      </c>
      <c r="S172" s="210"/>
      <c r="T172" s="210"/>
      <c r="U172" s="210"/>
      <c r="V172" s="210"/>
      <c r="W172" s="210"/>
      <c r="X172" s="154" t="s">
        <v>616</v>
      </c>
      <c r="Y172" s="173">
        <f t="shared" si="130"/>
        <v>-7875</v>
      </c>
      <c r="Z172" s="83">
        <f t="shared" si="139"/>
        <v>-1125</v>
      </c>
      <c r="AA172" s="84">
        <f t="shared" si="128"/>
        <v>-3375</v>
      </c>
      <c r="AB172" s="84">
        <f t="shared" si="129"/>
        <v>-1125</v>
      </c>
      <c r="AC172" s="84">
        <f t="shared" si="140"/>
        <v>-1125</v>
      </c>
      <c r="AD172" s="84"/>
      <c r="AE172" s="84">
        <f t="shared" si="144"/>
        <v>-1125</v>
      </c>
      <c r="AF172" s="84">
        <f t="shared" si="137"/>
        <v>-7875</v>
      </c>
      <c r="AG172" s="94">
        <f t="shared" si="145"/>
        <v>0</v>
      </c>
      <c r="AH172" s="85">
        <f>IFERROR(VLOOKUP(A172,CUSTOMERS!$A:$E,4),"")</f>
        <v>-150</v>
      </c>
      <c r="AI172" s="86" t="str">
        <f t="shared" si="134"/>
        <v/>
      </c>
      <c r="AJ172" s="87">
        <f>IFERROR(VLOOKUP(A172,CUSTOMERS!$A:$F,5),"")</f>
        <v>0</v>
      </c>
      <c r="AK172" s="194">
        <v>1</v>
      </c>
      <c r="AL172" s="195">
        <v>3</v>
      </c>
      <c r="AM172" s="195">
        <v>1</v>
      </c>
      <c r="AN172" s="195">
        <v>1</v>
      </c>
      <c r="AO172" s="195">
        <v>1</v>
      </c>
      <c r="AP172" s="103">
        <f t="shared" si="141"/>
        <v>7</v>
      </c>
      <c r="AQ172" s="103">
        <f t="shared" si="132"/>
        <v>0</v>
      </c>
      <c r="AR172" s="68" t="str">
        <f>IFERROR(VLOOKUP(A172,CUSTOMERS!$A:$B,2),"")</f>
        <v>PRD</v>
      </c>
      <c r="AS172" s="68" t="str">
        <f>IFERROR(VLOOKUP(A172,CUSTOMERS!$A:$D,3),"")</f>
        <v>BLG</v>
      </c>
      <c r="AT172" s="68" t="str">
        <f>IFERROR(VLOOKUP(A172,CUSTOMERS!$A:$F,6),"")</f>
        <v>N</v>
      </c>
      <c r="AU172" s="69">
        <f>IFERROR(VLOOKUP(A172,CUSTOMERS!$A:$E,4),"")</f>
        <v>-150</v>
      </c>
      <c r="AV172" s="68" t="str">
        <f t="shared" si="146"/>
        <v/>
      </c>
      <c r="AX172" s="71" t="str">
        <f t="shared" si="143"/>
        <v>reason172</v>
      </c>
    </row>
    <row r="173" spans="1:50" ht="50.25" customHeight="1" thickTop="1" thickBot="1">
      <c r="A173" s="188" t="s">
        <v>27</v>
      </c>
      <c r="B173" s="125" t="str">
        <f t="shared" si="136"/>
        <v>N</v>
      </c>
      <c r="C173" s="125"/>
      <c r="D173" s="126">
        <v>27</v>
      </c>
      <c r="E173" s="126"/>
      <c r="F173" s="122" t="str">
        <f t="shared" si="135"/>
        <v>PRD-BLG-2021-00027</v>
      </c>
      <c r="G173" s="123" t="s">
        <v>200</v>
      </c>
      <c r="H173" s="124" t="s">
        <v>617</v>
      </c>
      <c r="I173" s="239"/>
      <c r="J173" s="80">
        <f t="shared" si="138"/>
        <v>-7875</v>
      </c>
      <c r="K173" s="177">
        <f t="shared" si="142"/>
        <v>44307</v>
      </c>
      <c r="L173" s="155">
        <v>44307</v>
      </c>
      <c r="M173" s="152"/>
      <c r="N173" s="147"/>
      <c r="O173" s="147"/>
      <c r="P173" s="153"/>
      <c r="Q173" s="201" t="s">
        <v>12</v>
      </c>
      <c r="R173" s="199" t="s">
        <v>4</v>
      </c>
      <c r="S173" s="210"/>
      <c r="T173" s="210"/>
      <c r="U173" s="210"/>
      <c r="V173" s="210"/>
      <c r="W173" s="210"/>
      <c r="X173" s="154" t="s">
        <v>618</v>
      </c>
      <c r="Y173" s="173">
        <f t="shared" si="130"/>
        <v>-7875</v>
      </c>
      <c r="Z173" s="83">
        <f t="shared" si="139"/>
        <v>-1125</v>
      </c>
      <c r="AA173" s="84">
        <f t="shared" si="128"/>
        <v>-3375</v>
      </c>
      <c r="AB173" s="84">
        <f t="shared" si="129"/>
        <v>-1125</v>
      </c>
      <c r="AC173" s="84">
        <f t="shared" si="140"/>
        <v>-1125</v>
      </c>
      <c r="AD173" s="84"/>
      <c r="AE173" s="84">
        <f t="shared" si="144"/>
        <v>-1125</v>
      </c>
      <c r="AF173" s="84">
        <f t="shared" si="137"/>
        <v>-7875</v>
      </c>
      <c r="AG173" s="94">
        <f t="shared" si="145"/>
        <v>0</v>
      </c>
      <c r="AH173" s="85">
        <f>IFERROR(VLOOKUP(A173,CUSTOMERS!$A:$E,4),"")</f>
        <v>-150</v>
      </c>
      <c r="AI173" s="86" t="str">
        <f t="shared" si="134"/>
        <v/>
      </c>
      <c r="AJ173" s="87">
        <f>IFERROR(VLOOKUP(A173,CUSTOMERS!$A:$F,5),"")</f>
        <v>0</v>
      </c>
      <c r="AK173" s="194">
        <v>1</v>
      </c>
      <c r="AL173" s="195">
        <v>3</v>
      </c>
      <c r="AM173" s="195">
        <v>1</v>
      </c>
      <c r="AN173" s="195">
        <v>1</v>
      </c>
      <c r="AO173" s="195">
        <v>1</v>
      </c>
      <c r="AP173" s="103">
        <f t="shared" si="141"/>
        <v>7</v>
      </c>
      <c r="AQ173" s="103">
        <f t="shared" si="132"/>
        <v>0</v>
      </c>
      <c r="AR173" s="68" t="str">
        <f>IFERROR(VLOOKUP(A173,CUSTOMERS!$A:$B,2),"")</f>
        <v>PRD</v>
      </c>
      <c r="AS173" s="68" t="str">
        <f>IFERROR(VLOOKUP(A173,CUSTOMERS!$A:$D,3),"")</f>
        <v>BLG</v>
      </c>
      <c r="AT173" s="68" t="str">
        <f>IFERROR(VLOOKUP(A173,CUSTOMERS!$A:$F,6),"")</f>
        <v>N</v>
      </c>
      <c r="AU173" s="69">
        <f>IFERROR(VLOOKUP(A173,CUSTOMERS!$A:$E,4),"")</f>
        <v>-150</v>
      </c>
      <c r="AV173" s="68" t="str">
        <f t="shared" si="146"/>
        <v/>
      </c>
      <c r="AX173" s="71" t="str">
        <f t="shared" si="143"/>
        <v>reason173</v>
      </c>
    </row>
    <row r="174" spans="1:50" ht="50.25" customHeight="1" thickTop="1" thickBot="1">
      <c r="A174" s="188" t="s">
        <v>27</v>
      </c>
      <c r="B174" s="125" t="str">
        <f t="shared" ref="B174:B205" si="147">AT174</f>
        <v>N</v>
      </c>
      <c r="C174" s="125"/>
      <c r="D174" s="126">
        <v>28</v>
      </c>
      <c r="E174" s="126"/>
      <c r="F174" s="122" t="str">
        <f t="shared" si="135"/>
        <v>PRD-BLG-2021-00028</v>
      </c>
      <c r="G174" s="123" t="s">
        <v>200</v>
      </c>
      <c r="H174" s="124" t="s">
        <v>619</v>
      </c>
      <c r="I174" s="239"/>
      <c r="J174" s="80">
        <f t="shared" si="138"/>
        <v>-4500</v>
      </c>
      <c r="K174" s="177">
        <f t="shared" si="142"/>
        <v>44307</v>
      </c>
      <c r="L174" s="155">
        <v>44307</v>
      </c>
      <c r="M174" s="152"/>
      <c r="N174" s="147"/>
      <c r="O174" s="147"/>
      <c r="P174" s="153"/>
      <c r="Q174" s="201" t="s">
        <v>12</v>
      </c>
      <c r="R174" s="199" t="s">
        <v>4</v>
      </c>
      <c r="S174" s="210"/>
      <c r="T174" s="210"/>
      <c r="U174" s="210"/>
      <c r="V174" s="210"/>
      <c r="W174" s="210"/>
      <c r="X174" s="154" t="s">
        <v>620</v>
      </c>
      <c r="Y174" s="173">
        <f t="shared" si="130"/>
        <v>-4500</v>
      </c>
      <c r="Z174" s="83">
        <f t="shared" si="139"/>
        <v>-562.5</v>
      </c>
      <c r="AA174" s="84">
        <f t="shared" si="128"/>
        <v>-2250</v>
      </c>
      <c r="AB174" s="84">
        <f t="shared" si="129"/>
        <v>-1125</v>
      </c>
      <c r="AC174" s="84">
        <f t="shared" si="140"/>
        <v>0</v>
      </c>
      <c r="AD174" s="84"/>
      <c r="AE174" s="84">
        <f t="shared" si="144"/>
        <v>-562.5</v>
      </c>
      <c r="AF174" s="84">
        <f t="shared" si="137"/>
        <v>-4500</v>
      </c>
      <c r="AG174" s="94">
        <f t="shared" si="145"/>
        <v>0</v>
      </c>
      <c r="AH174" s="85">
        <f>IFERROR(VLOOKUP(A174,CUSTOMERS!$A:$E,4),"")</f>
        <v>-150</v>
      </c>
      <c r="AI174" s="86" t="str">
        <f t="shared" si="134"/>
        <v/>
      </c>
      <c r="AJ174" s="87">
        <f>IFERROR(VLOOKUP(A174,CUSTOMERS!$A:$F,5),"")</f>
        <v>0</v>
      </c>
      <c r="AK174" s="194">
        <v>0.5</v>
      </c>
      <c r="AL174" s="195">
        <v>2</v>
      </c>
      <c r="AM174" s="195">
        <v>1</v>
      </c>
      <c r="AN174" s="195">
        <v>0</v>
      </c>
      <c r="AO174" s="195">
        <v>0.5</v>
      </c>
      <c r="AP174" s="103">
        <f t="shared" si="141"/>
        <v>4</v>
      </c>
      <c r="AQ174" s="103">
        <f t="shared" si="132"/>
        <v>0</v>
      </c>
      <c r="AR174" s="68" t="str">
        <f>IFERROR(VLOOKUP(A174,CUSTOMERS!$A:$B,2),"")</f>
        <v>PRD</v>
      </c>
      <c r="AS174" s="68" t="str">
        <f>IFERROR(VLOOKUP(A174,CUSTOMERS!$A:$D,3),"")</f>
        <v>BLG</v>
      </c>
      <c r="AT174" s="68" t="str">
        <f>IFERROR(VLOOKUP(A174,CUSTOMERS!$A:$F,6),"")</f>
        <v>N</v>
      </c>
      <c r="AU174" s="69">
        <f>IFERROR(VLOOKUP(A174,CUSTOMERS!$A:$E,4),"")</f>
        <v>-150</v>
      </c>
      <c r="AV174" s="68" t="str">
        <f t="shared" si="146"/>
        <v/>
      </c>
      <c r="AX174" s="71" t="str">
        <f t="shared" si="143"/>
        <v>reason174</v>
      </c>
    </row>
    <row r="175" spans="1:50" ht="50.25" customHeight="1" thickTop="1" thickBot="1">
      <c r="A175" s="188" t="s">
        <v>27</v>
      </c>
      <c r="B175" s="125" t="str">
        <f t="shared" si="147"/>
        <v>N</v>
      </c>
      <c r="C175" s="125"/>
      <c r="D175" s="126">
        <v>29</v>
      </c>
      <c r="E175" s="126"/>
      <c r="F175" s="122" t="str">
        <f t="shared" si="135"/>
        <v>PRD-BLG-2021-00029</v>
      </c>
      <c r="G175" s="123" t="s">
        <v>200</v>
      </c>
      <c r="H175" s="124" t="s">
        <v>621</v>
      </c>
      <c r="I175" s="239"/>
      <c r="J175" s="80">
        <f t="shared" si="138"/>
        <v>-4500</v>
      </c>
      <c r="K175" s="177">
        <f t="shared" si="142"/>
        <v>44307</v>
      </c>
      <c r="L175" s="155">
        <v>44307</v>
      </c>
      <c r="M175" s="152"/>
      <c r="N175" s="147"/>
      <c r="O175" s="147"/>
      <c r="P175" s="153"/>
      <c r="Q175" s="201" t="s">
        <v>12</v>
      </c>
      <c r="R175" s="199" t="s">
        <v>4</v>
      </c>
      <c r="S175" s="210"/>
      <c r="T175" s="210"/>
      <c r="U175" s="210"/>
      <c r="V175" s="210"/>
      <c r="W175" s="210"/>
      <c r="X175" s="154" t="s">
        <v>622</v>
      </c>
      <c r="Y175" s="173">
        <f t="shared" si="130"/>
        <v>-4500</v>
      </c>
      <c r="Z175" s="83">
        <f t="shared" si="139"/>
        <v>-562.5</v>
      </c>
      <c r="AA175" s="84">
        <f t="shared" ref="AA175:AA238" si="148">IFERROR((AL175*AH175)*7.5,"")</f>
        <v>-2250</v>
      </c>
      <c r="AB175" s="84">
        <f t="shared" ref="AB175:AB238" si="149">IFERROR((AM175*AH175)*7.5,"")</f>
        <v>-1125</v>
      </c>
      <c r="AC175" s="84">
        <f t="shared" si="140"/>
        <v>0</v>
      </c>
      <c r="AD175" s="84"/>
      <c r="AE175" s="84">
        <f t="shared" si="144"/>
        <v>-562.5</v>
      </c>
      <c r="AF175" s="84">
        <f t="shared" si="137"/>
        <v>-4500</v>
      </c>
      <c r="AG175" s="94">
        <f t="shared" si="145"/>
        <v>0</v>
      </c>
      <c r="AH175" s="85">
        <f>IFERROR(VLOOKUP(A175,CUSTOMERS!$A:$E,4),"")</f>
        <v>-150</v>
      </c>
      <c r="AI175" s="86" t="str">
        <f t="shared" si="134"/>
        <v/>
      </c>
      <c r="AJ175" s="87">
        <f>IFERROR(VLOOKUP(A175,CUSTOMERS!$A:$F,5),"")</f>
        <v>0</v>
      </c>
      <c r="AK175" s="194">
        <v>0.5</v>
      </c>
      <c r="AL175" s="195">
        <v>2</v>
      </c>
      <c r="AM175" s="195">
        <v>1</v>
      </c>
      <c r="AN175" s="195">
        <v>0</v>
      </c>
      <c r="AO175" s="195">
        <v>0.5</v>
      </c>
      <c r="AP175" s="103">
        <f t="shared" si="141"/>
        <v>4</v>
      </c>
      <c r="AQ175" s="103">
        <f t="shared" si="132"/>
        <v>0</v>
      </c>
      <c r="AR175" s="68" t="str">
        <f>IFERROR(VLOOKUP(A175,CUSTOMERS!$A:$B,2),"")</f>
        <v>PRD</v>
      </c>
      <c r="AS175" s="68" t="str">
        <f>IFERROR(VLOOKUP(A175,CUSTOMERS!$A:$D,3),"")</f>
        <v>BLG</v>
      </c>
      <c r="AT175" s="68" t="str">
        <f>IFERROR(VLOOKUP(A175,CUSTOMERS!$A:$F,6),"")</f>
        <v>N</v>
      </c>
      <c r="AU175" s="69">
        <f>IFERROR(VLOOKUP(A175,CUSTOMERS!$A:$E,4),"")</f>
        <v>-150</v>
      </c>
      <c r="AV175" s="68" t="str">
        <f t="shared" si="146"/>
        <v/>
      </c>
      <c r="AX175" s="71" t="str">
        <f t="shared" si="143"/>
        <v>reason175</v>
      </c>
    </row>
    <row r="176" spans="1:50" ht="50.25" customHeight="1" thickTop="1" thickBot="1">
      <c r="A176" s="188" t="s">
        <v>27</v>
      </c>
      <c r="B176" s="125" t="str">
        <f t="shared" si="147"/>
        <v>N</v>
      </c>
      <c r="C176" s="125"/>
      <c r="D176" s="126">
        <v>30</v>
      </c>
      <c r="E176" s="126"/>
      <c r="F176" s="122" t="str">
        <f t="shared" si="135"/>
        <v>PRD-BLG-2021-00030</v>
      </c>
      <c r="G176" s="123" t="s">
        <v>200</v>
      </c>
      <c r="H176" s="124" t="s">
        <v>623</v>
      </c>
      <c r="I176" s="239"/>
      <c r="J176" s="80">
        <f t="shared" si="138"/>
        <v>-28125</v>
      </c>
      <c r="K176" s="177">
        <f t="shared" si="142"/>
        <v>44307</v>
      </c>
      <c r="L176" s="155">
        <v>44307</v>
      </c>
      <c r="M176" s="152"/>
      <c r="N176" s="147"/>
      <c r="O176" s="147"/>
      <c r="P176" s="153"/>
      <c r="Q176" s="201" t="s">
        <v>12</v>
      </c>
      <c r="R176" s="199" t="s">
        <v>4</v>
      </c>
      <c r="S176" s="210"/>
      <c r="T176" s="210"/>
      <c r="U176" s="210"/>
      <c r="V176" s="210"/>
      <c r="W176" s="210"/>
      <c r="X176" s="154" t="s">
        <v>624</v>
      </c>
      <c r="Y176" s="173">
        <f t="shared" ref="Y176:Y239" si="150">IFERROR(AF176+AG176,"")</f>
        <v>-28125</v>
      </c>
      <c r="Z176" s="83">
        <f t="shared" si="139"/>
        <v>-3375</v>
      </c>
      <c r="AA176" s="84">
        <f t="shared" si="148"/>
        <v>-13500</v>
      </c>
      <c r="AB176" s="84">
        <f t="shared" si="149"/>
        <v>-4500</v>
      </c>
      <c r="AC176" s="84">
        <f t="shared" si="140"/>
        <v>-3375</v>
      </c>
      <c r="AD176" s="84"/>
      <c r="AE176" s="84">
        <f t="shared" si="144"/>
        <v>-3375</v>
      </c>
      <c r="AF176" s="84">
        <f t="shared" si="137"/>
        <v>-28125</v>
      </c>
      <c r="AG176" s="94">
        <f t="shared" si="145"/>
        <v>0</v>
      </c>
      <c r="AH176" s="85">
        <f>IFERROR(VLOOKUP(A176,CUSTOMERS!$A:$E,4),"")</f>
        <v>-150</v>
      </c>
      <c r="AI176" s="86" t="str">
        <f t="shared" si="134"/>
        <v/>
      </c>
      <c r="AJ176" s="87">
        <f>IFERROR(VLOOKUP(A176,CUSTOMERS!$A:$F,5),"")</f>
        <v>0</v>
      </c>
      <c r="AK176" s="194">
        <v>3</v>
      </c>
      <c r="AL176" s="195">
        <v>12</v>
      </c>
      <c r="AM176" s="195">
        <v>4</v>
      </c>
      <c r="AN176" s="195">
        <v>3</v>
      </c>
      <c r="AO176" s="195">
        <v>3</v>
      </c>
      <c r="AP176" s="103">
        <f t="shared" si="141"/>
        <v>25</v>
      </c>
      <c r="AQ176" s="103">
        <f t="shared" si="132"/>
        <v>0</v>
      </c>
      <c r="AR176" s="68" t="str">
        <f>IFERROR(VLOOKUP(A176,CUSTOMERS!$A:$B,2),"")</f>
        <v>PRD</v>
      </c>
      <c r="AS176" s="68" t="str">
        <f>IFERROR(VLOOKUP(A176,CUSTOMERS!$A:$D,3),"")</f>
        <v>BLG</v>
      </c>
      <c r="AT176" s="68" t="str">
        <f>IFERROR(VLOOKUP(A176,CUSTOMERS!$A:$F,6),"")</f>
        <v>N</v>
      </c>
      <c r="AU176" s="69">
        <f>IFERROR(VLOOKUP(A176,CUSTOMERS!$A:$E,4),"")</f>
        <v>-150</v>
      </c>
      <c r="AV176" s="68" t="str">
        <f t="shared" si="146"/>
        <v/>
      </c>
      <c r="AX176" s="71" t="str">
        <f t="shared" si="143"/>
        <v>reason176</v>
      </c>
    </row>
    <row r="177" spans="1:50" ht="50.25" customHeight="1" thickTop="1" thickBot="1">
      <c r="A177" s="188" t="s">
        <v>27</v>
      </c>
      <c r="B177" s="125" t="str">
        <f t="shared" si="147"/>
        <v>N</v>
      </c>
      <c r="C177" s="125"/>
      <c r="D177" s="126">
        <v>31</v>
      </c>
      <c r="E177" s="126"/>
      <c r="F177" s="122" t="str">
        <f t="shared" si="135"/>
        <v>PRD-BLG-2021-00031</v>
      </c>
      <c r="G177" s="123" t="s">
        <v>200</v>
      </c>
      <c r="H177" s="124" t="s">
        <v>625</v>
      </c>
      <c r="I177" s="239"/>
      <c r="J177" s="80">
        <f t="shared" si="138"/>
        <v>-12375</v>
      </c>
      <c r="K177" s="177">
        <f t="shared" si="142"/>
        <v>44307</v>
      </c>
      <c r="L177" s="155">
        <v>44307</v>
      </c>
      <c r="M177" s="152"/>
      <c r="N177" s="147"/>
      <c r="O177" s="147"/>
      <c r="P177" s="153"/>
      <c r="Q177" s="201" t="s">
        <v>12</v>
      </c>
      <c r="R177" s="199" t="s">
        <v>4</v>
      </c>
      <c r="S177" s="210"/>
      <c r="T177" s="210"/>
      <c r="U177" s="210"/>
      <c r="V177" s="210"/>
      <c r="W177" s="210"/>
      <c r="X177" s="154" t="s">
        <v>626</v>
      </c>
      <c r="Y177" s="173">
        <f t="shared" si="150"/>
        <v>-12375</v>
      </c>
      <c r="Z177" s="83">
        <f t="shared" si="139"/>
        <v>-1125</v>
      </c>
      <c r="AA177" s="84">
        <f t="shared" si="148"/>
        <v>-6750</v>
      </c>
      <c r="AB177" s="84">
        <f t="shared" si="149"/>
        <v>-2250</v>
      </c>
      <c r="AC177" s="84">
        <f t="shared" si="140"/>
        <v>-1125</v>
      </c>
      <c r="AD177" s="84"/>
      <c r="AE177" s="84">
        <f t="shared" si="144"/>
        <v>-1125</v>
      </c>
      <c r="AF177" s="84">
        <f t="shared" si="137"/>
        <v>-12375</v>
      </c>
      <c r="AG177" s="94">
        <f t="shared" si="145"/>
        <v>0</v>
      </c>
      <c r="AH177" s="85">
        <f>IFERROR(VLOOKUP(A177,CUSTOMERS!$A:$E,4),"")</f>
        <v>-150</v>
      </c>
      <c r="AI177" s="86" t="str">
        <f t="shared" si="134"/>
        <v/>
      </c>
      <c r="AJ177" s="87">
        <f>IFERROR(VLOOKUP(A177,CUSTOMERS!$A:$F,5),"")</f>
        <v>0</v>
      </c>
      <c r="AK177" s="194">
        <v>1</v>
      </c>
      <c r="AL177" s="195">
        <v>6</v>
      </c>
      <c r="AM177" s="195">
        <v>2</v>
      </c>
      <c r="AN177" s="195">
        <v>1</v>
      </c>
      <c r="AO177" s="195">
        <v>1</v>
      </c>
      <c r="AP177" s="103">
        <f t="shared" si="141"/>
        <v>11</v>
      </c>
      <c r="AQ177" s="103">
        <f t="shared" si="132"/>
        <v>0</v>
      </c>
      <c r="AR177" s="68" t="str">
        <f>IFERROR(VLOOKUP(A177,CUSTOMERS!$A:$B,2),"")</f>
        <v>PRD</v>
      </c>
      <c r="AS177" s="68" t="str">
        <f>IFERROR(VLOOKUP(A177,CUSTOMERS!$A:$D,3),"")</f>
        <v>BLG</v>
      </c>
      <c r="AT177" s="68" t="str">
        <f>IFERROR(VLOOKUP(A177,CUSTOMERS!$A:$F,6),"")</f>
        <v>N</v>
      </c>
      <c r="AU177" s="69">
        <f>IFERROR(VLOOKUP(A177,CUSTOMERS!$A:$E,4),"")</f>
        <v>-150</v>
      </c>
      <c r="AV177" s="68" t="str">
        <f t="shared" si="146"/>
        <v/>
      </c>
      <c r="AX177" s="71" t="str">
        <f t="shared" si="143"/>
        <v>reason177</v>
      </c>
    </row>
    <row r="178" spans="1:50" ht="50.25" customHeight="1" thickTop="1" thickBot="1">
      <c r="A178" s="188" t="s">
        <v>27</v>
      </c>
      <c r="B178" s="125" t="str">
        <f t="shared" si="147"/>
        <v>N</v>
      </c>
      <c r="C178" s="125"/>
      <c r="D178" s="126">
        <v>32</v>
      </c>
      <c r="E178" s="126"/>
      <c r="F178" s="122" t="str">
        <f t="shared" si="135"/>
        <v>PRD-BLG-2021-00032</v>
      </c>
      <c r="G178" s="123" t="s">
        <v>200</v>
      </c>
      <c r="H178" s="124" t="s">
        <v>627</v>
      </c>
      <c r="I178" s="239"/>
      <c r="J178" s="80">
        <f t="shared" si="138"/>
        <v>-22500</v>
      </c>
      <c r="K178" s="177">
        <f t="shared" si="142"/>
        <v>44307</v>
      </c>
      <c r="L178" s="155">
        <v>44307</v>
      </c>
      <c r="M178" s="152"/>
      <c r="N178" s="147"/>
      <c r="O178" s="147"/>
      <c r="P178" s="153"/>
      <c r="Q178" s="201" t="s">
        <v>12</v>
      </c>
      <c r="R178" s="199" t="s">
        <v>4</v>
      </c>
      <c r="S178" s="210"/>
      <c r="T178" s="210"/>
      <c r="U178" s="210"/>
      <c r="V178" s="210"/>
      <c r="W178" s="210"/>
      <c r="X178" s="154" t="s">
        <v>628</v>
      </c>
      <c r="Y178" s="173">
        <f t="shared" si="150"/>
        <v>-22500</v>
      </c>
      <c r="Z178" s="83">
        <f t="shared" si="139"/>
        <v>-3375</v>
      </c>
      <c r="AA178" s="84">
        <f t="shared" si="148"/>
        <v>-11250</v>
      </c>
      <c r="AB178" s="84">
        <f t="shared" si="149"/>
        <v>-3375</v>
      </c>
      <c r="AC178" s="84">
        <f t="shared" si="140"/>
        <v>-2250</v>
      </c>
      <c r="AD178" s="84"/>
      <c r="AE178" s="84">
        <f t="shared" si="144"/>
        <v>-2250</v>
      </c>
      <c r="AF178" s="84">
        <f t="shared" ref="AF178:AF209" si="151">IFERROR(SUM(Z178:AE178),"")</f>
        <v>-22500</v>
      </c>
      <c r="AG178" s="94">
        <f t="shared" si="145"/>
        <v>0</v>
      </c>
      <c r="AH178" s="85">
        <f>IFERROR(VLOOKUP(A178,CUSTOMERS!$A:$E,4),"")</f>
        <v>-150</v>
      </c>
      <c r="AI178" s="86" t="str">
        <f t="shared" si="134"/>
        <v/>
      </c>
      <c r="AJ178" s="87">
        <f>IFERROR(VLOOKUP(A178,CUSTOMERS!$A:$F,5),"")</f>
        <v>0</v>
      </c>
      <c r="AK178" s="194">
        <v>3</v>
      </c>
      <c r="AL178" s="195">
        <v>10</v>
      </c>
      <c r="AM178" s="195">
        <v>3</v>
      </c>
      <c r="AN178" s="195">
        <v>2</v>
      </c>
      <c r="AO178" s="195">
        <v>2</v>
      </c>
      <c r="AP178" s="103">
        <f t="shared" si="141"/>
        <v>20</v>
      </c>
      <c r="AQ178" s="103">
        <f t="shared" si="132"/>
        <v>0</v>
      </c>
      <c r="AR178" s="68" t="str">
        <f>IFERROR(VLOOKUP(A178,CUSTOMERS!$A:$B,2),"")</f>
        <v>PRD</v>
      </c>
      <c r="AS178" s="68" t="str">
        <f>IFERROR(VLOOKUP(A178,CUSTOMERS!$A:$D,3),"")</f>
        <v>BLG</v>
      </c>
      <c r="AT178" s="68" t="str">
        <f>IFERROR(VLOOKUP(A178,CUSTOMERS!$A:$F,6),"")</f>
        <v>N</v>
      </c>
      <c r="AU178" s="69">
        <f>IFERROR(VLOOKUP(A178,CUSTOMERS!$A:$E,4),"")</f>
        <v>-150</v>
      </c>
      <c r="AV178" s="68" t="str">
        <f t="shared" si="146"/>
        <v/>
      </c>
      <c r="AX178" s="71" t="str">
        <f t="shared" si="143"/>
        <v>reason178</v>
      </c>
    </row>
    <row r="179" spans="1:50" ht="50.25" customHeight="1" thickTop="1" thickBot="1">
      <c r="A179" s="188" t="s">
        <v>27</v>
      </c>
      <c r="B179" s="125" t="str">
        <f t="shared" si="147"/>
        <v>N</v>
      </c>
      <c r="C179" s="125"/>
      <c r="D179" s="126">
        <v>33</v>
      </c>
      <c r="E179" s="126"/>
      <c r="F179" s="122" t="str">
        <f t="shared" si="135"/>
        <v>PRD-BLG-2021-00033</v>
      </c>
      <c r="G179" s="123" t="s">
        <v>200</v>
      </c>
      <c r="H179" s="124" t="s">
        <v>629</v>
      </c>
      <c r="I179" s="239"/>
      <c r="J179" s="80">
        <f t="shared" si="138"/>
        <v>-3375</v>
      </c>
      <c r="K179" s="177">
        <f t="shared" si="142"/>
        <v>44307</v>
      </c>
      <c r="L179" s="155">
        <v>44307</v>
      </c>
      <c r="M179" s="152"/>
      <c r="N179" s="147"/>
      <c r="O179" s="147"/>
      <c r="P179" s="153"/>
      <c r="Q179" s="201" t="s">
        <v>12</v>
      </c>
      <c r="R179" s="199" t="s">
        <v>4</v>
      </c>
      <c r="S179" s="210"/>
      <c r="T179" s="210"/>
      <c r="U179" s="210"/>
      <c r="V179" s="210"/>
      <c r="W179" s="210"/>
      <c r="X179" s="154" t="s">
        <v>630</v>
      </c>
      <c r="Y179" s="173">
        <f t="shared" si="150"/>
        <v>-3375</v>
      </c>
      <c r="Z179" s="83">
        <f t="shared" si="139"/>
        <v>-1125</v>
      </c>
      <c r="AA179" s="84">
        <f t="shared" si="148"/>
        <v>-1125</v>
      </c>
      <c r="AB179" s="84">
        <f t="shared" si="149"/>
        <v>-1125</v>
      </c>
      <c r="AC179" s="84">
        <f t="shared" si="140"/>
        <v>0</v>
      </c>
      <c r="AD179" s="84"/>
      <c r="AE179" s="84">
        <f t="shared" si="144"/>
        <v>0</v>
      </c>
      <c r="AF179" s="84">
        <f t="shared" si="151"/>
        <v>-3375</v>
      </c>
      <c r="AG179" s="94">
        <f t="shared" si="145"/>
        <v>0</v>
      </c>
      <c r="AH179" s="85">
        <f>IFERROR(VLOOKUP(A179,CUSTOMERS!$A:$E,4),"")</f>
        <v>-150</v>
      </c>
      <c r="AI179" s="86" t="str">
        <f t="shared" si="134"/>
        <v/>
      </c>
      <c r="AJ179" s="87">
        <f>IFERROR(VLOOKUP(A179,CUSTOMERS!$A:$F,5),"")</f>
        <v>0</v>
      </c>
      <c r="AK179" s="194">
        <v>1</v>
      </c>
      <c r="AL179" s="195">
        <v>1</v>
      </c>
      <c r="AM179" s="195">
        <v>1</v>
      </c>
      <c r="AN179" s="195">
        <v>0</v>
      </c>
      <c r="AO179" s="195">
        <v>0</v>
      </c>
      <c r="AP179" s="103">
        <f t="shared" si="141"/>
        <v>3</v>
      </c>
      <c r="AQ179" s="103">
        <f t="shared" si="132"/>
        <v>0</v>
      </c>
      <c r="AR179" s="68" t="str">
        <f>IFERROR(VLOOKUP(A179,CUSTOMERS!$A:$B,2),"")</f>
        <v>PRD</v>
      </c>
      <c r="AS179" s="68" t="str">
        <f>IFERROR(VLOOKUP(A179,CUSTOMERS!$A:$D,3),"")</f>
        <v>BLG</v>
      </c>
      <c r="AT179" s="68" t="str">
        <f>IFERROR(VLOOKUP(A179,CUSTOMERS!$A:$F,6),"")</f>
        <v>N</v>
      </c>
      <c r="AU179" s="69">
        <f>IFERROR(VLOOKUP(A179,CUSTOMERS!$A:$E,4),"")</f>
        <v>-150</v>
      </c>
      <c r="AV179" s="68" t="str">
        <f t="shared" si="146"/>
        <v/>
      </c>
      <c r="AX179" s="71" t="str">
        <f t="shared" si="143"/>
        <v>reason179</v>
      </c>
    </row>
    <row r="180" spans="1:50" ht="50.25" customHeight="1" thickTop="1" thickBot="1">
      <c r="A180" s="188" t="s">
        <v>27</v>
      </c>
      <c r="B180" s="125" t="str">
        <f t="shared" si="147"/>
        <v>N</v>
      </c>
      <c r="C180" s="125"/>
      <c r="D180" s="126">
        <v>35</v>
      </c>
      <c r="E180" s="126"/>
      <c r="F180" s="122" t="str">
        <f t="shared" si="135"/>
        <v>PRD-BLG-2017-00035</v>
      </c>
      <c r="G180" s="123" t="s">
        <v>339</v>
      </c>
      <c r="H180" s="124" t="s">
        <v>80</v>
      </c>
      <c r="I180" s="239"/>
      <c r="J180" s="80">
        <f t="shared" si="138"/>
        <v>0</v>
      </c>
      <c r="K180" s="177">
        <f t="shared" si="142"/>
        <v>42736</v>
      </c>
      <c r="L180" s="155">
        <v>42736</v>
      </c>
      <c r="M180" s="152"/>
      <c r="N180" s="147"/>
      <c r="O180" s="147"/>
      <c r="P180" s="153"/>
      <c r="Q180" s="201" t="s">
        <v>12</v>
      </c>
      <c r="R180" s="199" t="s">
        <v>78</v>
      </c>
      <c r="S180" s="210"/>
      <c r="T180" s="210"/>
      <c r="U180" s="210"/>
      <c r="V180" s="210"/>
      <c r="W180" s="210"/>
      <c r="X180" s="154" t="s">
        <v>631</v>
      </c>
      <c r="Y180" s="173">
        <f t="shared" si="150"/>
        <v>0</v>
      </c>
      <c r="Z180" s="83">
        <f t="shared" si="139"/>
        <v>0</v>
      </c>
      <c r="AA180" s="84">
        <f t="shared" si="148"/>
        <v>0</v>
      </c>
      <c r="AB180" s="84">
        <f t="shared" si="149"/>
        <v>0</v>
      </c>
      <c r="AC180" s="84">
        <f t="shared" si="140"/>
        <v>0</v>
      </c>
      <c r="AD180" s="84"/>
      <c r="AE180" s="84">
        <f t="shared" si="144"/>
        <v>0</v>
      </c>
      <c r="AF180" s="84">
        <f t="shared" si="151"/>
        <v>0</v>
      </c>
      <c r="AG180" s="94">
        <f t="shared" si="145"/>
        <v>0</v>
      </c>
      <c r="AH180" s="85">
        <f>IFERROR(VLOOKUP(A180,CUSTOMERS!$A:$E,4),"")</f>
        <v>-150</v>
      </c>
      <c r="AI180" s="86" t="str">
        <f t="shared" si="134"/>
        <v/>
      </c>
      <c r="AJ180" s="87">
        <f>IFERROR(VLOOKUP(A180,CUSTOMERS!$A:$F,5),"")</f>
        <v>0</v>
      </c>
      <c r="AK180" s="96"/>
      <c r="AL180" s="96">
        <v>0</v>
      </c>
      <c r="AM180" s="96">
        <v>0</v>
      </c>
      <c r="AN180" s="96"/>
      <c r="AO180" s="96">
        <v>0</v>
      </c>
      <c r="AP180" s="103">
        <f t="shared" si="141"/>
        <v>0</v>
      </c>
      <c r="AQ180" s="103">
        <f t="shared" si="132"/>
        <v>0</v>
      </c>
      <c r="AR180" s="68" t="str">
        <f>IFERROR(VLOOKUP(A180,CUSTOMERS!$A:$B,2),"")</f>
        <v>PRD</v>
      </c>
      <c r="AS180" s="68" t="str">
        <f>IFERROR(VLOOKUP(A180,CUSTOMERS!$A:$D,3),"")</f>
        <v>BLG</v>
      </c>
      <c r="AT180" s="68" t="str">
        <f>IFERROR(VLOOKUP(A180,CUSTOMERS!$A:$F,6),"")</f>
        <v>N</v>
      </c>
      <c r="AU180" s="69">
        <f>IFERROR(VLOOKUP(A180,CUSTOMERS!$A:$E,4),"")</f>
        <v>-150</v>
      </c>
      <c r="AV180" s="68" t="str">
        <f t="shared" si="146"/>
        <v/>
      </c>
      <c r="AX180" s="71" t="str">
        <f t="shared" si="143"/>
        <v>reason180</v>
      </c>
    </row>
    <row r="181" spans="1:50" ht="50.25" customHeight="1" thickTop="1" thickBot="1">
      <c r="A181" s="188" t="s">
        <v>27</v>
      </c>
      <c r="B181" s="125" t="str">
        <f t="shared" si="147"/>
        <v>N</v>
      </c>
      <c r="C181" s="125"/>
      <c r="D181" s="126">
        <v>35568</v>
      </c>
      <c r="E181" s="126"/>
      <c r="F181" s="122" t="str">
        <f t="shared" si="135"/>
        <v>PRD-BLG-2021-35568</v>
      </c>
      <c r="G181" s="123" t="s">
        <v>339</v>
      </c>
      <c r="H181" s="124" t="s">
        <v>632</v>
      </c>
      <c r="I181" s="239"/>
      <c r="J181" s="220">
        <f t="shared" si="138"/>
        <v>0</v>
      </c>
      <c r="K181" s="177">
        <f t="shared" si="142"/>
        <v>44315</v>
      </c>
      <c r="L181" s="155">
        <v>44315</v>
      </c>
      <c r="M181" s="152"/>
      <c r="N181" s="147"/>
      <c r="O181" s="147"/>
      <c r="P181" s="153"/>
      <c r="Q181" s="221" t="s">
        <v>12</v>
      </c>
      <c r="R181" s="223" t="s">
        <v>4</v>
      </c>
      <c r="S181" s="210"/>
      <c r="T181" s="210"/>
      <c r="U181" s="210"/>
      <c r="V181" s="210"/>
      <c r="W181" s="210"/>
      <c r="X181" s="154" t="s">
        <v>633</v>
      </c>
      <c r="Y181" s="173">
        <f t="shared" si="150"/>
        <v>0</v>
      </c>
      <c r="Z181" s="83">
        <f t="shared" si="139"/>
        <v>0</v>
      </c>
      <c r="AA181" s="84">
        <f t="shared" si="148"/>
        <v>0</v>
      </c>
      <c r="AB181" s="84">
        <f t="shared" si="149"/>
        <v>0</v>
      </c>
      <c r="AC181" s="84">
        <f t="shared" si="140"/>
        <v>0</v>
      </c>
      <c r="AD181" s="84"/>
      <c r="AE181" s="84">
        <f t="shared" si="144"/>
        <v>0</v>
      </c>
      <c r="AF181" s="84">
        <f t="shared" si="151"/>
        <v>0</v>
      </c>
      <c r="AG181" s="94">
        <f t="shared" si="145"/>
        <v>0</v>
      </c>
      <c r="AH181" s="85">
        <f>IFERROR(VLOOKUP(A181,CUSTOMERS!$A:$E,4),"")</f>
        <v>-150</v>
      </c>
      <c r="AI181" s="86" t="str">
        <f t="shared" si="134"/>
        <v/>
      </c>
      <c r="AJ181" s="87">
        <f>IFERROR(VLOOKUP(A181,CUSTOMERS!$A:$F,5),"")</f>
        <v>0</v>
      </c>
      <c r="AK181" s="96"/>
      <c r="AL181" s="96">
        <v>0</v>
      </c>
      <c r="AM181" s="96">
        <v>0</v>
      </c>
      <c r="AN181" s="96"/>
      <c r="AO181" s="96">
        <v>0</v>
      </c>
      <c r="AP181" s="103">
        <f t="shared" si="141"/>
        <v>0</v>
      </c>
      <c r="AQ181" s="103">
        <f t="shared" ref="AQ181:AQ244" si="152">IFERROR(AP181*AJ181,"")</f>
        <v>0</v>
      </c>
      <c r="AR181" s="68" t="str">
        <f>IFERROR(VLOOKUP(A181,CUSTOMERS!$A:$B,2),"")</f>
        <v>PRD</v>
      </c>
      <c r="AS181" s="68" t="str">
        <f>IFERROR(VLOOKUP(A181,CUSTOMERS!$A:$D,3),"")</f>
        <v>BLG</v>
      </c>
      <c r="AT181" s="68" t="str">
        <f>IFERROR(VLOOKUP(A181,CUSTOMERS!$A:$F,6),"")</f>
        <v>N</v>
      </c>
      <c r="AU181" s="69">
        <f>IFERROR(VLOOKUP(A181,CUSTOMERS!$A:$E,4),"")</f>
        <v>-150</v>
      </c>
      <c r="AV181" s="68" t="str">
        <f t="shared" si="146"/>
        <v/>
      </c>
      <c r="AX181" s="71" t="str">
        <f t="shared" si="143"/>
        <v>reason181</v>
      </c>
    </row>
    <row r="182" spans="1:50" ht="50.25" customHeight="1" thickTop="1" thickBot="1">
      <c r="A182" s="188" t="s">
        <v>27</v>
      </c>
      <c r="B182" s="125" t="str">
        <f t="shared" si="147"/>
        <v>N</v>
      </c>
      <c r="C182" s="125"/>
      <c r="D182" s="126"/>
      <c r="E182" s="126"/>
      <c r="F182" s="122" t="str">
        <f t="shared" si="135"/>
        <v>PRD-BLG-2021-00000</v>
      </c>
      <c r="G182" s="123" t="s">
        <v>29</v>
      </c>
      <c r="H182" s="216" t="s">
        <v>91</v>
      </c>
      <c r="I182" s="240"/>
      <c r="J182" s="227">
        <f t="shared" si="138"/>
        <v>0</v>
      </c>
      <c r="K182" s="218">
        <f t="shared" si="142"/>
        <v>44322</v>
      </c>
      <c r="L182" s="155">
        <v>44322</v>
      </c>
      <c r="M182" s="152"/>
      <c r="N182" s="147"/>
      <c r="O182" s="147"/>
      <c r="P182" s="217"/>
      <c r="Q182" s="213" t="s">
        <v>16</v>
      </c>
      <c r="R182" s="213" t="s">
        <v>31</v>
      </c>
      <c r="S182" s="219" t="s">
        <v>308</v>
      </c>
      <c r="T182" s="213"/>
      <c r="U182" s="213"/>
      <c r="V182" s="213"/>
      <c r="W182" s="213"/>
      <c r="X182" s="154" t="s">
        <v>634</v>
      </c>
      <c r="Y182" s="173">
        <f t="shared" si="150"/>
        <v>0</v>
      </c>
      <c r="Z182" s="83">
        <f t="shared" si="139"/>
        <v>0</v>
      </c>
      <c r="AA182" s="84">
        <f t="shared" si="148"/>
        <v>0</v>
      </c>
      <c r="AB182" s="84">
        <f t="shared" si="149"/>
        <v>0</v>
      </c>
      <c r="AC182" s="84">
        <f t="shared" si="140"/>
        <v>0</v>
      </c>
      <c r="AD182" s="84"/>
      <c r="AE182" s="84">
        <f t="shared" si="144"/>
        <v>0</v>
      </c>
      <c r="AF182" s="84">
        <f t="shared" si="151"/>
        <v>0</v>
      </c>
      <c r="AG182" s="94">
        <f t="shared" si="145"/>
        <v>0</v>
      </c>
      <c r="AH182" s="85">
        <f>IFERROR(VLOOKUP(A182,CUSTOMERS!$A:$E,4),"")</f>
        <v>-150</v>
      </c>
      <c r="AI182" s="86" t="str">
        <f t="shared" si="134"/>
        <v/>
      </c>
      <c r="AJ182" s="87">
        <f>IFERROR(VLOOKUP(A182,CUSTOMERS!$A:$F,5),"")</f>
        <v>0</v>
      </c>
      <c r="AK182" s="96"/>
      <c r="AL182" s="96">
        <v>0</v>
      </c>
      <c r="AM182" s="96">
        <v>0</v>
      </c>
      <c r="AN182" s="96"/>
      <c r="AO182" s="96">
        <v>0</v>
      </c>
      <c r="AP182" s="103">
        <f t="shared" si="141"/>
        <v>0</v>
      </c>
      <c r="AQ182" s="103">
        <f t="shared" si="152"/>
        <v>0</v>
      </c>
      <c r="AR182" s="68" t="str">
        <f>IFERROR(VLOOKUP(A182,CUSTOMERS!$A:$B,2),"")</f>
        <v>PRD</v>
      </c>
      <c r="AS182" s="68" t="str">
        <f>IFERROR(VLOOKUP(A182,CUSTOMERS!$A:$D,3),"")</f>
        <v>BLG</v>
      </c>
      <c r="AT182" s="68" t="str">
        <f>IFERROR(VLOOKUP(A182,CUSTOMERS!$A:$F,6),"")</f>
        <v>N</v>
      </c>
      <c r="AU182" s="69">
        <f>IFERROR(VLOOKUP(A182,CUSTOMERS!$A:$E,4),"")</f>
        <v>-150</v>
      </c>
      <c r="AV182" s="68" t="str">
        <f t="shared" si="146"/>
        <v/>
      </c>
      <c r="AX182" s="71" t="str">
        <f t="shared" si="143"/>
        <v>reason182</v>
      </c>
    </row>
    <row r="183" spans="1:50" ht="50.25" customHeight="1" thickTop="1" thickBot="1">
      <c r="A183" s="188" t="s">
        <v>27</v>
      </c>
      <c r="B183" s="125" t="str">
        <f t="shared" si="147"/>
        <v>N</v>
      </c>
      <c r="C183" s="125"/>
      <c r="D183" s="126"/>
      <c r="E183" s="126"/>
      <c r="F183" s="122" t="str">
        <f t="shared" si="135"/>
        <v>PRD-BLG-2021-00000</v>
      </c>
      <c r="G183" s="123" t="s">
        <v>339</v>
      </c>
      <c r="H183" s="124" t="s">
        <v>635</v>
      </c>
      <c r="I183" s="239"/>
      <c r="J183" s="224">
        <f t="shared" si="138"/>
        <v>0</v>
      </c>
      <c r="K183" s="177">
        <f t="shared" ref="K183:K214" si="153">MAX(L183:R183)</f>
        <v>44322</v>
      </c>
      <c r="L183" s="155">
        <v>44322</v>
      </c>
      <c r="M183" s="152"/>
      <c r="N183" s="147"/>
      <c r="O183" s="147"/>
      <c r="P183" s="153"/>
      <c r="Q183" s="225" t="s">
        <v>18</v>
      </c>
      <c r="R183" s="226" t="s">
        <v>31</v>
      </c>
      <c r="S183" s="210"/>
      <c r="T183" s="210"/>
      <c r="U183" s="210"/>
      <c r="V183" s="210"/>
      <c r="W183" s="210"/>
      <c r="X183" s="154" t="s">
        <v>636</v>
      </c>
      <c r="Y183" s="173">
        <f t="shared" si="150"/>
        <v>0</v>
      </c>
      <c r="Z183" s="83">
        <f t="shared" si="139"/>
        <v>0</v>
      </c>
      <c r="AA183" s="84">
        <f t="shared" si="148"/>
        <v>0</v>
      </c>
      <c r="AB183" s="84">
        <f t="shared" si="149"/>
        <v>0</v>
      </c>
      <c r="AC183" s="84">
        <f t="shared" si="140"/>
        <v>0</v>
      </c>
      <c r="AD183" s="84"/>
      <c r="AE183" s="84">
        <f t="shared" si="144"/>
        <v>0</v>
      </c>
      <c r="AF183" s="84">
        <f t="shared" si="151"/>
        <v>0</v>
      </c>
      <c r="AG183" s="94">
        <f t="shared" si="145"/>
        <v>0</v>
      </c>
      <c r="AH183" s="85">
        <f>IFERROR(VLOOKUP(A183,CUSTOMERS!$A:$E,4),"")</f>
        <v>-150</v>
      </c>
      <c r="AI183" s="86" t="str">
        <f t="shared" si="134"/>
        <v/>
      </c>
      <c r="AJ183" s="87">
        <f>IFERROR(VLOOKUP(A183,CUSTOMERS!$A:$F,5),"")</f>
        <v>0</v>
      </c>
      <c r="AK183" s="96"/>
      <c r="AL183" s="96">
        <v>0</v>
      </c>
      <c r="AM183" s="96">
        <v>0</v>
      </c>
      <c r="AN183" s="96"/>
      <c r="AO183" s="96">
        <v>0</v>
      </c>
      <c r="AP183" s="103">
        <f t="shared" si="141"/>
        <v>0</v>
      </c>
      <c r="AQ183" s="103">
        <f t="shared" si="152"/>
        <v>0</v>
      </c>
      <c r="AR183" s="68" t="str">
        <f>IFERROR(VLOOKUP(A183,CUSTOMERS!$A:$B,2),"")</f>
        <v>PRD</v>
      </c>
      <c r="AS183" s="68" t="str">
        <f>IFERROR(VLOOKUP(A183,CUSTOMERS!$A:$D,3),"")</f>
        <v>BLG</v>
      </c>
      <c r="AT183" s="68" t="str">
        <f>IFERROR(VLOOKUP(A183,CUSTOMERS!$A:$F,6),"")</f>
        <v>N</v>
      </c>
      <c r="AU183" s="69">
        <f>IFERROR(VLOOKUP(A183,CUSTOMERS!$A:$E,4),"")</f>
        <v>-150</v>
      </c>
      <c r="AV183" s="68" t="str">
        <f t="shared" si="146"/>
        <v/>
      </c>
      <c r="AX183" s="71" t="str">
        <f t="shared" si="143"/>
        <v>reason183</v>
      </c>
    </row>
    <row r="184" spans="1:50" ht="50.25" customHeight="1" thickTop="1" thickBot="1">
      <c r="A184" s="188" t="s">
        <v>158</v>
      </c>
      <c r="B184" s="125" t="str">
        <f t="shared" si="147"/>
        <v>Y</v>
      </c>
      <c r="C184" s="125"/>
      <c r="D184" s="126">
        <v>6</v>
      </c>
      <c r="E184" s="126"/>
      <c r="F184" s="122" t="str">
        <f t="shared" si="135"/>
        <v>N26-RSC-2021-00006</v>
      </c>
      <c r="G184" s="123" t="s">
        <v>103</v>
      </c>
      <c r="H184" s="124" t="s">
        <v>178</v>
      </c>
      <c r="I184" s="239"/>
      <c r="J184" s="80">
        <f t="shared" si="138"/>
        <v>9509.4449999999997</v>
      </c>
      <c r="K184" s="177">
        <f t="shared" si="153"/>
        <v>44351</v>
      </c>
      <c r="L184" s="155">
        <v>44322</v>
      </c>
      <c r="M184" s="152">
        <v>44322</v>
      </c>
      <c r="N184" s="147">
        <v>44351</v>
      </c>
      <c r="O184" s="147"/>
      <c r="P184" s="153"/>
      <c r="Q184" s="201" t="s">
        <v>15</v>
      </c>
      <c r="R184" s="199" t="s">
        <v>4</v>
      </c>
      <c r="S184" s="210"/>
      <c r="T184" s="210"/>
      <c r="U184" s="210"/>
      <c r="V184" s="210"/>
      <c r="W184" s="210"/>
      <c r="X184" s="154"/>
      <c r="Y184" s="173">
        <f t="shared" si="150"/>
        <v>9509.4449999999997</v>
      </c>
      <c r="Z184" s="83">
        <f t="shared" si="139"/>
        <v>0</v>
      </c>
      <c r="AA184" s="84">
        <f t="shared" si="148"/>
        <v>5042.8874999999998</v>
      </c>
      <c r="AB184" s="84">
        <f t="shared" si="149"/>
        <v>1440.825</v>
      </c>
      <c r="AC184" s="84">
        <f t="shared" si="140"/>
        <v>1440.825</v>
      </c>
      <c r="AD184" s="84"/>
      <c r="AE184" s="84">
        <f t="shared" si="144"/>
        <v>0</v>
      </c>
      <c r="AF184" s="84">
        <f t="shared" si="151"/>
        <v>7924.5374999999995</v>
      </c>
      <c r="AG184" s="94">
        <f t="shared" si="145"/>
        <v>1584.9075000000003</v>
      </c>
      <c r="AH184" s="85">
        <f>IFERROR(VLOOKUP(A184,CUSTOMERS!$A:$E,4),"")</f>
        <v>192.11</v>
      </c>
      <c r="AI184" s="86" t="str">
        <f t="shared" ref="AI184:AI247" si="154">AV184</f>
        <v/>
      </c>
      <c r="AJ184" s="87">
        <f>IFERROR(VLOOKUP(A184,CUSTOMERS!$A:$F,5),"")</f>
        <v>0.2</v>
      </c>
      <c r="AK184" s="96"/>
      <c r="AL184" s="96">
        <v>3.5</v>
      </c>
      <c r="AM184" s="96">
        <v>1</v>
      </c>
      <c r="AN184" s="96">
        <v>1</v>
      </c>
      <c r="AO184" s="96">
        <v>0</v>
      </c>
      <c r="AP184" s="103">
        <f t="shared" si="141"/>
        <v>5.5</v>
      </c>
      <c r="AQ184" s="103">
        <f t="shared" si="152"/>
        <v>1.1000000000000001</v>
      </c>
      <c r="AR184" s="68" t="str">
        <f>IFERROR(VLOOKUP(A184,CUSTOMERS!$A:$B,2),"")</f>
        <v>N26</v>
      </c>
      <c r="AS184" s="68" t="str">
        <f>IFERROR(VLOOKUP(A184,CUSTOMERS!$A:$D,3),"")</f>
        <v>RSC</v>
      </c>
      <c r="AT184" s="68" t="str">
        <f>IFERROR(VLOOKUP(A184,CUSTOMERS!$A:$F,6),"")</f>
        <v>Y</v>
      </c>
      <c r="AU184" s="69">
        <f>IFERROR(VLOOKUP(A184,CUSTOMERS!$A:$E,4),"")</f>
        <v>192.11</v>
      </c>
      <c r="AV184" s="68" t="str">
        <f t="shared" si="146"/>
        <v/>
      </c>
      <c r="AX184" s="71" t="str">
        <f t="shared" si="143"/>
        <v>reason184</v>
      </c>
    </row>
    <row r="185" spans="1:50" ht="50.25" customHeight="1" thickTop="1" thickBot="1">
      <c r="A185" s="188" t="s">
        <v>27</v>
      </c>
      <c r="B185" s="125" t="str">
        <f t="shared" si="147"/>
        <v>N</v>
      </c>
      <c r="C185" s="125"/>
      <c r="D185" s="126"/>
      <c r="E185" s="126"/>
      <c r="F185" s="122" t="str">
        <f t="shared" si="135"/>
        <v>PRD-BLG-2021-00000</v>
      </c>
      <c r="G185" s="186" t="s">
        <v>200</v>
      </c>
      <c r="H185" s="124" t="s">
        <v>637</v>
      </c>
      <c r="I185" s="239"/>
      <c r="J185" s="80">
        <f t="shared" si="138"/>
        <v>0</v>
      </c>
      <c r="K185" s="177">
        <f t="shared" si="153"/>
        <v>44329</v>
      </c>
      <c r="L185" s="155">
        <v>44329</v>
      </c>
      <c r="M185" s="152"/>
      <c r="N185" s="147"/>
      <c r="O185" s="147"/>
      <c r="P185" s="153"/>
      <c r="Q185" s="201" t="s">
        <v>15</v>
      </c>
      <c r="R185" s="199" t="s">
        <v>25</v>
      </c>
      <c r="S185" s="210"/>
      <c r="T185" s="210"/>
      <c r="U185" s="210"/>
      <c r="V185" s="210"/>
      <c r="W185" s="210"/>
      <c r="X185" s="154" t="s">
        <v>638</v>
      </c>
      <c r="Y185" s="173">
        <f t="shared" si="150"/>
        <v>0</v>
      </c>
      <c r="Z185" s="83">
        <f t="shared" si="139"/>
        <v>0</v>
      </c>
      <c r="AA185" s="84">
        <f t="shared" si="148"/>
        <v>0</v>
      </c>
      <c r="AB185" s="84">
        <f t="shared" si="149"/>
        <v>0</v>
      </c>
      <c r="AC185" s="84">
        <f t="shared" si="140"/>
        <v>0</v>
      </c>
      <c r="AD185" s="84"/>
      <c r="AE185" s="84">
        <f t="shared" si="144"/>
        <v>0</v>
      </c>
      <c r="AF185" s="84">
        <f t="shared" si="151"/>
        <v>0</v>
      </c>
      <c r="AG185" s="94">
        <f t="shared" si="145"/>
        <v>0</v>
      </c>
      <c r="AH185" s="85">
        <f>IFERROR(VLOOKUP(A185,CUSTOMERS!$A:$E,4),"")</f>
        <v>-150</v>
      </c>
      <c r="AI185" s="86" t="str">
        <f t="shared" si="154"/>
        <v/>
      </c>
      <c r="AJ185" s="87">
        <f>IFERROR(VLOOKUP(A185,CUSTOMERS!$A:$F,5),"")</f>
        <v>0</v>
      </c>
      <c r="AK185" s="96"/>
      <c r="AL185" s="96">
        <v>0</v>
      </c>
      <c r="AM185" s="96">
        <v>0</v>
      </c>
      <c r="AN185" s="96"/>
      <c r="AO185" s="96">
        <v>0</v>
      </c>
      <c r="AP185" s="103">
        <f t="shared" si="141"/>
        <v>0</v>
      </c>
      <c r="AQ185" s="103">
        <f t="shared" si="152"/>
        <v>0</v>
      </c>
      <c r="AR185" s="68" t="str">
        <f>IFERROR(VLOOKUP(A185,CUSTOMERS!$A:$B,2),"")</f>
        <v>PRD</v>
      </c>
      <c r="AS185" s="68" t="str">
        <f>IFERROR(VLOOKUP(A185,CUSTOMERS!$A:$D,3),"")</f>
        <v>BLG</v>
      </c>
      <c r="AT185" s="68" t="str">
        <f>IFERROR(VLOOKUP(A185,CUSTOMERS!$A:$F,6),"")</f>
        <v>N</v>
      </c>
      <c r="AU185" s="69">
        <f>IFERROR(VLOOKUP(A185,CUSTOMERS!$A:$E,4),"")</f>
        <v>-150</v>
      </c>
      <c r="AV185" s="68" t="str">
        <f t="shared" si="146"/>
        <v/>
      </c>
      <c r="AX185" s="71" t="str">
        <f t="shared" si="143"/>
        <v>reason185</v>
      </c>
    </row>
    <row r="186" spans="1:50" ht="50.25" customHeight="1" thickTop="1" thickBot="1">
      <c r="A186" s="188" t="s">
        <v>27</v>
      </c>
      <c r="B186" s="125" t="str">
        <f t="shared" si="147"/>
        <v>N</v>
      </c>
      <c r="C186" s="125"/>
      <c r="D186" s="126"/>
      <c r="E186" s="126"/>
      <c r="F186" s="122" t="str">
        <f t="shared" si="135"/>
        <v>PRD-BLG-2021-00000</v>
      </c>
      <c r="G186" s="186" t="s">
        <v>103</v>
      </c>
      <c r="H186" s="124" t="s">
        <v>639</v>
      </c>
      <c r="I186" s="239"/>
      <c r="J186" s="80">
        <f t="shared" si="138"/>
        <v>0</v>
      </c>
      <c r="K186" s="177">
        <f t="shared" si="153"/>
        <v>44340</v>
      </c>
      <c r="L186" s="155">
        <v>44340</v>
      </c>
      <c r="M186" s="152"/>
      <c r="N186" s="147"/>
      <c r="O186" s="147"/>
      <c r="P186" s="153"/>
      <c r="Q186" s="201" t="s">
        <v>12</v>
      </c>
      <c r="R186" s="199" t="s">
        <v>31</v>
      </c>
      <c r="S186" s="210"/>
      <c r="T186" s="210"/>
      <c r="U186" s="210"/>
      <c r="V186" s="210"/>
      <c r="W186" s="210"/>
      <c r="X186" s="154" t="s">
        <v>640</v>
      </c>
      <c r="Y186" s="173">
        <f t="shared" si="150"/>
        <v>0</v>
      </c>
      <c r="Z186" s="83">
        <f t="shared" si="139"/>
        <v>0</v>
      </c>
      <c r="AA186" s="84">
        <f t="shared" si="148"/>
        <v>0</v>
      </c>
      <c r="AB186" s="84">
        <f t="shared" si="149"/>
        <v>0</v>
      </c>
      <c r="AC186" s="84">
        <f t="shared" si="140"/>
        <v>0</v>
      </c>
      <c r="AD186" s="84"/>
      <c r="AE186" s="84">
        <f t="shared" si="144"/>
        <v>0</v>
      </c>
      <c r="AF186" s="84">
        <f t="shared" si="151"/>
        <v>0</v>
      </c>
      <c r="AG186" s="94">
        <f t="shared" si="145"/>
        <v>0</v>
      </c>
      <c r="AH186" s="85">
        <f>IFERROR(VLOOKUP(A186,CUSTOMERS!$A:$E,4),"")</f>
        <v>-150</v>
      </c>
      <c r="AI186" s="86" t="str">
        <f t="shared" si="154"/>
        <v/>
      </c>
      <c r="AJ186" s="87">
        <f>IFERROR(VLOOKUP(A186,CUSTOMERS!$A:$F,5),"")</f>
        <v>0</v>
      </c>
      <c r="AK186" s="96"/>
      <c r="AL186" s="96">
        <v>0</v>
      </c>
      <c r="AM186" s="96">
        <v>0</v>
      </c>
      <c r="AN186" s="96"/>
      <c r="AO186" s="96">
        <v>0</v>
      </c>
      <c r="AP186" s="103">
        <f t="shared" si="141"/>
        <v>0</v>
      </c>
      <c r="AQ186" s="103">
        <f t="shared" si="152"/>
        <v>0</v>
      </c>
      <c r="AR186" s="68" t="str">
        <f>IFERROR(VLOOKUP(A186,CUSTOMERS!$A:$B,2),"")</f>
        <v>PRD</v>
      </c>
      <c r="AS186" s="68" t="str">
        <f>IFERROR(VLOOKUP(A186,CUSTOMERS!$A:$D,3),"")</f>
        <v>BLG</v>
      </c>
      <c r="AT186" s="68" t="str">
        <f>IFERROR(VLOOKUP(A186,CUSTOMERS!$A:$F,6),"")</f>
        <v>N</v>
      </c>
      <c r="AU186" s="69">
        <f>IFERROR(VLOOKUP(A186,CUSTOMERS!$A:$E,4),"")</f>
        <v>-150</v>
      </c>
      <c r="AV186" s="68" t="str">
        <f t="shared" si="146"/>
        <v/>
      </c>
      <c r="AX186" s="71" t="str">
        <f t="shared" si="143"/>
        <v>reason186</v>
      </c>
    </row>
    <row r="187" spans="1:50" ht="50.25" customHeight="1" thickTop="1" thickBot="1">
      <c r="A187" s="188" t="s">
        <v>50</v>
      </c>
      <c r="B187" s="125" t="str">
        <f t="shared" si="147"/>
        <v>N</v>
      </c>
      <c r="C187" s="125"/>
      <c r="D187" s="126">
        <v>187</v>
      </c>
      <c r="E187" s="126"/>
      <c r="F187" s="122" t="str">
        <f t="shared" si="135"/>
        <v>PRD-REQ-2021-00187</v>
      </c>
      <c r="G187" s="186" t="s">
        <v>35</v>
      </c>
      <c r="H187" s="124" t="s">
        <v>641</v>
      </c>
      <c r="I187" s="239"/>
      <c r="J187" s="80">
        <f t="shared" si="138"/>
        <v>0</v>
      </c>
      <c r="K187" s="177">
        <f t="shared" si="153"/>
        <v>44370</v>
      </c>
      <c r="L187" s="155">
        <v>44370</v>
      </c>
      <c r="M187" s="152"/>
      <c r="N187" s="147"/>
      <c r="O187" s="147"/>
      <c r="P187" s="153"/>
      <c r="Q187" s="201" t="s">
        <v>16</v>
      </c>
      <c r="R187" s="199" t="s">
        <v>31</v>
      </c>
      <c r="S187" s="210"/>
      <c r="T187" s="210"/>
      <c r="U187" s="210"/>
      <c r="V187" s="210"/>
      <c r="W187" s="210"/>
      <c r="X187" s="154" t="s">
        <v>642</v>
      </c>
      <c r="Y187" s="173">
        <f t="shared" si="150"/>
        <v>0</v>
      </c>
      <c r="Z187" s="83">
        <f t="shared" si="139"/>
        <v>0</v>
      </c>
      <c r="AA187" s="84">
        <f t="shared" si="148"/>
        <v>0</v>
      </c>
      <c r="AB187" s="84">
        <f t="shared" si="149"/>
        <v>0</v>
      </c>
      <c r="AC187" s="84">
        <f t="shared" si="140"/>
        <v>0</v>
      </c>
      <c r="AD187" s="84"/>
      <c r="AE187" s="84">
        <f t="shared" si="144"/>
        <v>0</v>
      </c>
      <c r="AF187" s="84">
        <f t="shared" si="151"/>
        <v>0</v>
      </c>
      <c r="AG187" s="94">
        <f t="shared" si="145"/>
        <v>0</v>
      </c>
      <c r="AH187" s="85">
        <f>IFERROR(VLOOKUP(A187,CUSTOMERS!$A:$E,4),"")</f>
        <v>-150</v>
      </c>
      <c r="AI187" s="86" t="str">
        <f t="shared" si="154"/>
        <v/>
      </c>
      <c r="AJ187" s="87">
        <f>IFERROR(VLOOKUP(A187,CUSTOMERS!$A:$F,5),"")</f>
        <v>0</v>
      </c>
      <c r="AK187" s="96"/>
      <c r="AL187" s="96">
        <v>0</v>
      </c>
      <c r="AM187" s="96">
        <v>0</v>
      </c>
      <c r="AN187" s="96"/>
      <c r="AO187" s="96">
        <v>0</v>
      </c>
      <c r="AP187" s="103">
        <f t="shared" si="141"/>
        <v>0</v>
      </c>
      <c r="AQ187" s="103">
        <f t="shared" si="152"/>
        <v>0</v>
      </c>
      <c r="AR187" s="68" t="str">
        <f>IFERROR(VLOOKUP(A187,CUSTOMERS!$A:$B,2),"")</f>
        <v>PRD</v>
      </c>
      <c r="AS187" s="68" t="str">
        <f>IFERROR(VLOOKUP(A187,CUSTOMERS!$A:$D,3),"")</f>
        <v>REQ</v>
      </c>
      <c r="AT187" s="68" t="str">
        <f>IFERROR(VLOOKUP(A187,CUSTOMERS!$A:$F,6),"")</f>
        <v>N</v>
      </c>
      <c r="AU187" s="69">
        <f>IFERROR(VLOOKUP(A187,CUSTOMERS!$A:$E,4),"")</f>
        <v>-150</v>
      </c>
      <c r="AV187" s="68" t="str">
        <f t="shared" si="146"/>
        <v/>
      </c>
      <c r="AX187" s="71" t="str">
        <f t="shared" si="143"/>
        <v>reason187</v>
      </c>
    </row>
    <row r="188" spans="1:50" ht="50.25" customHeight="1" thickTop="1" thickBot="1">
      <c r="A188" s="188" t="s">
        <v>114</v>
      </c>
      <c r="B188" s="125" t="str">
        <f t="shared" si="147"/>
        <v>Y</v>
      </c>
      <c r="C188" s="125"/>
      <c r="D188" s="126">
        <v>657</v>
      </c>
      <c r="E188" s="126"/>
      <c r="F188" s="122" t="str">
        <f t="shared" si="135"/>
        <v>BOI-RSC-2021-00657</v>
      </c>
      <c r="G188" s="186" t="s">
        <v>109</v>
      </c>
      <c r="H188" s="124" t="s">
        <v>179</v>
      </c>
      <c r="I188" s="239"/>
      <c r="J188" s="80">
        <f t="shared" si="138"/>
        <v>53379</v>
      </c>
      <c r="K188" s="177">
        <f t="shared" si="153"/>
        <v>44384</v>
      </c>
      <c r="L188" s="155">
        <v>44384</v>
      </c>
      <c r="M188" s="152"/>
      <c r="N188" s="147"/>
      <c r="O188" s="147"/>
      <c r="P188" s="153"/>
      <c r="Q188" s="201" t="s">
        <v>13</v>
      </c>
      <c r="R188" s="199"/>
      <c r="S188" s="210" t="s">
        <v>308</v>
      </c>
      <c r="T188" s="210" t="s">
        <v>6</v>
      </c>
      <c r="U188" s="210" t="s">
        <v>6</v>
      </c>
      <c r="V188" s="210"/>
      <c r="W188" s="210"/>
      <c r="X188" s="154"/>
      <c r="Y188" s="173">
        <f t="shared" si="150"/>
        <v>53379</v>
      </c>
      <c r="Z188" s="83">
        <f t="shared" si="139"/>
        <v>0</v>
      </c>
      <c r="AA188" s="84">
        <f t="shared" si="148"/>
        <v>31137.75</v>
      </c>
      <c r="AB188" s="84">
        <f t="shared" si="149"/>
        <v>7413.75</v>
      </c>
      <c r="AC188" s="84">
        <f t="shared" si="140"/>
        <v>0</v>
      </c>
      <c r="AD188" s="84"/>
      <c r="AE188" s="84">
        <f t="shared" si="144"/>
        <v>5931</v>
      </c>
      <c r="AF188" s="84">
        <f t="shared" si="151"/>
        <v>44482.5</v>
      </c>
      <c r="AG188" s="94">
        <f t="shared" si="145"/>
        <v>8896.4999999999982</v>
      </c>
      <c r="AH188" s="85">
        <f>IFERROR(VLOOKUP(A188,CUSTOMERS!$A:$E,4),"")</f>
        <v>197.7</v>
      </c>
      <c r="AI188" s="86" t="str">
        <f t="shared" si="154"/>
        <v/>
      </c>
      <c r="AJ188" s="87">
        <f>IFERROR(VLOOKUP(A188,CUSTOMERS!$A:$F,5),"")</f>
        <v>0.2</v>
      </c>
      <c r="AK188" s="96"/>
      <c r="AL188" s="96">
        <v>21</v>
      </c>
      <c r="AM188" s="96">
        <v>5</v>
      </c>
      <c r="AN188" s="96"/>
      <c r="AO188" s="96">
        <v>4</v>
      </c>
      <c r="AP188" s="103">
        <f t="shared" si="141"/>
        <v>30</v>
      </c>
      <c r="AQ188" s="103">
        <f t="shared" si="152"/>
        <v>6</v>
      </c>
      <c r="AR188" s="68" t="str">
        <f>IFERROR(VLOOKUP(A188,CUSTOMERS!$A:$B,2),"")</f>
        <v>BOI</v>
      </c>
      <c r="AS188" s="68" t="str">
        <f>IFERROR(VLOOKUP(A188,CUSTOMERS!$A:$D,3),"")</f>
        <v>RSC</v>
      </c>
      <c r="AT188" s="68" t="str">
        <f>IFERROR(VLOOKUP(A188,CUSTOMERS!$A:$F,6),"")</f>
        <v>Y</v>
      </c>
      <c r="AU188" s="69">
        <f>IFERROR(VLOOKUP(A188,CUSTOMERS!$A:$E,4),"")</f>
        <v>197.7</v>
      </c>
      <c r="AV188" s="68" t="str">
        <f t="shared" si="146"/>
        <v/>
      </c>
      <c r="AX188" s="71" t="str">
        <f t="shared" si="143"/>
        <v>reason188</v>
      </c>
    </row>
    <row r="189" spans="1:50" ht="50.25" customHeight="1" thickTop="1" thickBot="1">
      <c r="A189" s="188" t="s">
        <v>131</v>
      </c>
      <c r="B189" s="125" t="str">
        <f t="shared" si="147"/>
        <v>Y</v>
      </c>
      <c r="C189" s="125"/>
      <c r="D189" s="126">
        <v>90</v>
      </c>
      <c r="E189" s="126"/>
      <c r="F189" s="122" t="str">
        <f t="shared" si="135"/>
        <v>BDB-RSC-2021-00090</v>
      </c>
      <c r="G189" s="186" t="s">
        <v>180</v>
      </c>
      <c r="H189" s="124" t="s">
        <v>181</v>
      </c>
      <c r="I189" s="239"/>
      <c r="J189" s="80">
        <f t="shared" si="138"/>
        <v>0</v>
      </c>
      <c r="K189" s="177">
        <f t="shared" si="153"/>
        <v>44197</v>
      </c>
      <c r="L189" s="160">
        <v>44197</v>
      </c>
      <c r="M189" s="161"/>
      <c r="N189" s="162"/>
      <c r="O189" s="162"/>
      <c r="P189" s="163"/>
      <c r="Q189" s="202" t="s">
        <v>15</v>
      </c>
      <c r="R189" s="204" t="s">
        <v>643</v>
      </c>
      <c r="S189" s="211"/>
      <c r="T189" s="211"/>
      <c r="U189" s="211"/>
      <c r="V189" s="211"/>
      <c r="W189" s="211"/>
      <c r="X189" s="154" t="s">
        <v>644</v>
      </c>
      <c r="Y189" s="173">
        <f t="shared" si="150"/>
        <v>0</v>
      </c>
      <c r="Z189" s="83">
        <f t="shared" si="139"/>
        <v>0</v>
      </c>
      <c r="AA189" s="84">
        <f t="shared" si="148"/>
        <v>0</v>
      </c>
      <c r="AB189" s="84">
        <f t="shared" si="149"/>
        <v>0</v>
      </c>
      <c r="AC189" s="84">
        <f t="shared" si="140"/>
        <v>0</v>
      </c>
      <c r="AD189" s="84"/>
      <c r="AE189" s="84">
        <f t="shared" si="144"/>
        <v>0</v>
      </c>
      <c r="AF189" s="84">
        <f t="shared" si="151"/>
        <v>0</v>
      </c>
      <c r="AG189" s="94">
        <f t="shared" si="145"/>
        <v>0</v>
      </c>
      <c r="AH189" s="85">
        <f>IFERROR(VLOOKUP(A189,CUSTOMERS!$A:$E,4),"")</f>
        <v>215.76</v>
      </c>
      <c r="AI189" s="86" t="str">
        <f t="shared" si="154"/>
        <v/>
      </c>
      <c r="AJ189" s="87">
        <f>IFERROR(VLOOKUP(A189,CUSTOMERS!$A:$F,5),"")</f>
        <v>0.2</v>
      </c>
      <c r="AK189" s="96"/>
      <c r="AL189" s="96"/>
      <c r="AM189" s="96"/>
      <c r="AN189" s="96"/>
      <c r="AO189" s="96"/>
      <c r="AP189" s="103">
        <f t="shared" si="141"/>
        <v>0</v>
      </c>
      <c r="AQ189" s="103">
        <f t="shared" si="152"/>
        <v>0</v>
      </c>
      <c r="AR189" s="68" t="str">
        <f>IFERROR(VLOOKUP(A189,CUSTOMERS!$A:$B,2),"")</f>
        <v>BDB</v>
      </c>
      <c r="AS189" s="68" t="str">
        <f>IFERROR(VLOOKUP(A189,CUSTOMERS!$A:$D,3),"")</f>
        <v>RSC</v>
      </c>
      <c r="AT189" s="68" t="str">
        <f>IFERROR(VLOOKUP(A189,CUSTOMERS!$A:$F,6),"")</f>
        <v>Y</v>
      </c>
      <c r="AU189" s="69">
        <f>IFERROR(VLOOKUP(A189,CUSTOMERS!$A:$E,4),"")</f>
        <v>215.76</v>
      </c>
      <c r="AV189" s="68" t="str">
        <f t="shared" si="146"/>
        <v/>
      </c>
      <c r="AX189" s="71" t="str">
        <f t="shared" si="143"/>
        <v>reason189</v>
      </c>
    </row>
    <row r="190" spans="1:50" ht="50.25" customHeight="1" thickTop="1" thickBot="1">
      <c r="A190" s="188" t="s">
        <v>162</v>
      </c>
      <c r="B190" s="125" t="str">
        <f t="shared" si="147"/>
        <v>Y</v>
      </c>
      <c r="C190" s="125"/>
      <c r="D190" s="126">
        <v>221</v>
      </c>
      <c r="E190" s="126"/>
      <c r="F190" s="122" t="str">
        <f t="shared" si="135"/>
        <v>RMB-RSC-2021-00221</v>
      </c>
      <c r="G190" s="186" t="s">
        <v>129</v>
      </c>
      <c r="H190" s="124" t="s">
        <v>182</v>
      </c>
      <c r="I190" s="239">
        <v>44467</v>
      </c>
      <c r="J190" s="80">
        <f t="shared" si="138"/>
        <v>4230.9539999999997</v>
      </c>
      <c r="K190" s="177">
        <f t="shared" si="153"/>
        <v>44435</v>
      </c>
      <c r="L190" s="160">
        <v>44435</v>
      </c>
      <c r="M190" s="161"/>
      <c r="N190" s="162"/>
      <c r="O190" s="162"/>
      <c r="P190" s="163"/>
      <c r="Q190" s="202" t="s">
        <v>17</v>
      </c>
      <c r="R190" s="204"/>
      <c r="S190" s="211"/>
      <c r="T190" s="211"/>
      <c r="U190" s="211"/>
      <c r="V190" s="211"/>
      <c r="W190" s="211"/>
      <c r="X190" s="154"/>
      <c r="Y190" s="173">
        <f t="shared" si="150"/>
        <v>4230.9539999999997</v>
      </c>
      <c r="Z190" s="83">
        <f t="shared" si="139"/>
        <v>0</v>
      </c>
      <c r="AA190" s="84">
        <f t="shared" si="148"/>
        <v>2671.4677499999998</v>
      </c>
      <c r="AB190" s="84">
        <f t="shared" si="149"/>
        <v>678.03750000000002</v>
      </c>
      <c r="AC190" s="84">
        <f t="shared" si="140"/>
        <v>0</v>
      </c>
      <c r="AD190" s="84"/>
      <c r="AE190" s="84">
        <f t="shared" si="144"/>
        <v>176.28975000000003</v>
      </c>
      <c r="AF190" s="84">
        <f t="shared" si="151"/>
        <v>3525.7949999999996</v>
      </c>
      <c r="AG190" s="94">
        <f t="shared" si="145"/>
        <v>705.15899999999988</v>
      </c>
      <c r="AH190" s="85">
        <f>IFERROR(VLOOKUP(A190,CUSTOMERS!$A:$E,4),"")</f>
        <v>180.81</v>
      </c>
      <c r="AI190" s="86" t="str">
        <f t="shared" si="154"/>
        <v/>
      </c>
      <c r="AJ190" s="87">
        <v>0.2</v>
      </c>
      <c r="AK190" s="96"/>
      <c r="AL190" s="96">
        <v>1.97</v>
      </c>
      <c r="AM190" s="96">
        <v>0.5</v>
      </c>
      <c r="AN190" s="96"/>
      <c r="AO190" s="96">
        <v>0.13</v>
      </c>
      <c r="AP190" s="103">
        <f t="shared" si="141"/>
        <v>2.5999999999999996</v>
      </c>
      <c r="AQ190" s="103">
        <f t="shared" si="152"/>
        <v>0.51999999999999991</v>
      </c>
      <c r="AR190" s="68" t="str">
        <f>IFERROR(VLOOKUP(A190,CUSTOMERS!$A:$B,2),"")</f>
        <v>RMB</v>
      </c>
      <c r="AS190" s="68" t="str">
        <f>IFERROR(VLOOKUP(A190,CUSTOMERS!$A:$D,3),"")</f>
        <v>RSC</v>
      </c>
      <c r="AT190" s="68" t="str">
        <f>IFERROR(VLOOKUP(A190,CUSTOMERS!$A:$F,6),"")</f>
        <v>Y</v>
      </c>
      <c r="AU190" s="69">
        <f>IFERROR(VLOOKUP(A190,CUSTOMERS!$A:$E,4),"")</f>
        <v>180.81</v>
      </c>
      <c r="AV190" s="68" t="str">
        <f t="shared" si="146"/>
        <v/>
      </c>
      <c r="AX190" s="71" t="str">
        <f t="shared" si="143"/>
        <v>reason190</v>
      </c>
    </row>
    <row r="191" spans="1:50" ht="50.25" customHeight="1" thickTop="1" thickBot="1">
      <c r="A191" s="188" t="s">
        <v>162</v>
      </c>
      <c r="B191" s="125" t="str">
        <f t="shared" si="147"/>
        <v>Y</v>
      </c>
      <c r="C191" s="125"/>
      <c r="D191" s="126">
        <v>222</v>
      </c>
      <c r="E191" s="126"/>
      <c r="F191" s="122" t="str">
        <f t="shared" si="135"/>
        <v>RMB-RSC-2021-00222</v>
      </c>
      <c r="G191" s="186" t="s">
        <v>180</v>
      </c>
      <c r="H191" s="124" t="s">
        <v>183</v>
      </c>
      <c r="I191" s="239">
        <v>44467</v>
      </c>
      <c r="J191" s="80">
        <f t="shared" si="138"/>
        <v>12549.660480000002</v>
      </c>
      <c r="K191" s="177">
        <f t="shared" si="153"/>
        <v>44435</v>
      </c>
      <c r="L191" s="160">
        <v>44435</v>
      </c>
      <c r="M191" s="161"/>
      <c r="N191" s="162"/>
      <c r="O191" s="162"/>
      <c r="P191" s="163"/>
      <c r="Q191" s="202" t="s">
        <v>17</v>
      </c>
      <c r="R191" s="204"/>
      <c r="S191" s="211"/>
      <c r="T191" s="211"/>
      <c r="U191" s="211"/>
      <c r="V191" s="211"/>
      <c r="W191" s="211"/>
      <c r="X191" s="154"/>
      <c r="Y191" s="173">
        <f t="shared" si="150"/>
        <v>12549.660480000002</v>
      </c>
      <c r="Z191" s="83">
        <f t="shared" si="139"/>
        <v>0</v>
      </c>
      <c r="AA191" s="84">
        <f t="shared" si="148"/>
        <v>8423.9379000000008</v>
      </c>
      <c r="AB191" s="84">
        <f t="shared" si="149"/>
        <v>1356.075</v>
      </c>
      <c r="AC191" s="84">
        <f t="shared" si="140"/>
        <v>0</v>
      </c>
      <c r="AD191" s="84"/>
      <c r="AE191" s="84">
        <f t="shared" si="144"/>
        <v>678.03750000000002</v>
      </c>
      <c r="AF191" s="84">
        <f t="shared" si="151"/>
        <v>10458.050400000002</v>
      </c>
      <c r="AG191" s="94">
        <f t="shared" si="145"/>
        <v>2091.6100799999999</v>
      </c>
      <c r="AH191" s="85">
        <f>IFERROR(VLOOKUP(A191,CUSTOMERS!$A:$E,4),"")</f>
        <v>180.81</v>
      </c>
      <c r="AI191" s="86" t="str">
        <f t="shared" si="154"/>
        <v/>
      </c>
      <c r="AJ191" s="87">
        <v>0.2</v>
      </c>
      <c r="AK191" s="96"/>
      <c r="AL191" s="96">
        <v>6.2119999999999997</v>
      </c>
      <c r="AM191" s="96">
        <v>1</v>
      </c>
      <c r="AN191" s="96"/>
      <c r="AO191" s="96">
        <v>0.5</v>
      </c>
      <c r="AP191" s="103">
        <f t="shared" si="141"/>
        <v>7.7119999999999997</v>
      </c>
      <c r="AQ191" s="103">
        <f t="shared" si="152"/>
        <v>1.5424</v>
      </c>
      <c r="AR191" s="68" t="str">
        <f>IFERROR(VLOOKUP(A191,CUSTOMERS!$A:$B,2),"")</f>
        <v>RMB</v>
      </c>
      <c r="AS191" s="68" t="str">
        <f>IFERROR(VLOOKUP(A191,CUSTOMERS!$A:$D,3),"")</f>
        <v>RSC</v>
      </c>
      <c r="AT191" s="68" t="str">
        <f>IFERROR(VLOOKUP(A191,CUSTOMERS!$A:$F,6),"")</f>
        <v>Y</v>
      </c>
      <c r="AU191" s="69">
        <f>IFERROR(VLOOKUP(A191,CUSTOMERS!$A:$E,4),"")</f>
        <v>180.81</v>
      </c>
      <c r="AV191" s="68" t="str">
        <f t="shared" si="146"/>
        <v/>
      </c>
      <c r="AX191" s="71" t="str">
        <f t="shared" si="143"/>
        <v>reason191</v>
      </c>
    </row>
    <row r="192" spans="1:50" ht="50.25" customHeight="1" thickTop="1" thickBot="1">
      <c r="A192" s="188" t="s">
        <v>99</v>
      </c>
      <c r="B192" s="125" t="str">
        <f t="shared" si="147"/>
        <v>Y</v>
      </c>
      <c r="C192" s="125"/>
      <c r="D192" s="126">
        <v>46</v>
      </c>
      <c r="E192" s="126"/>
      <c r="F192" s="122" t="str">
        <f t="shared" si="135"/>
        <v>BAC-RSC-2021-00046</v>
      </c>
      <c r="G192" s="186" t="s">
        <v>116</v>
      </c>
      <c r="H192" s="124" t="s">
        <v>184</v>
      </c>
      <c r="I192" s="239">
        <v>44461</v>
      </c>
      <c r="J192" s="80">
        <f t="shared" si="138"/>
        <v>3809.8800000000006</v>
      </c>
      <c r="K192" s="177">
        <f t="shared" si="153"/>
        <v>44447</v>
      </c>
      <c r="L192" s="160">
        <v>44447</v>
      </c>
      <c r="M192" s="161">
        <v>44447</v>
      </c>
      <c r="N192" s="162">
        <v>44447</v>
      </c>
      <c r="O192" s="162"/>
      <c r="P192" s="163"/>
      <c r="Q192" s="202" t="s">
        <v>16</v>
      </c>
      <c r="R192" s="204" t="s">
        <v>4</v>
      </c>
      <c r="S192" s="211"/>
      <c r="T192" s="211"/>
      <c r="U192" s="211"/>
      <c r="V192" s="211"/>
      <c r="W192" s="211"/>
      <c r="X192" s="154"/>
      <c r="Y192" s="173">
        <f t="shared" si="150"/>
        <v>3809.8800000000006</v>
      </c>
      <c r="Z192" s="83">
        <f t="shared" si="139"/>
        <v>0</v>
      </c>
      <c r="AA192" s="84">
        <f t="shared" si="148"/>
        <v>2381.1750000000002</v>
      </c>
      <c r="AB192" s="84">
        <f t="shared" si="149"/>
        <v>396.86250000000001</v>
      </c>
      <c r="AC192" s="84">
        <f t="shared" si="140"/>
        <v>0</v>
      </c>
      <c r="AD192" s="84"/>
      <c r="AE192" s="84">
        <f t="shared" si="144"/>
        <v>396.86250000000001</v>
      </c>
      <c r="AF192" s="84">
        <f t="shared" si="151"/>
        <v>3174.9000000000005</v>
      </c>
      <c r="AG192" s="94">
        <f t="shared" si="145"/>
        <v>634.98</v>
      </c>
      <c r="AH192" s="85">
        <f>IFERROR(VLOOKUP(A192,CUSTOMERS!$A:$E,4),"")</f>
        <v>211.66</v>
      </c>
      <c r="AI192" s="86" t="str">
        <f t="shared" si="154"/>
        <v/>
      </c>
      <c r="AJ192" s="87">
        <f>IFERROR(VLOOKUP(A192,CUSTOMERS!$A:$F,5),"")</f>
        <v>0.2</v>
      </c>
      <c r="AK192" s="96"/>
      <c r="AL192" s="96">
        <v>1.5</v>
      </c>
      <c r="AM192" s="96">
        <v>0.25</v>
      </c>
      <c r="AN192" s="96"/>
      <c r="AO192" s="96">
        <v>0.25</v>
      </c>
      <c r="AP192" s="103">
        <f t="shared" si="141"/>
        <v>2</v>
      </c>
      <c r="AQ192" s="103">
        <f t="shared" si="152"/>
        <v>0.4</v>
      </c>
      <c r="AR192" s="68" t="str">
        <f>IFERROR(VLOOKUP(A192,CUSTOMERS!$A:$B,2),"")</f>
        <v>BAC</v>
      </c>
      <c r="AS192" s="68" t="str">
        <f>IFERROR(VLOOKUP(A192,CUSTOMERS!$A:$D,3),"")</f>
        <v>RSC</v>
      </c>
      <c r="AT192" s="68" t="str">
        <f>IFERROR(VLOOKUP(A192,CUSTOMERS!$A:$F,6),"")</f>
        <v>Y</v>
      </c>
      <c r="AU192" s="69">
        <f>IFERROR(VLOOKUP(A192,CUSTOMERS!$A:$E,4),"")</f>
        <v>211.66</v>
      </c>
      <c r="AV192" s="68" t="str">
        <f t="shared" si="146"/>
        <v/>
      </c>
      <c r="AX192" s="71" t="str">
        <f t="shared" si="143"/>
        <v>reason192</v>
      </c>
    </row>
    <row r="193" spans="1:50" ht="50.25" customHeight="1" thickTop="1" thickBot="1">
      <c r="A193" s="188" t="s">
        <v>158</v>
      </c>
      <c r="B193" s="125" t="str">
        <f t="shared" si="147"/>
        <v>Y</v>
      </c>
      <c r="C193" s="125"/>
      <c r="D193" s="126">
        <v>7</v>
      </c>
      <c r="E193" s="126"/>
      <c r="F193" s="122" t="str">
        <f t="shared" si="135"/>
        <v>N26-RSC-2021-00007</v>
      </c>
      <c r="G193" s="186" t="s">
        <v>103</v>
      </c>
      <c r="H193" s="124" t="s">
        <v>185</v>
      </c>
      <c r="I193" s="239"/>
      <c r="J193" s="80">
        <f t="shared" si="138"/>
        <v>3544.4295000000002</v>
      </c>
      <c r="K193" s="177">
        <f t="shared" si="153"/>
        <v>44449</v>
      </c>
      <c r="L193" s="160">
        <v>44439</v>
      </c>
      <c r="M193" s="161">
        <v>44449</v>
      </c>
      <c r="N193" s="162">
        <v>44449</v>
      </c>
      <c r="O193" s="162"/>
      <c r="P193" s="163">
        <v>44449</v>
      </c>
      <c r="Q193" s="202" t="s">
        <v>18</v>
      </c>
      <c r="R193" s="204" t="s">
        <v>4</v>
      </c>
      <c r="S193" s="211"/>
      <c r="T193" s="211"/>
      <c r="U193" s="211"/>
      <c r="V193" s="211"/>
      <c r="W193" s="211"/>
      <c r="X193" s="154"/>
      <c r="Y193" s="173">
        <f t="shared" si="150"/>
        <v>3544.4295000000002</v>
      </c>
      <c r="Z193" s="83">
        <f t="shared" si="139"/>
        <v>0</v>
      </c>
      <c r="AA193" s="84">
        <f t="shared" si="148"/>
        <v>2449.4025000000001</v>
      </c>
      <c r="AB193" s="84">
        <f t="shared" si="149"/>
        <v>389.02275000000009</v>
      </c>
      <c r="AC193" s="84">
        <f t="shared" si="140"/>
        <v>0</v>
      </c>
      <c r="AD193" s="84"/>
      <c r="AE193" s="84">
        <f t="shared" si="144"/>
        <v>115.26600000000002</v>
      </c>
      <c r="AF193" s="84">
        <f t="shared" si="151"/>
        <v>2953.6912500000003</v>
      </c>
      <c r="AG193" s="94">
        <f t="shared" si="145"/>
        <v>590.73824999999999</v>
      </c>
      <c r="AH193" s="85">
        <f>IFERROR(VLOOKUP(A193,CUSTOMERS!$A:$E,4),"")</f>
        <v>192.11</v>
      </c>
      <c r="AI193" s="86" t="str">
        <f t="shared" si="154"/>
        <v/>
      </c>
      <c r="AJ193" s="87">
        <f>IFERROR(VLOOKUP(A193,CUSTOMERS!$A:$F,5),"")</f>
        <v>0.2</v>
      </c>
      <c r="AK193" s="96"/>
      <c r="AL193" s="96">
        <v>1.7</v>
      </c>
      <c r="AM193" s="96">
        <v>0.27</v>
      </c>
      <c r="AN193" s="96"/>
      <c r="AO193" s="96">
        <v>0.08</v>
      </c>
      <c r="AP193" s="237">
        <f t="shared" si="141"/>
        <v>2.0499999999999998</v>
      </c>
      <c r="AQ193" s="103">
        <f t="shared" si="152"/>
        <v>0.41</v>
      </c>
      <c r="AR193" s="68" t="str">
        <f>IFERROR(VLOOKUP(A193,CUSTOMERS!$A:$B,2),"")</f>
        <v>N26</v>
      </c>
      <c r="AS193" s="68" t="str">
        <f>IFERROR(VLOOKUP(A193,CUSTOMERS!$A:$D,3),"")</f>
        <v>RSC</v>
      </c>
      <c r="AT193" s="68" t="str">
        <f>IFERROR(VLOOKUP(A193,CUSTOMERS!$A:$F,6),"")</f>
        <v>Y</v>
      </c>
      <c r="AU193" s="69">
        <f>IFERROR(VLOOKUP(A193,CUSTOMERS!$A:$E,4),"")</f>
        <v>192.11</v>
      </c>
      <c r="AV193" s="68" t="str">
        <f t="shared" si="146"/>
        <v/>
      </c>
      <c r="AX193" s="71" t="str">
        <f t="shared" si="143"/>
        <v>reason193</v>
      </c>
    </row>
    <row r="194" spans="1:50" ht="50.25" customHeight="1" thickTop="1" thickBot="1">
      <c r="A194" s="188" t="s">
        <v>131</v>
      </c>
      <c r="B194" s="125" t="str">
        <f t="shared" si="147"/>
        <v>Y</v>
      </c>
      <c r="C194" s="125"/>
      <c r="D194" s="126">
        <v>89</v>
      </c>
      <c r="E194" s="126"/>
      <c r="F194" s="122" t="str">
        <f t="shared" si="135"/>
        <v>BDB-RSC-2021-00089</v>
      </c>
      <c r="G194" s="186" t="s">
        <v>109</v>
      </c>
      <c r="H194" s="124" t="s">
        <v>186</v>
      </c>
      <c r="I194" s="239">
        <v>44468</v>
      </c>
      <c r="J194" s="80">
        <f t="shared" si="138"/>
        <v>14544.381600000001</v>
      </c>
      <c r="K194" s="177">
        <v>44453</v>
      </c>
      <c r="L194" s="160">
        <v>44450</v>
      </c>
      <c r="M194" s="161">
        <v>44450</v>
      </c>
      <c r="N194" s="162">
        <v>44454</v>
      </c>
      <c r="O194" s="162"/>
      <c r="P194" s="163"/>
      <c r="Q194" s="202" t="s">
        <v>18</v>
      </c>
      <c r="R194" s="204" t="s">
        <v>4</v>
      </c>
      <c r="S194" s="211"/>
      <c r="T194" s="211"/>
      <c r="U194" s="211"/>
      <c r="V194" s="211"/>
      <c r="W194" s="211"/>
      <c r="X194" s="154"/>
      <c r="Y194" s="173">
        <f t="shared" si="150"/>
        <v>14544.381600000001</v>
      </c>
      <c r="Z194" s="83">
        <f t="shared" si="139"/>
        <v>0</v>
      </c>
      <c r="AA194" s="84">
        <f t="shared" si="148"/>
        <v>10502.118</v>
      </c>
      <c r="AB194" s="84">
        <f t="shared" si="149"/>
        <v>809.09999999999991</v>
      </c>
      <c r="AC194" s="84">
        <f t="shared" si="140"/>
        <v>0</v>
      </c>
      <c r="AD194" s="84"/>
      <c r="AE194" s="84">
        <f t="shared" si="144"/>
        <v>809.09999999999991</v>
      </c>
      <c r="AF194" s="84">
        <f t="shared" si="151"/>
        <v>12120.318000000001</v>
      </c>
      <c r="AG194" s="94">
        <f t="shared" si="145"/>
        <v>2424.0636</v>
      </c>
      <c r="AH194" s="85">
        <f>IFERROR(VLOOKUP(A194,CUSTOMERS!$A:$E,4),"")</f>
        <v>215.76</v>
      </c>
      <c r="AI194" s="86" t="str">
        <f t="shared" si="154"/>
        <v/>
      </c>
      <c r="AJ194" s="87">
        <f>IFERROR(VLOOKUP(A194,CUSTOMERS!$A:$F,5),"")</f>
        <v>0.2</v>
      </c>
      <c r="AK194" s="96"/>
      <c r="AL194" s="96">
        <v>6.49</v>
      </c>
      <c r="AM194" s="96">
        <v>0.5</v>
      </c>
      <c r="AN194" s="96"/>
      <c r="AO194" s="96">
        <v>0.5</v>
      </c>
      <c r="AP194" s="103">
        <f t="shared" si="141"/>
        <v>7.49</v>
      </c>
      <c r="AQ194" s="103">
        <f t="shared" si="152"/>
        <v>1.4980000000000002</v>
      </c>
      <c r="AR194" s="68" t="str">
        <f>IFERROR(VLOOKUP(A194,CUSTOMERS!$A:$B,2),"")</f>
        <v>BDB</v>
      </c>
      <c r="AS194" s="68" t="str">
        <f>IFERROR(VLOOKUP(A194,CUSTOMERS!$A:$D,3),"")</f>
        <v>RSC</v>
      </c>
      <c r="AT194" s="68" t="str">
        <f>IFERROR(VLOOKUP(A194,CUSTOMERS!$A:$F,6),"")</f>
        <v>Y</v>
      </c>
      <c r="AU194" s="69">
        <f>IFERROR(VLOOKUP(A194,CUSTOMERS!$A:$E,4),"")</f>
        <v>215.76</v>
      </c>
      <c r="AV194" s="68" t="str">
        <f t="shared" si="146"/>
        <v/>
      </c>
      <c r="AX194" s="71" t="str">
        <f t="shared" si="143"/>
        <v>reason194</v>
      </c>
    </row>
    <row r="195" spans="1:50" ht="50.25" customHeight="1" thickTop="1" thickBot="1">
      <c r="A195" s="188" t="s">
        <v>131</v>
      </c>
      <c r="B195" s="125" t="str">
        <f t="shared" ref="B195" si="155">AT195</f>
        <v>Y</v>
      </c>
      <c r="C195" s="125"/>
      <c r="D195" s="126">
        <v>88</v>
      </c>
      <c r="E195" s="126"/>
      <c r="F195" s="122" t="str">
        <f t="shared" si="135"/>
        <v>BDB-RSC-2021-00088</v>
      </c>
      <c r="G195" s="186" t="s">
        <v>103</v>
      </c>
      <c r="H195" s="124" t="s">
        <v>187</v>
      </c>
      <c r="I195" s="239"/>
      <c r="J195" s="80">
        <f t="shared" si="138"/>
        <v>970.91999999999985</v>
      </c>
      <c r="K195" s="177">
        <v>44425</v>
      </c>
      <c r="L195" s="243">
        <v>44419</v>
      </c>
      <c r="M195" s="244">
        <v>44419</v>
      </c>
      <c r="N195" s="242">
        <v>44425</v>
      </c>
      <c r="O195" s="162"/>
      <c r="P195" s="163"/>
      <c r="Q195" s="202" t="s">
        <v>18</v>
      </c>
      <c r="R195" s="204" t="s">
        <v>4</v>
      </c>
      <c r="S195" s="211"/>
      <c r="T195" s="211"/>
      <c r="U195" s="211"/>
      <c r="V195" s="211"/>
      <c r="W195" s="211"/>
      <c r="X195" s="154"/>
      <c r="Y195" s="173">
        <f t="shared" si="150"/>
        <v>970.91999999999985</v>
      </c>
      <c r="Z195" s="83">
        <f t="shared" si="139"/>
        <v>0</v>
      </c>
      <c r="AA195" s="84">
        <f t="shared" si="148"/>
        <v>809.09999999999991</v>
      </c>
      <c r="AB195" s="84">
        <f t="shared" si="149"/>
        <v>0</v>
      </c>
      <c r="AC195" s="84">
        <f t="shared" si="140"/>
        <v>0</v>
      </c>
      <c r="AD195" s="84"/>
      <c r="AE195" s="84">
        <f t="shared" si="144"/>
        <v>0</v>
      </c>
      <c r="AF195" s="84">
        <f t="shared" si="151"/>
        <v>809.09999999999991</v>
      </c>
      <c r="AG195" s="94">
        <f t="shared" si="145"/>
        <v>161.82</v>
      </c>
      <c r="AH195" s="85">
        <f>IFERROR(VLOOKUP(A195,CUSTOMERS!$A:$E,4),"")</f>
        <v>215.76</v>
      </c>
      <c r="AI195" s="86" t="str">
        <f t="shared" si="154"/>
        <v/>
      </c>
      <c r="AJ195" s="87">
        <f>IFERROR(VLOOKUP(A195,CUSTOMERS!$A:$F,5),"")</f>
        <v>0.2</v>
      </c>
      <c r="AK195" s="96"/>
      <c r="AL195" s="96">
        <v>0.5</v>
      </c>
      <c r="AM195" s="96">
        <v>0</v>
      </c>
      <c r="AN195" s="96"/>
      <c r="AO195" s="96">
        <v>0</v>
      </c>
      <c r="AP195" s="103">
        <f t="shared" si="141"/>
        <v>0.5</v>
      </c>
      <c r="AQ195" s="103">
        <f t="shared" si="152"/>
        <v>0.1</v>
      </c>
      <c r="AR195" s="68" t="str">
        <f>IFERROR(VLOOKUP(A195,CUSTOMERS!$A:$B,2),"")</f>
        <v>BDB</v>
      </c>
      <c r="AS195" s="68" t="str">
        <f>IFERROR(VLOOKUP(A195,CUSTOMERS!$A:$D,3),"")</f>
        <v>RSC</v>
      </c>
      <c r="AT195" s="68" t="str">
        <f>IFERROR(VLOOKUP(A195,CUSTOMERS!$A:$F,6),"")</f>
        <v>Y</v>
      </c>
      <c r="AU195" s="69">
        <f>IFERROR(VLOOKUP(A195,CUSTOMERS!$A:$E,4),"")</f>
        <v>215.76</v>
      </c>
      <c r="AV195" s="68" t="str">
        <f t="shared" si="146"/>
        <v/>
      </c>
      <c r="AX195" s="71" t="str">
        <f t="shared" si="143"/>
        <v>reason195</v>
      </c>
    </row>
    <row r="196" spans="1:50" ht="50.25" customHeight="1" thickTop="1" thickBot="1">
      <c r="A196" s="188" t="s">
        <v>99</v>
      </c>
      <c r="B196" s="125" t="str">
        <f t="shared" si="147"/>
        <v>Y</v>
      </c>
      <c r="C196" s="125"/>
      <c r="D196" s="126">
        <v>45</v>
      </c>
      <c r="E196" s="126"/>
      <c r="F196" s="122" t="str">
        <f t="shared" si="135"/>
        <v>BAC-RSC-2021-00045</v>
      </c>
      <c r="G196" s="186" t="s">
        <v>116</v>
      </c>
      <c r="H196" s="124" t="s">
        <v>188</v>
      </c>
      <c r="I196" s="239">
        <v>44438</v>
      </c>
      <c r="J196" s="80">
        <f t="shared" si="138"/>
        <v>14287.050000000001</v>
      </c>
      <c r="K196" s="177">
        <f t="shared" si="153"/>
        <v>44417</v>
      </c>
      <c r="L196" s="245">
        <v>44407</v>
      </c>
      <c r="M196" s="244">
        <v>44417</v>
      </c>
      <c r="N196" s="242">
        <v>44417</v>
      </c>
      <c r="O196" s="162"/>
      <c r="P196" s="163"/>
      <c r="Q196" s="202" t="s">
        <v>18</v>
      </c>
      <c r="R196" s="204" t="s">
        <v>4</v>
      </c>
      <c r="S196" s="211"/>
      <c r="T196" s="211"/>
      <c r="U196" s="211"/>
      <c r="V196" s="211"/>
      <c r="W196" s="211"/>
      <c r="X196" s="154"/>
      <c r="Y196" s="173">
        <f t="shared" si="150"/>
        <v>14287.050000000001</v>
      </c>
      <c r="Z196" s="83">
        <f t="shared" si="139"/>
        <v>0</v>
      </c>
      <c r="AA196" s="84">
        <f t="shared" si="148"/>
        <v>11112.15</v>
      </c>
      <c r="AB196" s="84">
        <f t="shared" si="149"/>
        <v>1587.45</v>
      </c>
      <c r="AC196" s="84">
        <f t="shared" si="140"/>
        <v>0</v>
      </c>
      <c r="AD196" s="84"/>
      <c r="AE196" s="84">
        <f t="shared" si="144"/>
        <v>1587.45</v>
      </c>
      <c r="AF196" s="84">
        <f t="shared" si="151"/>
        <v>14287.050000000001</v>
      </c>
      <c r="AG196" s="94">
        <v>0</v>
      </c>
      <c r="AH196" s="85">
        <f>IFERROR(VLOOKUP(A196,CUSTOMERS!$A:$E,4),"")</f>
        <v>211.66</v>
      </c>
      <c r="AI196" s="86" t="str">
        <f t="shared" si="154"/>
        <v/>
      </c>
      <c r="AJ196" s="87">
        <f>IFERROR(VLOOKUP(A196,CUSTOMERS!$A:$F,5),"")</f>
        <v>0.2</v>
      </c>
      <c r="AK196" s="96"/>
      <c r="AL196" s="96">
        <v>7</v>
      </c>
      <c r="AM196" s="96">
        <v>1</v>
      </c>
      <c r="AN196" s="96"/>
      <c r="AO196" s="96">
        <v>1</v>
      </c>
      <c r="AP196" s="103">
        <f t="shared" si="141"/>
        <v>9</v>
      </c>
      <c r="AQ196" s="103">
        <f t="shared" si="152"/>
        <v>1.8</v>
      </c>
      <c r="AR196" s="68" t="str">
        <f>IFERROR(VLOOKUP(A196,CUSTOMERS!$A:$B,2),"")</f>
        <v>BAC</v>
      </c>
      <c r="AS196" s="68" t="str">
        <f>IFERROR(VLOOKUP(A196,CUSTOMERS!$A:$D,3),"")</f>
        <v>RSC</v>
      </c>
      <c r="AT196" s="68" t="str">
        <f>IFERROR(VLOOKUP(A196,CUSTOMERS!$A:$F,6),"")</f>
        <v>Y</v>
      </c>
      <c r="AU196" s="69">
        <f>IFERROR(VLOOKUP(A196,CUSTOMERS!$A:$E,4),"")</f>
        <v>211.66</v>
      </c>
      <c r="AV196" s="68" t="str">
        <f t="shared" si="146"/>
        <v/>
      </c>
      <c r="AX196" s="71" t="str">
        <f t="shared" si="143"/>
        <v>reason196</v>
      </c>
    </row>
    <row r="197" spans="1:50" ht="50.25" customHeight="1" thickTop="1" thickBot="1">
      <c r="A197" s="188" t="s">
        <v>50</v>
      </c>
      <c r="B197" s="125" t="str">
        <f t="shared" si="147"/>
        <v>N</v>
      </c>
      <c r="C197" s="125"/>
      <c r="D197" s="126">
        <v>35623</v>
      </c>
      <c r="E197" s="126"/>
      <c r="F197" s="122" t="str">
        <f t="shared" si="135"/>
        <v>PRD-REQ-0000-35623</v>
      </c>
      <c r="G197" s="186" t="s">
        <v>180</v>
      </c>
      <c r="H197" s="124" t="s">
        <v>645</v>
      </c>
      <c r="I197" s="239"/>
      <c r="J197" s="80">
        <f t="shared" si="138"/>
        <v>0</v>
      </c>
      <c r="K197" s="177">
        <f t="shared" si="153"/>
        <v>0</v>
      </c>
      <c r="L197" s="160"/>
      <c r="M197" s="161"/>
      <c r="N197" s="162"/>
      <c r="O197" s="162"/>
      <c r="P197" s="163"/>
      <c r="Q197" s="202"/>
      <c r="R197" s="204"/>
      <c r="S197" s="211"/>
      <c r="T197" s="211"/>
      <c r="U197" s="211"/>
      <c r="V197" s="211"/>
      <c r="W197" s="211"/>
      <c r="X197" s="154" t="s">
        <v>646</v>
      </c>
      <c r="Y197" s="173">
        <f t="shared" si="150"/>
        <v>0</v>
      </c>
      <c r="Z197" s="83">
        <f t="shared" si="139"/>
        <v>0</v>
      </c>
      <c r="AA197" s="84">
        <f t="shared" si="148"/>
        <v>0</v>
      </c>
      <c r="AB197" s="84">
        <f t="shared" si="149"/>
        <v>0</v>
      </c>
      <c r="AC197" s="84">
        <f t="shared" si="140"/>
        <v>0</v>
      </c>
      <c r="AD197" s="84"/>
      <c r="AE197" s="84">
        <f t="shared" si="144"/>
        <v>0</v>
      </c>
      <c r="AF197" s="84">
        <f t="shared" si="151"/>
        <v>0</v>
      </c>
      <c r="AG197" s="94">
        <f t="shared" si="145"/>
        <v>0</v>
      </c>
      <c r="AH197" s="85">
        <f>IFERROR(VLOOKUP(A197,CUSTOMERS!$A:$E,4),"")</f>
        <v>-150</v>
      </c>
      <c r="AI197" s="86" t="str">
        <f t="shared" si="154"/>
        <v/>
      </c>
      <c r="AJ197" s="87">
        <f>IFERROR(VLOOKUP(A197,CUSTOMERS!$A:$F,5),"")</f>
        <v>0</v>
      </c>
      <c r="AK197" s="96"/>
      <c r="AL197" s="96">
        <v>0</v>
      </c>
      <c r="AM197" s="96">
        <v>0</v>
      </c>
      <c r="AN197" s="96"/>
      <c r="AO197" s="96">
        <v>0</v>
      </c>
      <c r="AP197" s="103">
        <f t="shared" si="141"/>
        <v>0</v>
      </c>
      <c r="AQ197" s="103">
        <f t="shared" si="152"/>
        <v>0</v>
      </c>
      <c r="AR197" s="68" t="str">
        <f>IFERROR(VLOOKUP(A197,CUSTOMERS!$A:$B,2),"")</f>
        <v>PRD</v>
      </c>
      <c r="AS197" s="68" t="str">
        <f>IFERROR(VLOOKUP(A197,CUSTOMERS!$A:$D,3),"")</f>
        <v>REQ</v>
      </c>
      <c r="AT197" s="68" t="str">
        <f>IFERROR(VLOOKUP(A197,CUSTOMERS!$A:$F,6),"")</f>
        <v>N</v>
      </c>
      <c r="AU197" s="69">
        <f>IFERROR(VLOOKUP(A197,CUSTOMERS!$A:$E,4),"")</f>
        <v>-150</v>
      </c>
      <c r="AV197" s="68" t="str">
        <f t="shared" si="146"/>
        <v/>
      </c>
      <c r="AX197" s="71" t="str">
        <f t="shared" si="143"/>
        <v>reason197</v>
      </c>
    </row>
    <row r="198" spans="1:50" ht="50.25" customHeight="1" thickTop="1" thickBot="1">
      <c r="A198" s="188" t="s">
        <v>50</v>
      </c>
      <c r="B198" s="125" t="str">
        <f t="shared" si="147"/>
        <v>N</v>
      </c>
      <c r="C198" s="125"/>
      <c r="D198" s="126">
        <v>1000</v>
      </c>
      <c r="E198" s="126"/>
      <c r="F198" s="122" t="str">
        <f>IF(AS198&lt;&gt;"",_xlfn.CONCAT(AR198,"-",AS198,"-",IF(L198&lt;&gt;"",TEXT(L198,"yyyy"),"0000"),"-",REPT(0,4-LEN(D198))&amp;D198),"")</f>
        <v>PRD-REQ-2021-1000</v>
      </c>
      <c r="G198" s="186" t="s">
        <v>180</v>
      </c>
      <c r="H198" s="124" t="s">
        <v>189</v>
      </c>
      <c r="I198" s="239"/>
      <c r="J198" s="80">
        <f t="shared" si="138"/>
        <v>0</v>
      </c>
      <c r="K198" s="177">
        <f t="shared" si="153"/>
        <v>44525</v>
      </c>
      <c r="L198" s="160">
        <v>44525</v>
      </c>
      <c r="M198" s="161">
        <v>44525</v>
      </c>
      <c r="N198" s="162"/>
      <c r="O198" s="162"/>
      <c r="P198" s="163"/>
      <c r="Q198" s="202" t="s">
        <v>14</v>
      </c>
      <c r="R198" s="204" t="s">
        <v>647</v>
      </c>
      <c r="S198" s="211" t="s">
        <v>308</v>
      </c>
      <c r="T198" s="211" t="s">
        <v>455</v>
      </c>
      <c r="U198" s="211" t="s">
        <v>648</v>
      </c>
      <c r="V198" s="211"/>
      <c r="W198" s="211"/>
      <c r="X198" s="154"/>
      <c r="Y198" s="173">
        <f t="shared" si="150"/>
        <v>0</v>
      </c>
      <c r="Z198" s="83">
        <f t="shared" si="139"/>
        <v>0</v>
      </c>
      <c r="AA198" s="84">
        <f t="shared" si="148"/>
        <v>0</v>
      </c>
      <c r="AB198" s="84">
        <f t="shared" si="149"/>
        <v>0</v>
      </c>
      <c r="AC198" s="84">
        <f t="shared" si="140"/>
        <v>0</v>
      </c>
      <c r="AD198" s="84"/>
      <c r="AE198" s="84">
        <f t="shared" si="144"/>
        <v>0</v>
      </c>
      <c r="AF198" s="84">
        <f t="shared" si="151"/>
        <v>0</v>
      </c>
      <c r="AG198" s="94">
        <f t="shared" si="145"/>
        <v>0</v>
      </c>
      <c r="AH198" s="85">
        <f>IFERROR(VLOOKUP(A198,CUSTOMERS!$A:$E,4),"")</f>
        <v>-150</v>
      </c>
      <c r="AI198" s="86" t="str">
        <f t="shared" si="154"/>
        <v/>
      </c>
      <c r="AJ198" s="87">
        <f>IFERROR(VLOOKUP(A198,CUSTOMERS!$A:$F,5),"")</f>
        <v>0</v>
      </c>
      <c r="AK198" s="96"/>
      <c r="AL198" s="96">
        <v>0</v>
      </c>
      <c r="AM198" s="96">
        <v>0</v>
      </c>
      <c r="AN198" s="96"/>
      <c r="AO198" s="96">
        <v>0</v>
      </c>
      <c r="AP198" s="103">
        <f t="shared" si="141"/>
        <v>0</v>
      </c>
      <c r="AQ198" s="103">
        <f t="shared" si="152"/>
        <v>0</v>
      </c>
      <c r="AR198" s="68" t="str">
        <f>IFERROR(VLOOKUP(A198,CUSTOMERS!$A:$B,2),"")</f>
        <v>PRD</v>
      </c>
      <c r="AS198" s="68" t="str">
        <f>IFERROR(VLOOKUP(A198,CUSTOMERS!$A:$D,3),"")</f>
        <v>REQ</v>
      </c>
      <c r="AT198" s="68" t="str">
        <f>IFERROR(VLOOKUP(A198,CUSTOMERS!$A:$F,6),"")</f>
        <v>N</v>
      </c>
      <c r="AU198" s="69">
        <f>IFERROR(VLOOKUP(A198,CUSTOMERS!$A:$E,4),"")</f>
        <v>-150</v>
      </c>
      <c r="AV198" s="68" t="str">
        <f t="shared" si="146"/>
        <v/>
      </c>
      <c r="AX198" s="71" t="str">
        <f t="shared" si="143"/>
        <v>reason198</v>
      </c>
    </row>
    <row r="199" spans="1:50" ht="50.25" customHeight="1" thickTop="1" thickBot="1">
      <c r="A199" s="188" t="s">
        <v>50</v>
      </c>
      <c r="B199" s="125" t="str">
        <f t="shared" si="147"/>
        <v>N</v>
      </c>
      <c r="C199" s="125"/>
      <c r="D199" s="126">
        <v>1001</v>
      </c>
      <c r="E199" s="126"/>
      <c r="F199" s="122" t="str">
        <f t="shared" ref="F199:F262" si="156">IF(AS199&lt;&gt;"",_xlfn.CONCAT(AR199,"-",AS199,"-",IF(L199&lt;&gt;"",TEXT(L199,"yyyy"),"0000"),"-",REPT(0,4-LEN(D199))&amp;D199),"")</f>
        <v>PRD-REQ-2021-1001</v>
      </c>
      <c r="G199" s="186" t="s">
        <v>180</v>
      </c>
      <c r="H199" s="124" t="s">
        <v>190</v>
      </c>
      <c r="I199" s="239"/>
      <c r="J199" s="80">
        <f t="shared" si="138"/>
        <v>0</v>
      </c>
      <c r="K199" s="177">
        <v>44525</v>
      </c>
      <c r="L199" s="160">
        <v>44525</v>
      </c>
      <c r="M199" s="161">
        <v>44525</v>
      </c>
      <c r="N199" s="162"/>
      <c r="O199" s="162"/>
      <c r="P199" s="163"/>
      <c r="Q199" s="202" t="s">
        <v>14</v>
      </c>
      <c r="R199" s="204" t="s">
        <v>647</v>
      </c>
      <c r="S199" s="211" t="s">
        <v>308</v>
      </c>
      <c r="T199" s="211" t="s">
        <v>455</v>
      </c>
      <c r="U199" s="211" t="s">
        <v>450</v>
      </c>
      <c r="V199" s="211"/>
      <c r="W199" s="211"/>
      <c r="X199" s="154"/>
      <c r="Y199" s="173">
        <f t="shared" si="150"/>
        <v>0</v>
      </c>
      <c r="Z199" s="83">
        <f t="shared" si="139"/>
        <v>0</v>
      </c>
      <c r="AA199" s="84">
        <f t="shared" si="148"/>
        <v>0</v>
      </c>
      <c r="AB199" s="84">
        <f t="shared" si="149"/>
        <v>0</v>
      </c>
      <c r="AC199" s="84">
        <f t="shared" si="140"/>
        <v>0</v>
      </c>
      <c r="AD199" s="84"/>
      <c r="AE199" s="84">
        <f t="shared" si="144"/>
        <v>0</v>
      </c>
      <c r="AF199" s="84">
        <f t="shared" si="151"/>
        <v>0</v>
      </c>
      <c r="AG199" s="94">
        <f t="shared" si="145"/>
        <v>0</v>
      </c>
      <c r="AH199" s="85">
        <f>IFERROR(VLOOKUP(A199,CUSTOMERS!$A:$E,4),"")</f>
        <v>-150</v>
      </c>
      <c r="AI199" s="86" t="str">
        <f t="shared" si="154"/>
        <v/>
      </c>
      <c r="AJ199" s="87">
        <f>IFERROR(VLOOKUP(A199,CUSTOMERS!$A:$F,5),"")</f>
        <v>0</v>
      </c>
      <c r="AK199" s="96"/>
      <c r="AL199" s="96">
        <v>0</v>
      </c>
      <c r="AM199" s="96">
        <v>0</v>
      </c>
      <c r="AN199" s="96"/>
      <c r="AO199" s="96">
        <v>0</v>
      </c>
      <c r="AP199" s="103">
        <f t="shared" si="141"/>
        <v>0</v>
      </c>
      <c r="AQ199" s="103">
        <f t="shared" si="152"/>
        <v>0</v>
      </c>
      <c r="AR199" s="68" t="str">
        <f>IFERROR(VLOOKUP(A199,CUSTOMERS!$A:$B,2),"")</f>
        <v>PRD</v>
      </c>
      <c r="AS199" s="68" t="str">
        <f>IFERROR(VLOOKUP(A199,CUSTOMERS!$A:$D,3),"")</f>
        <v>REQ</v>
      </c>
      <c r="AT199" s="68" t="str">
        <f>IFERROR(VLOOKUP(A199,CUSTOMERS!$A:$F,6),"")</f>
        <v>N</v>
      </c>
      <c r="AU199" s="69">
        <f>IFERROR(VLOOKUP(A199,CUSTOMERS!$A:$E,4),"")</f>
        <v>-150</v>
      </c>
      <c r="AV199" s="68" t="str">
        <f t="shared" si="146"/>
        <v/>
      </c>
      <c r="AX199" s="71" t="str">
        <f t="shared" si="143"/>
        <v>reason199</v>
      </c>
    </row>
    <row r="200" spans="1:50" ht="50.25" customHeight="1" thickTop="1" thickBot="1">
      <c r="A200" s="188" t="s">
        <v>140</v>
      </c>
      <c r="B200" s="125" t="str">
        <f t="shared" si="147"/>
        <v>Y</v>
      </c>
      <c r="C200" s="125"/>
      <c r="D200" s="126">
        <v>1002</v>
      </c>
      <c r="E200" s="126"/>
      <c r="F200" s="122" t="str">
        <f t="shared" si="156"/>
        <v>LMR-RSC-0000-1002</v>
      </c>
      <c r="G200" s="186" t="s">
        <v>180</v>
      </c>
      <c r="H200" s="124" t="s">
        <v>191</v>
      </c>
      <c r="I200" s="239">
        <v>44530</v>
      </c>
      <c r="J200" s="80">
        <f t="shared" si="138"/>
        <v>3337.2</v>
      </c>
      <c r="K200" s="177">
        <f t="shared" si="153"/>
        <v>0</v>
      </c>
      <c r="L200" s="160"/>
      <c r="M200" s="161"/>
      <c r="N200" s="162"/>
      <c r="O200" s="162"/>
      <c r="P200" s="163"/>
      <c r="Q200" s="202" t="s">
        <v>18</v>
      </c>
      <c r="R200" s="204" t="s">
        <v>20</v>
      </c>
      <c r="S200" s="211" t="s">
        <v>308</v>
      </c>
      <c r="T200" s="211"/>
      <c r="U200" s="211"/>
      <c r="V200" s="211"/>
      <c r="W200" s="211"/>
      <c r="X200" s="154"/>
      <c r="Y200" s="173">
        <f t="shared" si="150"/>
        <v>3337.2</v>
      </c>
      <c r="Z200" s="83">
        <f t="shared" si="139"/>
        <v>0</v>
      </c>
      <c r="AA200" s="84">
        <f t="shared" si="148"/>
        <v>1390.5</v>
      </c>
      <c r="AB200" s="84">
        <f t="shared" si="149"/>
        <v>1390.5</v>
      </c>
      <c r="AC200" s="84">
        <f t="shared" si="140"/>
        <v>0</v>
      </c>
      <c r="AD200" s="84"/>
      <c r="AE200" s="84">
        <f t="shared" si="144"/>
        <v>0</v>
      </c>
      <c r="AF200" s="84">
        <f t="shared" si="151"/>
        <v>2781</v>
      </c>
      <c r="AG200" s="94">
        <f t="shared" si="145"/>
        <v>556.20000000000005</v>
      </c>
      <c r="AH200" s="85">
        <f>IFERROR(VLOOKUP(A200,CUSTOMERS!$A:$E,4),"")</f>
        <v>185.4</v>
      </c>
      <c r="AI200" s="86" t="str">
        <f t="shared" si="154"/>
        <v/>
      </c>
      <c r="AJ200" s="87">
        <f>IFERROR(VLOOKUP(A200,CUSTOMERS!$A:$F,5),"")</f>
        <v>0.2</v>
      </c>
      <c r="AK200" s="96"/>
      <c r="AL200" s="96">
        <v>1</v>
      </c>
      <c r="AM200" s="96">
        <v>1</v>
      </c>
      <c r="AN200" s="96"/>
      <c r="AO200" s="96">
        <v>0</v>
      </c>
      <c r="AP200" s="103">
        <f t="shared" si="141"/>
        <v>2</v>
      </c>
      <c r="AQ200" s="103">
        <f t="shared" si="152"/>
        <v>0.4</v>
      </c>
      <c r="AR200" s="68" t="str">
        <f>IFERROR(VLOOKUP(A200,CUSTOMERS!$A:$B,2),"")</f>
        <v>LMR</v>
      </c>
      <c r="AS200" s="68" t="str">
        <f>IFERROR(VLOOKUP(A200,CUSTOMERS!$A:$D,3),"")</f>
        <v>RSC</v>
      </c>
      <c r="AT200" s="68" t="str">
        <f>IFERROR(VLOOKUP(A200,CUSTOMERS!$A:$F,6),"")</f>
        <v>Y</v>
      </c>
      <c r="AU200" s="69">
        <f>IFERROR(VLOOKUP(A200,CUSTOMERS!$A:$E,4),"")</f>
        <v>185.4</v>
      </c>
      <c r="AV200" s="68" t="str">
        <f t="shared" si="146"/>
        <v/>
      </c>
      <c r="AX200" s="71" t="str">
        <f t="shared" si="143"/>
        <v>reason200</v>
      </c>
    </row>
    <row r="201" spans="1:50" ht="50.25" customHeight="1" thickTop="1" thickBot="1">
      <c r="A201" s="188" t="s">
        <v>114</v>
      </c>
      <c r="B201" s="125" t="str">
        <f t="shared" si="147"/>
        <v>Y</v>
      </c>
      <c r="C201" s="125"/>
      <c r="D201" s="126">
        <v>1003</v>
      </c>
      <c r="E201" s="126"/>
      <c r="F201" s="122" t="str">
        <f t="shared" si="156"/>
        <v>BOI-RSC-2021-1003</v>
      </c>
      <c r="G201" s="186" t="s">
        <v>116</v>
      </c>
      <c r="H201" s="124" t="s">
        <v>192</v>
      </c>
      <c r="I201" s="239" t="s">
        <v>649</v>
      </c>
      <c r="J201" s="80">
        <f t="shared" si="138"/>
        <v>645.4</v>
      </c>
      <c r="K201" s="177">
        <f t="shared" si="153"/>
        <v>44538</v>
      </c>
      <c r="L201" s="160">
        <v>44538</v>
      </c>
      <c r="M201" s="161" t="s">
        <v>650</v>
      </c>
      <c r="N201" s="162" t="s">
        <v>651</v>
      </c>
      <c r="O201" s="162"/>
      <c r="P201" s="163" t="s">
        <v>652</v>
      </c>
      <c r="Q201" s="202" t="s">
        <v>423</v>
      </c>
      <c r="R201" s="204" t="s">
        <v>653</v>
      </c>
      <c r="S201" s="211"/>
      <c r="T201" s="211"/>
      <c r="U201" s="211"/>
      <c r="V201" s="211"/>
      <c r="W201" s="211"/>
      <c r="X201" s="154"/>
      <c r="Y201" s="246">
        <f t="shared" si="150"/>
        <v>645.4</v>
      </c>
      <c r="Z201" s="83">
        <f t="shared" si="139"/>
        <v>0</v>
      </c>
      <c r="AA201" s="84">
        <f t="shared" si="148"/>
        <v>395.4</v>
      </c>
      <c r="AB201" s="84">
        <f t="shared" si="149"/>
        <v>0</v>
      </c>
      <c r="AC201" s="84">
        <f t="shared" si="140"/>
        <v>0</v>
      </c>
      <c r="AD201" s="84">
        <v>250</v>
      </c>
      <c r="AE201" s="84">
        <f t="shared" si="144"/>
        <v>0</v>
      </c>
      <c r="AF201" s="84">
        <f t="shared" si="151"/>
        <v>645.4</v>
      </c>
      <c r="AG201" s="94"/>
      <c r="AH201" s="85">
        <f>IFERROR(VLOOKUP(A201,CUSTOMERS!$A:$E,4),"")</f>
        <v>197.7</v>
      </c>
      <c r="AI201" s="86" t="str">
        <f t="shared" si="154"/>
        <v/>
      </c>
      <c r="AJ201" s="87">
        <f>IFERROR(VLOOKUP(A201,CUSTOMERS!$A:$F,5),"")</f>
        <v>0.2</v>
      </c>
      <c r="AK201" s="96"/>
      <c r="AL201" s="96">
        <f>(1/7.5)*2</f>
        <v>0.26666666666666666</v>
      </c>
      <c r="AM201" s="96">
        <v>0</v>
      </c>
      <c r="AN201" s="96"/>
      <c r="AO201" s="96">
        <v>0</v>
      </c>
      <c r="AP201" s="103">
        <f t="shared" si="141"/>
        <v>0.26666666666666666</v>
      </c>
      <c r="AQ201" s="103">
        <f t="shared" si="152"/>
        <v>5.3333333333333337E-2</v>
      </c>
      <c r="AR201" s="68" t="str">
        <f>IFERROR(VLOOKUP(A201,CUSTOMERS!$A:$B,2),"")</f>
        <v>BOI</v>
      </c>
      <c r="AS201" s="68" t="str">
        <f>IFERROR(VLOOKUP(A201,CUSTOMERS!$A:$D,3),"")</f>
        <v>RSC</v>
      </c>
      <c r="AT201" s="68" t="str">
        <f>IFERROR(VLOOKUP(A201,CUSTOMERS!$A:$F,6),"")</f>
        <v>Y</v>
      </c>
      <c r="AU201" s="69">
        <f>IFERROR(VLOOKUP(A201,CUSTOMERS!$A:$E,4),"")</f>
        <v>197.7</v>
      </c>
      <c r="AV201" s="68" t="str">
        <f t="shared" si="146"/>
        <v/>
      </c>
      <c r="AX201" s="71" t="str">
        <f t="shared" si="143"/>
        <v>reason201</v>
      </c>
    </row>
    <row r="202" spans="1:50" ht="50.25" customHeight="1" thickTop="1" thickBot="1">
      <c r="A202" s="188" t="s">
        <v>140</v>
      </c>
      <c r="B202" s="125" t="str">
        <f t="shared" si="147"/>
        <v>Y</v>
      </c>
      <c r="C202" s="125"/>
      <c r="D202" s="126">
        <v>1004</v>
      </c>
      <c r="E202" s="126">
        <v>2778</v>
      </c>
      <c r="F202" s="122" t="str">
        <f t="shared" si="156"/>
        <v>LMR-RSC-2022-1004</v>
      </c>
      <c r="G202" s="186" t="s">
        <v>106</v>
      </c>
      <c r="H202" s="124" t="s">
        <v>193</v>
      </c>
      <c r="I202" s="239" t="s">
        <v>654</v>
      </c>
      <c r="J202" s="80">
        <f t="shared" si="138"/>
        <v>103870.35</v>
      </c>
      <c r="K202" s="177">
        <f t="shared" si="153"/>
        <v>44565</v>
      </c>
      <c r="L202" s="160">
        <v>44565</v>
      </c>
      <c r="M202" s="161"/>
      <c r="N202" s="162"/>
      <c r="O202" s="162"/>
      <c r="P202" s="163"/>
      <c r="Q202" s="202"/>
      <c r="R202" s="204"/>
      <c r="S202" s="211"/>
      <c r="T202" s="211"/>
      <c r="U202" s="211"/>
      <c r="V202" s="211"/>
      <c r="W202" s="211"/>
      <c r="X202" s="154"/>
      <c r="Y202" s="173">
        <f t="shared" si="150"/>
        <v>103870.35</v>
      </c>
      <c r="Z202" s="83">
        <f t="shared" si="139"/>
        <v>0</v>
      </c>
      <c r="AA202" s="84">
        <f t="shared" si="148"/>
        <v>86558.625</v>
      </c>
      <c r="AB202" s="84">
        <f t="shared" si="149"/>
        <v>0</v>
      </c>
      <c r="AC202" s="84">
        <f t="shared" si="140"/>
        <v>0</v>
      </c>
      <c r="AD202" s="84"/>
      <c r="AE202" s="84">
        <f t="shared" si="144"/>
        <v>0</v>
      </c>
      <c r="AF202" s="84">
        <f t="shared" si="151"/>
        <v>86558.625</v>
      </c>
      <c r="AG202" s="94">
        <f t="shared" si="145"/>
        <v>17311.725000000002</v>
      </c>
      <c r="AH202" s="85">
        <f>IFERROR(VLOOKUP(A202,CUSTOMERS!$A:$E,4),"")</f>
        <v>185.4</v>
      </c>
      <c r="AI202" s="86" t="str">
        <f t="shared" si="154"/>
        <v/>
      </c>
      <c r="AJ202" s="87">
        <f>IFERROR(VLOOKUP(A202,CUSTOMERS!$A:$F,5),"")</f>
        <v>0.2</v>
      </c>
      <c r="AK202" s="96"/>
      <c r="AL202" s="96">
        <v>62.25</v>
      </c>
      <c r="AM202" s="96">
        <v>0</v>
      </c>
      <c r="AN202" s="96"/>
      <c r="AO202" s="96">
        <v>0</v>
      </c>
      <c r="AP202" s="103">
        <f t="shared" si="141"/>
        <v>62.25</v>
      </c>
      <c r="AQ202" s="103">
        <f t="shared" si="152"/>
        <v>12.450000000000001</v>
      </c>
      <c r="AR202" s="68" t="str">
        <f>IFERROR(VLOOKUP(A202,CUSTOMERS!$A:$B,2),"")</f>
        <v>LMR</v>
      </c>
      <c r="AS202" s="68" t="str">
        <f>IFERROR(VLOOKUP(A202,CUSTOMERS!$A:$D,3),"")</f>
        <v>RSC</v>
      </c>
      <c r="AT202" s="68" t="str">
        <f>IFERROR(VLOOKUP(A202,CUSTOMERS!$A:$F,6),"")</f>
        <v>Y</v>
      </c>
      <c r="AU202" s="69">
        <f>IFERROR(VLOOKUP(A202,CUSTOMERS!$A:$E,4),"")</f>
        <v>185.4</v>
      </c>
      <c r="AV202" s="68" t="str">
        <f t="shared" si="146"/>
        <v/>
      </c>
      <c r="AX202" s="71" t="str">
        <f t="shared" si="143"/>
        <v>reason202</v>
      </c>
    </row>
    <row r="203" spans="1:50" ht="50.25" customHeight="1" thickTop="1" thickBot="1">
      <c r="A203" s="188" t="s">
        <v>114</v>
      </c>
      <c r="B203" s="125" t="s">
        <v>294</v>
      </c>
      <c r="C203" s="125"/>
      <c r="D203" s="126">
        <v>1005</v>
      </c>
      <c r="E203" s="126"/>
      <c r="F203" s="122" t="str">
        <f t="shared" si="156"/>
        <v>BOI-RSC-2022-1005</v>
      </c>
      <c r="G203" s="186" t="s">
        <v>180</v>
      </c>
      <c r="H203" s="124" t="s">
        <v>194</v>
      </c>
      <c r="I203" s="239"/>
      <c r="J203" s="80">
        <f t="shared" si="138"/>
        <v>165474.9</v>
      </c>
      <c r="K203" s="177">
        <f t="shared" si="153"/>
        <v>44565</v>
      </c>
      <c r="L203" s="160">
        <v>44565</v>
      </c>
      <c r="M203" s="161"/>
      <c r="N203" s="162"/>
      <c r="O203" s="162"/>
      <c r="P203" s="163"/>
      <c r="Q203" s="202" t="s">
        <v>423</v>
      </c>
      <c r="R203" s="204"/>
      <c r="S203" s="211" t="s">
        <v>308</v>
      </c>
      <c r="T203" s="211" t="s">
        <v>655</v>
      </c>
      <c r="U203" s="211"/>
      <c r="V203" s="211"/>
      <c r="W203" s="211"/>
      <c r="X203" s="154" t="s">
        <v>656</v>
      </c>
      <c r="Y203" s="173">
        <f t="shared" si="150"/>
        <v>165474.9</v>
      </c>
      <c r="Z203" s="83">
        <f t="shared" si="139"/>
        <v>0</v>
      </c>
      <c r="AA203" s="84">
        <f t="shared" si="148"/>
        <v>137895.75</v>
      </c>
      <c r="AB203" s="84">
        <f t="shared" si="149"/>
        <v>0</v>
      </c>
      <c r="AC203" s="84">
        <f t="shared" si="140"/>
        <v>0</v>
      </c>
      <c r="AD203" s="84"/>
      <c r="AE203" s="84">
        <f t="shared" si="144"/>
        <v>0</v>
      </c>
      <c r="AF203" s="84">
        <f t="shared" si="151"/>
        <v>137895.75</v>
      </c>
      <c r="AG203" s="94">
        <f t="shared" si="145"/>
        <v>27579.15</v>
      </c>
      <c r="AH203" s="85">
        <f>IFERROR(VLOOKUP(A203,CUSTOMERS!$A:$E,4),"")</f>
        <v>197.7</v>
      </c>
      <c r="AI203" s="86" t="str">
        <f t="shared" si="154"/>
        <v/>
      </c>
      <c r="AJ203" s="87">
        <f>IFERROR(VLOOKUP(A203,CUSTOMERS!$A:$F,5),"")</f>
        <v>0.2</v>
      </c>
      <c r="AK203" s="96"/>
      <c r="AL203" s="96">
        <v>93</v>
      </c>
      <c r="AM203" s="96">
        <v>0</v>
      </c>
      <c r="AN203" s="96"/>
      <c r="AO203" s="96">
        <v>0</v>
      </c>
      <c r="AP203" s="103">
        <f t="shared" si="141"/>
        <v>93</v>
      </c>
      <c r="AQ203" s="103">
        <f t="shared" si="152"/>
        <v>18.600000000000001</v>
      </c>
      <c r="AR203" s="68" t="str">
        <f>IFERROR(VLOOKUP(A203,CUSTOMERS!$A:$B,2),"")</f>
        <v>BOI</v>
      </c>
      <c r="AS203" s="68" t="str">
        <f>IFERROR(VLOOKUP(A203,CUSTOMERS!$A:$D,3),"")</f>
        <v>RSC</v>
      </c>
      <c r="AT203" s="68" t="str">
        <f>IFERROR(VLOOKUP(A203,CUSTOMERS!$A:$F,6),"")</f>
        <v>Y</v>
      </c>
      <c r="AU203" s="69">
        <f>IFERROR(VLOOKUP(A203,CUSTOMERS!$A:$E,4),"")</f>
        <v>197.7</v>
      </c>
      <c r="AV203" s="68" t="str">
        <f t="shared" si="146"/>
        <v/>
      </c>
      <c r="AX203" s="71" t="str">
        <f t="shared" si="143"/>
        <v>reason203</v>
      </c>
    </row>
    <row r="204" spans="1:50" ht="50.25" customHeight="1" thickTop="1" thickBot="1">
      <c r="A204" s="188" t="s">
        <v>99</v>
      </c>
      <c r="B204" s="125" t="str">
        <f t="shared" si="147"/>
        <v>Y</v>
      </c>
      <c r="C204" s="125"/>
      <c r="D204" s="126">
        <v>1006</v>
      </c>
      <c r="E204" s="126">
        <v>2216</v>
      </c>
      <c r="F204" s="122" t="str">
        <f t="shared" si="156"/>
        <v>BAC-RSC-0000-1006</v>
      </c>
      <c r="G204" s="186" t="s">
        <v>29</v>
      </c>
      <c r="H204" s="124" t="s">
        <v>195</v>
      </c>
      <c r="I204" s="239"/>
      <c r="J204" s="80">
        <f t="shared" si="138"/>
        <v>793.72500000000002</v>
      </c>
      <c r="K204" s="177">
        <f t="shared" si="153"/>
        <v>0</v>
      </c>
      <c r="L204" s="160"/>
      <c r="M204" s="161"/>
      <c r="N204" s="162"/>
      <c r="O204" s="162"/>
      <c r="P204" s="163"/>
      <c r="Q204" s="202"/>
      <c r="R204" s="204"/>
      <c r="S204" s="211"/>
      <c r="T204" s="211"/>
      <c r="U204" s="211"/>
      <c r="V204" s="211"/>
      <c r="W204" s="211"/>
      <c r="X204" s="154"/>
      <c r="Y204" s="173">
        <f t="shared" si="150"/>
        <v>793.72500000000002</v>
      </c>
      <c r="Z204" s="83">
        <f t="shared" si="139"/>
        <v>0</v>
      </c>
      <c r="AA204" s="84">
        <f t="shared" si="148"/>
        <v>793.72500000000002</v>
      </c>
      <c r="AB204" s="84">
        <f t="shared" si="149"/>
        <v>0</v>
      </c>
      <c r="AC204" s="84">
        <f t="shared" si="140"/>
        <v>0</v>
      </c>
      <c r="AD204" s="84"/>
      <c r="AE204" s="84">
        <f t="shared" si="144"/>
        <v>0</v>
      </c>
      <c r="AF204" s="84">
        <f t="shared" si="151"/>
        <v>793.72500000000002</v>
      </c>
      <c r="AG204" s="94">
        <f t="shared" si="145"/>
        <v>0</v>
      </c>
      <c r="AH204" s="85">
        <f>IFERROR(VLOOKUP(A204,CUSTOMERS!$A:$E,4),"")</f>
        <v>211.66</v>
      </c>
      <c r="AI204" s="86" t="str">
        <f t="shared" si="154"/>
        <v/>
      </c>
      <c r="AJ204" s="87">
        <f>IFERROR(VLOOKUP(A204,CUSTOMERS!$A:$F,5),"")</f>
        <v>0.2</v>
      </c>
      <c r="AK204" s="96"/>
      <c r="AL204" s="96">
        <v>0.5</v>
      </c>
      <c r="AM204" s="96">
        <v>0</v>
      </c>
      <c r="AN204" s="96"/>
      <c r="AO204" s="96">
        <v>0</v>
      </c>
      <c r="AP204" s="103">
        <f t="shared" si="141"/>
        <v>0.5</v>
      </c>
      <c r="AQ204" s="103">
        <v>0</v>
      </c>
      <c r="AR204" s="68" t="str">
        <f>IFERROR(VLOOKUP(A204,CUSTOMERS!$A:$B,2),"")</f>
        <v>BAC</v>
      </c>
      <c r="AS204" s="68" t="str">
        <f>IFERROR(VLOOKUP(A204,CUSTOMERS!$A:$D,3),"")</f>
        <v>RSC</v>
      </c>
      <c r="AT204" s="68" t="str">
        <f>IFERROR(VLOOKUP(A204,CUSTOMERS!$A:$F,6),"")</f>
        <v>Y</v>
      </c>
      <c r="AU204" s="69">
        <f>IFERROR(VLOOKUP(A204,CUSTOMERS!$A:$E,4),"")</f>
        <v>211.66</v>
      </c>
      <c r="AV204" s="68" t="str">
        <f t="shared" si="146"/>
        <v/>
      </c>
      <c r="AX204" s="71" t="str">
        <f t="shared" si="143"/>
        <v>reason204</v>
      </c>
    </row>
    <row r="205" spans="1:50" ht="50.25" customHeight="1" thickTop="1" thickBot="1">
      <c r="A205" s="188" t="s">
        <v>140</v>
      </c>
      <c r="B205" s="125" t="str">
        <f t="shared" si="147"/>
        <v>Y</v>
      </c>
      <c r="C205" s="125"/>
      <c r="D205" s="126">
        <v>1007</v>
      </c>
      <c r="E205" s="126">
        <v>3096</v>
      </c>
      <c r="F205" s="122" t="str">
        <f t="shared" si="156"/>
        <v>LMR-RSC-2022-1007</v>
      </c>
      <c r="G205" s="186" t="s">
        <v>116</v>
      </c>
      <c r="H205" s="124" t="s">
        <v>196</v>
      </c>
      <c r="I205" s="239">
        <v>44896</v>
      </c>
      <c r="J205" s="80">
        <f t="shared" si="138"/>
        <v>130150.8</v>
      </c>
      <c r="K205" s="177">
        <f t="shared" si="153"/>
        <v>44573</v>
      </c>
      <c r="L205" s="160">
        <v>44573</v>
      </c>
      <c r="M205" s="161"/>
      <c r="N205" s="162"/>
      <c r="O205" s="162"/>
      <c r="P205" s="163"/>
      <c r="Q205" s="202"/>
      <c r="R205" s="204"/>
      <c r="S205" s="211"/>
      <c r="T205" s="211"/>
      <c r="U205" s="211"/>
      <c r="V205" s="211"/>
      <c r="W205" s="211"/>
      <c r="X205" s="154"/>
      <c r="Y205" s="173">
        <f t="shared" si="150"/>
        <v>130150.8</v>
      </c>
      <c r="Z205" s="83">
        <f t="shared" si="139"/>
        <v>0</v>
      </c>
      <c r="AA205" s="84">
        <f t="shared" si="148"/>
        <v>108459</v>
      </c>
      <c r="AB205" s="84">
        <f t="shared" si="149"/>
        <v>0</v>
      </c>
      <c r="AC205" s="84">
        <f t="shared" si="140"/>
        <v>0</v>
      </c>
      <c r="AD205" s="84"/>
      <c r="AE205" s="84">
        <f t="shared" si="144"/>
        <v>0</v>
      </c>
      <c r="AF205" s="84">
        <f t="shared" si="151"/>
        <v>108459</v>
      </c>
      <c r="AG205" s="94">
        <f t="shared" si="145"/>
        <v>21691.800000000003</v>
      </c>
      <c r="AH205" s="85">
        <f>IFERROR(VLOOKUP(A205,CUSTOMERS!$A:$E,4),"")</f>
        <v>185.4</v>
      </c>
      <c r="AI205" s="86" t="str">
        <f t="shared" si="154"/>
        <v/>
      </c>
      <c r="AJ205" s="87">
        <f>IFERROR(VLOOKUP(A205,CUSTOMERS!$A:$F,5),"")</f>
        <v>0.2</v>
      </c>
      <c r="AK205" s="96"/>
      <c r="AL205" s="96">
        <v>78</v>
      </c>
      <c r="AM205" s="96">
        <v>0</v>
      </c>
      <c r="AN205" s="96"/>
      <c r="AO205" s="96">
        <v>0</v>
      </c>
      <c r="AP205" s="103">
        <f t="shared" si="141"/>
        <v>78</v>
      </c>
      <c r="AQ205" s="103">
        <f t="shared" si="152"/>
        <v>15.600000000000001</v>
      </c>
      <c r="AR205" s="68" t="str">
        <f>IFERROR(VLOOKUP(A205,CUSTOMERS!$A:$B,2),"")</f>
        <v>LMR</v>
      </c>
      <c r="AS205" s="68" t="str">
        <f>IFERROR(VLOOKUP(A205,CUSTOMERS!$A:$D,3),"")</f>
        <v>RSC</v>
      </c>
      <c r="AT205" s="68" t="str">
        <f>IFERROR(VLOOKUP(A205,CUSTOMERS!$A:$F,6),"")</f>
        <v>Y</v>
      </c>
      <c r="AU205" s="69">
        <f>IFERROR(VLOOKUP(A205,CUSTOMERS!$A:$E,4),"")</f>
        <v>185.4</v>
      </c>
      <c r="AV205" s="68" t="str">
        <f t="shared" si="146"/>
        <v/>
      </c>
      <c r="AX205" s="71" t="str">
        <f t="shared" si="143"/>
        <v>reason205</v>
      </c>
    </row>
    <row r="206" spans="1:50" ht="50.25" customHeight="1" thickTop="1" thickBot="1">
      <c r="A206" s="188" t="s">
        <v>158</v>
      </c>
      <c r="B206" s="125" t="str">
        <f t="shared" ref="B206:B237" si="157">AT206</f>
        <v>Y</v>
      </c>
      <c r="C206" s="125"/>
      <c r="D206" s="126">
        <v>1008</v>
      </c>
      <c r="E206" s="126">
        <v>3216</v>
      </c>
      <c r="F206" s="122" t="str">
        <f t="shared" si="156"/>
        <v>N26-RSC-2022-1008</v>
      </c>
      <c r="G206" s="186" t="s">
        <v>180</v>
      </c>
      <c r="H206" s="124" t="s">
        <v>197</v>
      </c>
      <c r="I206" s="239" t="s">
        <v>657</v>
      </c>
      <c r="J206" s="80">
        <f t="shared" si="138"/>
        <v>3457.98</v>
      </c>
      <c r="K206" s="177">
        <f t="shared" si="153"/>
        <v>44578</v>
      </c>
      <c r="L206" s="160">
        <v>44578</v>
      </c>
      <c r="M206" s="161"/>
      <c r="N206" s="162"/>
      <c r="O206" s="162"/>
      <c r="P206" s="163"/>
      <c r="Q206" s="202"/>
      <c r="R206" s="204"/>
      <c r="S206" s="211"/>
      <c r="T206" s="211"/>
      <c r="U206" s="211"/>
      <c r="V206" s="211"/>
      <c r="W206" s="211"/>
      <c r="X206" s="154"/>
      <c r="Y206" s="173">
        <f t="shared" si="150"/>
        <v>3457.98</v>
      </c>
      <c r="Z206" s="83">
        <f t="shared" si="139"/>
        <v>0</v>
      </c>
      <c r="AA206" s="84">
        <f t="shared" si="148"/>
        <v>2881.65</v>
      </c>
      <c r="AB206" s="84">
        <f t="shared" si="149"/>
        <v>0</v>
      </c>
      <c r="AC206" s="84">
        <f t="shared" si="140"/>
        <v>0</v>
      </c>
      <c r="AD206" s="84"/>
      <c r="AE206" s="84">
        <f t="shared" si="144"/>
        <v>0</v>
      </c>
      <c r="AF206" s="84">
        <f t="shared" si="151"/>
        <v>2881.65</v>
      </c>
      <c r="AG206" s="94">
        <f t="shared" si="145"/>
        <v>576.33000000000004</v>
      </c>
      <c r="AH206" s="85">
        <f>IFERROR(VLOOKUP(A206,CUSTOMERS!$A:$E,4),"")</f>
        <v>192.11</v>
      </c>
      <c r="AI206" s="86" t="str">
        <f t="shared" si="154"/>
        <v/>
      </c>
      <c r="AJ206" s="87">
        <f>IFERROR(VLOOKUP(A206,CUSTOMERS!$A:$F,5),"")</f>
        <v>0.2</v>
      </c>
      <c r="AK206" s="96"/>
      <c r="AL206" s="96">
        <v>2</v>
      </c>
      <c r="AM206" s="96">
        <v>0</v>
      </c>
      <c r="AN206" s="96"/>
      <c r="AO206" s="96">
        <v>0</v>
      </c>
      <c r="AP206" s="103">
        <f t="shared" si="141"/>
        <v>2</v>
      </c>
      <c r="AQ206" s="103">
        <f t="shared" si="152"/>
        <v>0.4</v>
      </c>
      <c r="AR206" s="68" t="str">
        <f>IFERROR(VLOOKUP(A206,CUSTOMERS!$A:$B,2),"")</f>
        <v>N26</v>
      </c>
      <c r="AS206" s="68" t="str">
        <f>IFERROR(VLOOKUP(A206,CUSTOMERS!$A:$D,3),"")</f>
        <v>RSC</v>
      </c>
      <c r="AT206" s="68" t="str">
        <f>IFERROR(VLOOKUP(A206,CUSTOMERS!$A:$F,6),"")</f>
        <v>Y</v>
      </c>
      <c r="AU206" s="69">
        <f>IFERROR(VLOOKUP(A206,CUSTOMERS!$A:$E,4),"")</f>
        <v>192.11</v>
      </c>
      <c r="AV206" s="68" t="str">
        <f t="shared" si="146"/>
        <v/>
      </c>
      <c r="AX206" s="71" t="str">
        <f t="shared" si="143"/>
        <v>reason206</v>
      </c>
    </row>
    <row r="207" spans="1:50" ht="50.25" customHeight="1" thickTop="1" thickBot="1">
      <c r="A207" s="188" t="s">
        <v>140</v>
      </c>
      <c r="B207" s="125" t="s">
        <v>283</v>
      </c>
      <c r="C207" s="125"/>
      <c r="D207" s="126">
        <v>1009</v>
      </c>
      <c r="E207" s="126">
        <v>1562</v>
      </c>
      <c r="F207" s="122" t="str">
        <f t="shared" si="156"/>
        <v>LMR-RSC-2021-1009</v>
      </c>
      <c r="G207" s="186" t="s">
        <v>116</v>
      </c>
      <c r="H207" s="124" t="s">
        <v>198</v>
      </c>
      <c r="I207" s="239"/>
      <c r="J207" s="80">
        <f t="shared" si="138"/>
        <v>15017.400000000001</v>
      </c>
      <c r="K207" s="177">
        <f t="shared" si="153"/>
        <v>44519</v>
      </c>
      <c r="L207" s="160">
        <v>44519</v>
      </c>
      <c r="M207" s="161"/>
      <c r="N207" s="162"/>
      <c r="O207" s="162"/>
      <c r="P207" s="163"/>
      <c r="Q207" s="202"/>
      <c r="R207" s="204"/>
      <c r="S207" s="211"/>
      <c r="T207" s="211"/>
      <c r="U207" s="211"/>
      <c r="V207" s="211"/>
      <c r="W207" s="211"/>
      <c r="X207" s="154"/>
      <c r="Y207" s="173">
        <f t="shared" si="150"/>
        <v>15017.400000000001</v>
      </c>
      <c r="Z207" s="83">
        <f t="shared" si="139"/>
        <v>0</v>
      </c>
      <c r="AA207" s="84">
        <f t="shared" si="148"/>
        <v>12514.500000000002</v>
      </c>
      <c r="AB207" s="84">
        <f t="shared" si="149"/>
        <v>0</v>
      </c>
      <c r="AC207" s="84">
        <f t="shared" si="140"/>
        <v>0</v>
      </c>
      <c r="AD207" s="84"/>
      <c r="AE207" s="84">
        <f t="shared" si="144"/>
        <v>0</v>
      </c>
      <c r="AF207" s="84">
        <f t="shared" si="151"/>
        <v>12514.500000000002</v>
      </c>
      <c r="AG207" s="94">
        <f t="shared" si="145"/>
        <v>2502.9</v>
      </c>
      <c r="AH207" s="85">
        <f>IFERROR(VLOOKUP(A207,CUSTOMERS!$A:$E,4),"")</f>
        <v>185.4</v>
      </c>
      <c r="AI207" s="86" t="str">
        <f t="shared" si="154"/>
        <v/>
      </c>
      <c r="AJ207" s="87">
        <f>IFERROR(VLOOKUP(A207,CUSTOMERS!$A:$F,5),"")</f>
        <v>0.2</v>
      </c>
      <c r="AK207" s="96"/>
      <c r="AL207" s="96">
        <v>9</v>
      </c>
      <c r="AM207" s="96">
        <v>0</v>
      </c>
      <c r="AN207" s="96"/>
      <c r="AO207" s="96">
        <v>0</v>
      </c>
      <c r="AP207" s="103">
        <f t="shared" si="141"/>
        <v>9</v>
      </c>
      <c r="AQ207" s="103">
        <f t="shared" si="152"/>
        <v>1.8</v>
      </c>
      <c r="AR207" s="68" t="str">
        <f>IFERROR(VLOOKUP(A207,CUSTOMERS!$A:$B,2),"")</f>
        <v>LMR</v>
      </c>
      <c r="AS207" s="68" t="str">
        <f>IFERROR(VLOOKUP(A207,CUSTOMERS!$A:$D,3),"")</f>
        <v>RSC</v>
      </c>
      <c r="AT207" s="68" t="str">
        <f>IFERROR(VLOOKUP(A207,CUSTOMERS!$A:$F,6),"")</f>
        <v>Y</v>
      </c>
      <c r="AU207" s="69">
        <f>IFERROR(VLOOKUP(A207,CUSTOMERS!$A:$E,4),"")</f>
        <v>185.4</v>
      </c>
      <c r="AV207" s="68" t="str">
        <f t="shared" si="146"/>
        <v/>
      </c>
      <c r="AX207" s="71" t="str">
        <f t="shared" si="143"/>
        <v>reason207</v>
      </c>
    </row>
    <row r="208" spans="1:50" ht="50.25" customHeight="1" thickTop="1" thickBot="1">
      <c r="A208" s="188" t="s">
        <v>162</v>
      </c>
      <c r="B208" s="125" t="str">
        <f t="shared" si="157"/>
        <v>Y</v>
      </c>
      <c r="C208" s="125"/>
      <c r="D208" s="126">
        <v>1010</v>
      </c>
      <c r="E208" s="126">
        <v>3547</v>
      </c>
      <c r="F208" s="122" t="str">
        <f t="shared" si="156"/>
        <v>RMB-RSC-2022-1010</v>
      </c>
      <c r="G208" s="186" t="s">
        <v>180</v>
      </c>
      <c r="H208" s="124" t="s">
        <v>658</v>
      </c>
      <c r="I208" s="239"/>
      <c r="J208" s="80">
        <f t="shared" si="138"/>
        <v>0</v>
      </c>
      <c r="K208" s="177">
        <f t="shared" si="153"/>
        <v>44588</v>
      </c>
      <c r="L208" s="160">
        <v>44588</v>
      </c>
      <c r="M208" s="161"/>
      <c r="N208" s="162"/>
      <c r="O208" s="162"/>
      <c r="P208" s="163"/>
      <c r="Q208" s="202"/>
      <c r="R208" s="204"/>
      <c r="S208" s="211"/>
      <c r="T208" s="211"/>
      <c r="U208" s="211"/>
      <c r="V208" s="211"/>
      <c r="W208" s="211"/>
      <c r="X208" s="154"/>
      <c r="Y208" s="173">
        <f t="shared" si="150"/>
        <v>0</v>
      </c>
      <c r="Z208" s="83">
        <f t="shared" si="139"/>
        <v>0</v>
      </c>
      <c r="AA208" s="84">
        <f t="shared" si="148"/>
        <v>0</v>
      </c>
      <c r="AB208" s="84">
        <f t="shared" si="149"/>
        <v>0</v>
      </c>
      <c r="AC208" s="84">
        <f t="shared" si="140"/>
        <v>0</v>
      </c>
      <c r="AD208" s="84"/>
      <c r="AE208" s="84">
        <f t="shared" si="144"/>
        <v>0</v>
      </c>
      <c r="AF208" s="84">
        <f t="shared" si="151"/>
        <v>0</v>
      </c>
      <c r="AG208" s="94">
        <f t="shared" si="145"/>
        <v>0</v>
      </c>
      <c r="AH208" s="85">
        <f>IFERROR(VLOOKUP(A208,CUSTOMERS!$A:$E,4),"")</f>
        <v>180.81</v>
      </c>
      <c r="AI208" s="86" t="str">
        <f t="shared" si="154"/>
        <v/>
      </c>
      <c r="AJ208" s="87">
        <f>IFERROR(VLOOKUP(A208,CUSTOMERS!$A:$F,5),"")</f>
        <v>0</v>
      </c>
      <c r="AK208" s="96"/>
      <c r="AL208" s="96">
        <v>0</v>
      </c>
      <c r="AM208" s="96">
        <v>0</v>
      </c>
      <c r="AN208" s="96"/>
      <c r="AO208" s="96">
        <v>0</v>
      </c>
      <c r="AP208" s="103">
        <f t="shared" si="141"/>
        <v>0</v>
      </c>
      <c r="AQ208" s="103">
        <f t="shared" si="152"/>
        <v>0</v>
      </c>
      <c r="AR208" s="68" t="str">
        <f>IFERROR(VLOOKUP(A208,CUSTOMERS!$A:$B,2),"")</f>
        <v>RMB</v>
      </c>
      <c r="AS208" s="68" t="str">
        <f>IFERROR(VLOOKUP(A208,CUSTOMERS!$A:$D,3),"")</f>
        <v>RSC</v>
      </c>
      <c r="AT208" s="68" t="str">
        <f>IFERROR(VLOOKUP(A208,CUSTOMERS!$A:$F,6),"")</f>
        <v>Y</v>
      </c>
      <c r="AU208" s="69">
        <f>IFERROR(VLOOKUP(A208,CUSTOMERS!$A:$E,4),"")</f>
        <v>180.81</v>
      </c>
      <c r="AV208" s="68" t="str">
        <f t="shared" si="146"/>
        <v/>
      </c>
      <c r="AX208" s="71" t="str">
        <f t="shared" si="143"/>
        <v>reason208</v>
      </c>
    </row>
    <row r="209" spans="1:50" ht="50.25" customHeight="1" thickTop="1" thickBot="1">
      <c r="A209" s="188" t="s">
        <v>162</v>
      </c>
      <c r="B209" s="125" t="str">
        <f t="shared" si="157"/>
        <v>Y</v>
      </c>
      <c r="C209" s="125"/>
      <c r="D209" s="126">
        <v>1011</v>
      </c>
      <c r="E209" s="126">
        <v>3579</v>
      </c>
      <c r="F209" s="122" t="str">
        <f t="shared" si="156"/>
        <v>RMB-RSC-2022-1011</v>
      </c>
      <c r="G209" s="186" t="s">
        <v>200</v>
      </c>
      <c r="H209" s="124" t="s">
        <v>201</v>
      </c>
      <c r="I209" s="239"/>
      <c r="J209" s="80">
        <f t="shared" si="138"/>
        <v>0</v>
      </c>
      <c r="K209" s="177">
        <f t="shared" si="153"/>
        <v>44588</v>
      </c>
      <c r="L209" s="160">
        <v>44588</v>
      </c>
      <c r="M209" s="161"/>
      <c r="N209" s="162"/>
      <c r="O209" s="162"/>
      <c r="P209" s="163"/>
      <c r="Q209" s="202"/>
      <c r="R209" s="204"/>
      <c r="S209" s="211"/>
      <c r="T209" s="211"/>
      <c r="U209" s="211"/>
      <c r="V209" s="211"/>
      <c r="W209" s="211"/>
      <c r="X209" s="154"/>
      <c r="Y209" s="173">
        <f t="shared" si="150"/>
        <v>0</v>
      </c>
      <c r="Z209" s="83">
        <f t="shared" si="139"/>
        <v>0</v>
      </c>
      <c r="AA209" s="84">
        <f t="shared" si="148"/>
        <v>0</v>
      </c>
      <c r="AB209" s="84">
        <f t="shared" si="149"/>
        <v>0</v>
      </c>
      <c r="AC209" s="84">
        <f t="shared" si="140"/>
        <v>0</v>
      </c>
      <c r="AD209" s="84"/>
      <c r="AE209" s="84">
        <f t="shared" si="144"/>
        <v>0</v>
      </c>
      <c r="AF209" s="84">
        <f t="shared" si="151"/>
        <v>0</v>
      </c>
      <c r="AG209" s="94">
        <f t="shared" si="145"/>
        <v>0</v>
      </c>
      <c r="AH209" s="85">
        <f>IFERROR(VLOOKUP(A209,CUSTOMERS!$A:$E,4),"")</f>
        <v>180.81</v>
      </c>
      <c r="AI209" s="86" t="str">
        <f t="shared" si="154"/>
        <v/>
      </c>
      <c r="AJ209" s="87">
        <f>IFERROR(VLOOKUP(A209,CUSTOMERS!$A:$F,5),"")</f>
        <v>0</v>
      </c>
      <c r="AK209" s="96"/>
      <c r="AL209" s="96">
        <v>0</v>
      </c>
      <c r="AM209" s="96">
        <v>0</v>
      </c>
      <c r="AN209" s="96"/>
      <c r="AO209" s="96">
        <v>0</v>
      </c>
      <c r="AP209" s="103">
        <f t="shared" si="141"/>
        <v>0</v>
      </c>
      <c r="AQ209" s="103">
        <f t="shared" si="152"/>
        <v>0</v>
      </c>
      <c r="AR209" s="68" t="str">
        <f>IFERROR(VLOOKUP(A209,CUSTOMERS!$A:$B,2),"")</f>
        <v>RMB</v>
      </c>
      <c r="AS209" s="68" t="str">
        <f>IFERROR(VLOOKUP(A209,CUSTOMERS!$A:$D,3),"")</f>
        <v>RSC</v>
      </c>
      <c r="AT209" s="68" t="str">
        <f>IFERROR(VLOOKUP(A209,CUSTOMERS!$A:$F,6),"")</f>
        <v>Y</v>
      </c>
      <c r="AU209" s="69">
        <f>IFERROR(VLOOKUP(A209,CUSTOMERS!$A:$E,4),"")</f>
        <v>180.81</v>
      </c>
      <c r="AV209" s="68" t="str">
        <f t="shared" si="146"/>
        <v/>
      </c>
      <c r="AX209" s="71" t="str">
        <f t="shared" si="143"/>
        <v>reason209</v>
      </c>
    </row>
    <row r="210" spans="1:50" ht="50.25" customHeight="1" thickTop="1" thickBot="1">
      <c r="A210" s="188" t="s">
        <v>27</v>
      </c>
      <c r="B210" s="125" t="str">
        <f t="shared" si="157"/>
        <v>N</v>
      </c>
      <c r="C210" s="125"/>
      <c r="D210" s="126">
        <v>1012</v>
      </c>
      <c r="E210" s="126"/>
      <c r="F210" s="122" t="str">
        <f t="shared" si="156"/>
        <v>PRD-BLG-2022-1012</v>
      </c>
      <c r="G210" s="186" t="s">
        <v>200</v>
      </c>
      <c r="H210" s="124" t="s">
        <v>202</v>
      </c>
      <c r="I210" s="239"/>
      <c r="J210" s="80">
        <f t="shared" si="138"/>
        <v>0</v>
      </c>
      <c r="K210" s="177">
        <f t="shared" si="153"/>
        <v>0</v>
      </c>
      <c r="L210" s="160" t="s">
        <v>203</v>
      </c>
      <c r="M210" s="161"/>
      <c r="N210" s="162"/>
      <c r="O210" s="162"/>
      <c r="P210" s="163"/>
      <c r="Q210" s="202"/>
      <c r="R210" s="204"/>
      <c r="S210" s="211"/>
      <c r="T210" s="211"/>
      <c r="U210" s="211"/>
      <c r="V210" s="211"/>
      <c r="W210" s="211"/>
      <c r="X210" s="154"/>
      <c r="Y210" s="173">
        <f t="shared" si="150"/>
        <v>0</v>
      </c>
      <c r="Z210" s="83">
        <f t="shared" si="139"/>
        <v>0</v>
      </c>
      <c r="AA210" s="84">
        <f t="shared" si="148"/>
        <v>0</v>
      </c>
      <c r="AB210" s="84">
        <f t="shared" si="149"/>
        <v>0</v>
      </c>
      <c r="AC210" s="84">
        <f t="shared" si="140"/>
        <v>0</v>
      </c>
      <c r="AD210" s="84"/>
      <c r="AE210" s="84">
        <f t="shared" si="144"/>
        <v>0</v>
      </c>
      <c r="AF210" s="84">
        <f t="shared" ref="AF210:AF241" si="158">IFERROR(SUM(Z210:AE210),"")</f>
        <v>0</v>
      </c>
      <c r="AG210" s="94">
        <f t="shared" si="145"/>
        <v>0</v>
      </c>
      <c r="AH210" s="85">
        <f>IFERROR(VLOOKUP(A210,CUSTOMERS!$A:$E,4),"")</f>
        <v>-150</v>
      </c>
      <c r="AI210" s="86" t="str">
        <f t="shared" si="154"/>
        <v/>
      </c>
      <c r="AJ210" s="87">
        <f>IFERROR(VLOOKUP(A210,CUSTOMERS!$A:$F,5),"")</f>
        <v>0</v>
      </c>
      <c r="AK210" s="96"/>
      <c r="AL210" s="96">
        <v>0</v>
      </c>
      <c r="AM210" s="96">
        <v>0</v>
      </c>
      <c r="AN210" s="96"/>
      <c r="AO210" s="96">
        <v>0</v>
      </c>
      <c r="AP210" s="103">
        <f t="shared" si="141"/>
        <v>0</v>
      </c>
      <c r="AQ210" s="103">
        <f t="shared" si="152"/>
        <v>0</v>
      </c>
      <c r="AR210" s="68" t="str">
        <f>IFERROR(VLOOKUP(A210,CUSTOMERS!$A:$B,2),"")</f>
        <v>PRD</v>
      </c>
      <c r="AS210" s="68" t="str">
        <f>IFERROR(VLOOKUP(A210,CUSTOMERS!$A:$D,3),"")</f>
        <v>BLG</v>
      </c>
      <c r="AT210" s="68" t="str">
        <f>IFERROR(VLOOKUP(A210,CUSTOMERS!$A:$F,6),"")</f>
        <v>N</v>
      </c>
      <c r="AU210" s="69">
        <f>IFERROR(VLOOKUP(A210,CUSTOMERS!$A:$E,4),"")</f>
        <v>-150</v>
      </c>
      <c r="AV210" s="68" t="str">
        <f t="shared" si="146"/>
        <v/>
      </c>
      <c r="AX210" s="71" t="str">
        <f t="shared" si="143"/>
        <v>reason210</v>
      </c>
    </row>
    <row r="211" spans="1:50" ht="50.25" customHeight="1" thickTop="1" thickBot="1">
      <c r="A211" s="188" t="s">
        <v>27</v>
      </c>
      <c r="B211" s="125" t="str">
        <f t="shared" ref="B211:B212" si="159">AT211</f>
        <v>N</v>
      </c>
      <c r="C211" s="125"/>
      <c r="D211" s="126">
        <v>1013</v>
      </c>
      <c r="E211" s="126"/>
      <c r="F211" s="122" t="str">
        <f t="shared" si="156"/>
        <v>PRD-BLG-2022-1013</v>
      </c>
      <c r="G211" s="186" t="s">
        <v>200</v>
      </c>
      <c r="H211" s="124" t="s">
        <v>204</v>
      </c>
      <c r="I211" s="239"/>
      <c r="J211" s="80">
        <f t="shared" ref="J211:J274" si="160">Y211</f>
        <v>0</v>
      </c>
      <c r="K211" s="177">
        <f t="shared" si="153"/>
        <v>0</v>
      </c>
      <c r="L211" s="160" t="s">
        <v>203</v>
      </c>
      <c r="M211" s="161"/>
      <c r="N211" s="162"/>
      <c r="O211" s="162"/>
      <c r="P211" s="163"/>
      <c r="Q211" s="202"/>
      <c r="R211" s="204"/>
      <c r="S211" s="211"/>
      <c r="T211" s="211"/>
      <c r="U211" s="211"/>
      <c r="V211" s="211"/>
      <c r="W211" s="211"/>
      <c r="X211" s="154"/>
      <c r="Y211" s="173">
        <f t="shared" si="150"/>
        <v>0</v>
      </c>
      <c r="Z211" s="83">
        <f t="shared" ref="Z211:Z274" si="161">IFERROR((AK211*AH211)*7.5,"")</f>
        <v>0</v>
      </c>
      <c r="AA211" s="84">
        <f t="shared" si="148"/>
        <v>0</v>
      </c>
      <c r="AB211" s="84">
        <f t="shared" si="149"/>
        <v>0</v>
      </c>
      <c r="AC211" s="84">
        <f t="shared" ref="AC211:AC274" si="162">IFERROR((AN211*AH211)*7.5,"")</f>
        <v>0</v>
      </c>
      <c r="AD211" s="84"/>
      <c r="AE211" s="84">
        <f t="shared" si="144"/>
        <v>0</v>
      </c>
      <c r="AF211" s="84">
        <f t="shared" si="158"/>
        <v>0</v>
      </c>
      <c r="AG211" s="94">
        <f t="shared" si="145"/>
        <v>0</v>
      </c>
      <c r="AH211" s="85">
        <f>IFERROR(VLOOKUP(A211,CUSTOMERS!$A:$E,4),"")</f>
        <v>-150</v>
      </c>
      <c r="AI211" s="86" t="str">
        <f t="shared" si="154"/>
        <v/>
      </c>
      <c r="AJ211" s="87">
        <f>IFERROR(VLOOKUP(A211,CUSTOMERS!$A:$F,5),"")</f>
        <v>0</v>
      </c>
      <c r="AK211" s="96"/>
      <c r="AL211" s="96">
        <v>0</v>
      </c>
      <c r="AM211" s="96">
        <v>0</v>
      </c>
      <c r="AN211" s="96"/>
      <c r="AO211" s="96">
        <v>0</v>
      </c>
      <c r="AP211" s="103">
        <f t="shared" ref="AP211:AP274" si="163">SUM(AK211:AO211)</f>
        <v>0</v>
      </c>
      <c r="AQ211" s="103">
        <f t="shared" si="152"/>
        <v>0</v>
      </c>
      <c r="AR211" s="68" t="str">
        <f>IFERROR(VLOOKUP(A211,CUSTOMERS!$A:$B,2),"")</f>
        <v>PRD</v>
      </c>
      <c r="AS211" s="68" t="str">
        <f>IFERROR(VLOOKUP(A211,CUSTOMERS!$A:$D,3),"")</f>
        <v>BLG</v>
      </c>
      <c r="AT211" s="68" t="str">
        <f>IFERROR(VLOOKUP(A211,CUSTOMERS!$A:$F,6),"")</f>
        <v>N</v>
      </c>
      <c r="AU211" s="69">
        <f>IFERROR(VLOOKUP(A211,CUSTOMERS!$A:$E,4),"")</f>
        <v>-150</v>
      </c>
      <c r="AV211" s="68" t="str">
        <f t="shared" si="146"/>
        <v/>
      </c>
      <c r="AX211" s="71" t="str">
        <f t="shared" si="143"/>
        <v>reason211</v>
      </c>
    </row>
    <row r="212" spans="1:50" ht="50.25" customHeight="1" thickTop="1" thickBot="1">
      <c r="A212" s="188" t="s">
        <v>162</v>
      </c>
      <c r="B212" s="125" t="str">
        <f t="shared" si="159"/>
        <v>Y</v>
      </c>
      <c r="C212" s="125"/>
      <c r="D212" s="126">
        <v>1010</v>
      </c>
      <c r="E212" s="126">
        <v>3574</v>
      </c>
      <c r="F212" s="122" t="str">
        <f t="shared" si="156"/>
        <v>RMB-RSC-0000-1010</v>
      </c>
      <c r="G212" s="186"/>
      <c r="H212" s="124" t="s">
        <v>199</v>
      </c>
      <c r="I212" s="239"/>
      <c r="J212" s="80">
        <f t="shared" si="160"/>
        <v>0</v>
      </c>
      <c r="K212" s="177">
        <f t="shared" si="153"/>
        <v>0</v>
      </c>
      <c r="L212" s="160"/>
      <c r="M212" s="161"/>
      <c r="N212" s="162"/>
      <c r="O212" s="162"/>
      <c r="P212" s="163"/>
      <c r="Q212" s="202"/>
      <c r="R212" s="204"/>
      <c r="S212" s="211"/>
      <c r="T212" s="211"/>
      <c r="U212" s="211"/>
      <c r="V212" s="211"/>
      <c r="W212" s="211"/>
      <c r="X212" s="154"/>
      <c r="Y212" s="173">
        <f t="shared" si="150"/>
        <v>0</v>
      </c>
      <c r="Z212" s="83">
        <f t="shared" si="161"/>
        <v>0</v>
      </c>
      <c r="AA212" s="84">
        <f t="shared" si="148"/>
        <v>0</v>
      </c>
      <c r="AB212" s="84">
        <f t="shared" si="149"/>
        <v>0</v>
      </c>
      <c r="AC212" s="84">
        <f t="shared" si="162"/>
        <v>0</v>
      </c>
      <c r="AD212" s="84"/>
      <c r="AE212" s="84">
        <f t="shared" si="144"/>
        <v>0</v>
      </c>
      <c r="AF212" s="84">
        <f t="shared" si="158"/>
        <v>0</v>
      </c>
      <c r="AG212" s="94">
        <f t="shared" si="145"/>
        <v>0</v>
      </c>
      <c r="AH212" s="85">
        <f>IFERROR(VLOOKUP(A212,CUSTOMERS!$A:$E,4),"")</f>
        <v>180.81</v>
      </c>
      <c r="AI212" s="86" t="str">
        <f t="shared" si="154"/>
        <v/>
      </c>
      <c r="AJ212" s="87">
        <f>IFERROR(VLOOKUP(A212,CUSTOMERS!$A:$F,5),"")</f>
        <v>0</v>
      </c>
      <c r="AK212" s="96"/>
      <c r="AL212" s="96">
        <v>0</v>
      </c>
      <c r="AM212" s="96">
        <v>0</v>
      </c>
      <c r="AN212" s="96"/>
      <c r="AO212" s="96">
        <v>0</v>
      </c>
      <c r="AP212" s="103">
        <f t="shared" si="163"/>
        <v>0</v>
      </c>
      <c r="AQ212" s="103">
        <f t="shared" si="152"/>
        <v>0</v>
      </c>
      <c r="AR212" s="68" t="str">
        <f>IFERROR(VLOOKUP(A212,CUSTOMERS!$A:$B,2),"")</f>
        <v>RMB</v>
      </c>
      <c r="AS212" s="68" t="str">
        <f>IFERROR(VLOOKUP(A212,CUSTOMERS!$A:$D,3),"")</f>
        <v>RSC</v>
      </c>
      <c r="AT212" s="68" t="str">
        <f>IFERROR(VLOOKUP(A212,CUSTOMERS!$A:$F,6),"")</f>
        <v>Y</v>
      </c>
      <c r="AU212" s="69">
        <f>IFERROR(VLOOKUP(A212,CUSTOMERS!$A:$E,4),"")</f>
        <v>180.81</v>
      </c>
      <c r="AV212" s="68" t="str">
        <f t="shared" si="146"/>
        <v/>
      </c>
      <c r="AX212" s="71" t="str">
        <f t="shared" si="143"/>
        <v>reason212</v>
      </c>
    </row>
    <row r="213" spans="1:50" ht="50.25" customHeight="1" thickTop="1" thickBot="1">
      <c r="A213" s="188" t="s">
        <v>162</v>
      </c>
      <c r="B213" s="125" t="str">
        <f t="shared" ref="B213" si="164">AT213</f>
        <v>Y</v>
      </c>
      <c r="C213" s="126">
        <v>1011</v>
      </c>
      <c r="D213" s="126">
        <v>1011</v>
      </c>
      <c r="E213" s="126">
        <v>3579</v>
      </c>
      <c r="F213" s="122" t="str">
        <f t="shared" si="156"/>
        <v>RMB-RSC-2022-1011</v>
      </c>
      <c r="G213" s="186" t="s">
        <v>180</v>
      </c>
      <c r="H213" s="124" t="s">
        <v>659</v>
      </c>
      <c r="I213" s="239"/>
      <c r="J213" s="80">
        <f t="shared" si="160"/>
        <v>0</v>
      </c>
      <c r="K213" s="177">
        <f t="shared" si="153"/>
        <v>44588</v>
      </c>
      <c r="L213" s="160">
        <v>44588</v>
      </c>
      <c r="M213" s="161"/>
      <c r="N213" s="162"/>
      <c r="O213" s="162"/>
      <c r="P213" s="163"/>
      <c r="Q213" s="202"/>
      <c r="R213" s="204"/>
      <c r="S213" s="211"/>
      <c r="T213" s="211"/>
      <c r="U213" s="211"/>
      <c r="V213" s="211"/>
      <c r="W213" s="211"/>
      <c r="X213" s="154"/>
      <c r="Y213" s="173">
        <f t="shared" si="150"/>
        <v>0</v>
      </c>
      <c r="Z213" s="83">
        <f t="shared" si="161"/>
        <v>0</v>
      </c>
      <c r="AA213" s="84">
        <f t="shared" si="148"/>
        <v>0</v>
      </c>
      <c r="AB213" s="84">
        <f t="shared" si="149"/>
        <v>0</v>
      </c>
      <c r="AC213" s="84">
        <f t="shared" si="162"/>
        <v>0</v>
      </c>
      <c r="AD213" s="84"/>
      <c r="AE213" s="84">
        <f t="shared" si="144"/>
        <v>0</v>
      </c>
      <c r="AF213" s="84">
        <f t="shared" si="158"/>
        <v>0</v>
      </c>
      <c r="AG213" s="94">
        <f t="shared" si="145"/>
        <v>0</v>
      </c>
      <c r="AH213" s="85">
        <f>IFERROR(VLOOKUP(A213,CUSTOMERS!$A:$E,4),"")</f>
        <v>180.81</v>
      </c>
      <c r="AI213" s="86" t="str">
        <f t="shared" si="154"/>
        <v/>
      </c>
      <c r="AJ213" s="87">
        <f>IFERROR(VLOOKUP(A213,CUSTOMERS!$A:$F,5),"")</f>
        <v>0</v>
      </c>
      <c r="AK213" s="96"/>
      <c r="AL213" s="96">
        <v>0</v>
      </c>
      <c r="AM213" s="96">
        <v>0</v>
      </c>
      <c r="AN213" s="96"/>
      <c r="AO213" s="96">
        <v>0</v>
      </c>
      <c r="AP213" s="103">
        <f t="shared" si="163"/>
        <v>0</v>
      </c>
      <c r="AQ213" s="103">
        <f t="shared" si="152"/>
        <v>0</v>
      </c>
      <c r="AR213" s="68" t="str">
        <f>IFERROR(VLOOKUP(A213,CUSTOMERS!$A:$B,2),"")</f>
        <v>RMB</v>
      </c>
      <c r="AS213" s="68" t="str">
        <f>IFERROR(VLOOKUP(A213,CUSTOMERS!$A:$D,3),"")</f>
        <v>RSC</v>
      </c>
      <c r="AT213" s="68" t="str">
        <f>IFERROR(VLOOKUP(A213,CUSTOMERS!$A:$F,6),"")</f>
        <v>Y</v>
      </c>
      <c r="AU213" s="69">
        <f>IFERROR(VLOOKUP(A213,CUSTOMERS!$A:$E,4),"")</f>
        <v>180.81</v>
      </c>
      <c r="AV213" s="68" t="str">
        <f t="shared" si="146"/>
        <v/>
      </c>
      <c r="AX213" s="71" t="str">
        <f t="shared" si="143"/>
        <v>reason213</v>
      </c>
    </row>
    <row r="214" spans="1:50" ht="50.25" customHeight="1" thickTop="1" thickBot="1">
      <c r="A214" s="188" t="s">
        <v>660</v>
      </c>
      <c r="B214" s="125" t="str">
        <f t="shared" si="157"/>
        <v>Y</v>
      </c>
      <c r="C214" s="125"/>
      <c r="D214" s="126">
        <v>1012</v>
      </c>
      <c r="E214" s="126">
        <v>4112</v>
      </c>
      <c r="F214" s="122" t="str">
        <f t="shared" si="156"/>
        <v>CYG-RSC-0000-1012</v>
      </c>
      <c r="G214" s="186" t="s">
        <v>180</v>
      </c>
      <c r="H214" s="124" t="s">
        <v>202</v>
      </c>
      <c r="I214" s="239"/>
      <c r="J214" s="80">
        <f t="shared" si="160"/>
        <v>0</v>
      </c>
      <c r="K214" s="177">
        <f t="shared" si="153"/>
        <v>0</v>
      </c>
      <c r="L214" s="160"/>
      <c r="M214" s="161"/>
      <c r="N214" s="162"/>
      <c r="O214" s="162"/>
      <c r="P214" s="163"/>
      <c r="Q214" s="202"/>
      <c r="R214" s="204"/>
      <c r="S214" s="211"/>
      <c r="T214" s="211"/>
      <c r="U214" s="211"/>
      <c r="V214" s="211"/>
      <c r="W214" s="211"/>
      <c r="X214" s="154"/>
      <c r="Y214" s="173">
        <f t="shared" si="150"/>
        <v>0</v>
      </c>
      <c r="Z214" s="83">
        <f t="shared" si="161"/>
        <v>0</v>
      </c>
      <c r="AA214" s="84">
        <f t="shared" si="148"/>
        <v>0</v>
      </c>
      <c r="AB214" s="84">
        <f t="shared" si="149"/>
        <v>0</v>
      </c>
      <c r="AC214" s="84">
        <f t="shared" si="162"/>
        <v>0</v>
      </c>
      <c r="AD214" s="84"/>
      <c r="AE214" s="84">
        <f t="shared" si="144"/>
        <v>0</v>
      </c>
      <c r="AF214" s="84">
        <f t="shared" si="158"/>
        <v>0</v>
      </c>
      <c r="AG214" s="94">
        <f t="shared" si="145"/>
        <v>0</v>
      </c>
      <c r="AH214" s="85">
        <f>IFERROR(VLOOKUP(A214,CUSTOMERS!$A:$E,4),"")</f>
        <v>205.2</v>
      </c>
      <c r="AI214" s="86" t="str">
        <f t="shared" si="154"/>
        <v/>
      </c>
      <c r="AJ214" s="87">
        <f>IFERROR(VLOOKUP(A214,CUSTOMERS!$A:$F,5),"")</f>
        <v>0.2</v>
      </c>
      <c r="AK214" s="96"/>
      <c r="AL214" s="96">
        <v>0</v>
      </c>
      <c r="AM214" s="96">
        <v>0</v>
      </c>
      <c r="AN214" s="96"/>
      <c r="AO214" s="96">
        <v>0</v>
      </c>
      <c r="AP214" s="103">
        <f t="shared" si="163"/>
        <v>0</v>
      </c>
      <c r="AQ214" s="103">
        <f t="shared" si="152"/>
        <v>0</v>
      </c>
      <c r="AR214" s="68" t="str">
        <f>IFERROR(VLOOKUP(A214,CUSTOMERS!$A:$B,2),"")</f>
        <v>CYG</v>
      </c>
      <c r="AS214" s="68" t="str">
        <f>IFERROR(VLOOKUP(A214,CUSTOMERS!$A:$D,3),"")</f>
        <v>RSC</v>
      </c>
      <c r="AT214" s="68" t="str">
        <f>IFERROR(VLOOKUP(A214,CUSTOMERS!$A:$F,6),"")</f>
        <v>Y</v>
      </c>
      <c r="AU214" s="69">
        <f>IFERROR(VLOOKUP(A214,CUSTOMERS!$A:$E,4),"")</f>
        <v>205.2</v>
      </c>
      <c r="AV214" s="68" t="str">
        <f t="shared" si="146"/>
        <v/>
      </c>
      <c r="AX214" s="71" t="str">
        <f t="shared" si="143"/>
        <v>reason214</v>
      </c>
    </row>
    <row r="215" spans="1:50" ht="50.25" customHeight="1" thickTop="1" thickBot="1">
      <c r="A215" s="188" t="s">
        <v>660</v>
      </c>
      <c r="B215" s="125" t="str">
        <f t="shared" ref="B215" si="165">AT215</f>
        <v>Y</v>
      </c>
      <c r="C215" s="125"/>
      <c r="D215" s="126">
        <v>1013</v>
      </c>
      <c r="E215" s="126">
        <v>4113</v>
      </c>
      <c r="F215" s="122" t="str">
        <f t="shared" si="156"/>
        <v>CYG-RSC-0000-1013</v>
      </c>
      <c r="G215" s="186" t="s">
        <v>180</v>
      </c>
      <c r="H215" s="124" t="s">
        <v>204</v>
      </c>
      <c r="I215" s="239"/>
      <c r="J215" s="80">
        <f t="shared" si="160"/>
        <v>0</v>
      </c>
      <c r="K215" s="177">
        <f t="shared" ref="K215:K246" si="166">MAX(L215:R215)</f>
        <v>0</v>
      </c>
      <c r="L215" s="160"/>
      <c r="M215" s="161"/>
      <c r="N215" s="162"/>
      <c r="O215" s="162"/>
      <c r="P215" s="163"/>
      <c r="Q215" s="202"/>
      <c r="R215" s="204"/>
      <c r="S215" s="211"/>
      <c r="T215" s="211"/>
      <c r="U215" s="211"/>
      <c r="V215" s="211"/>
      <c r="W215" s="211"/>
      <c r="X215" s="154"/>
      <c r="Y215" s="173">
        <f t="shared" si="150"/>
        <v>0</v>
      </c>
      <c r="Z215" s="83">
        <f t="shared" si="161"/>
        <v>0</v>
      </c>
      <c r="AA215" s="84">
        <f t="shared" si="148"/>
        <v>0</v>
      </c>
      <c r="AB215" s="84">
        <f t="shared" si="149"/>
        <v>0</v>
      </c>
      <c r="AC215" s="84">
        <f t="shared" si="162"/>
        <v>0</v>
      </c>
      <c r="AD215" s="84"/>
      <c r="AE215" s="84">
        <f t="shared" si="144"/>
        <v>0</v>
      </c>
      <c r="AF215" s="84">
        <f t="shared" si="158"/>
        <v>0</v>
      </c>
      <c r="AG215" s="94">
        <f t="shared" si="145"/>
        <v>0</v>
      </c>
      <c r="AH215" s="85">
        <f>IFERROR(VLOOKUP(A215,CUSTOMERS!$A:$E,4),"")</f>
        <v>205.2</v>
      </c>
      <c r="AI215" s="86" t="str">
        <f t="shared" si="154"/>
        <v/>
      </c>
      <c r="AJ215" s="87">
        <f>IFERROR(VLOOKUP(A215,CUSTOMERS!$A:$F,5),"")</f>
        <v>0.2</v>
      </c>
      <c r="AK215" s="96"/>
      <c r="AL215" s="96">
        <v>0</v>
      </c>
      <c r="AM215" s="96">
        <v>0</v>
      </c>
      <c r="AN215" s="96"/>
      <c r="AO215" s="96">
        <v>0</v>
      </c>
      <c r="AP215" s="103">
        <f t="shared" si="163"/>
        <v>0</v>
      </c>
      <c r="AQ215" s="103">
        <f t="shared" si="152"/>
        <v>0</v>
      </c>
      <c r="AR215" s="68" t="str">
        <f>IFERROR(VLOOKUP(A215,CUSTOMERS!$A:$B,2),"")</f>
        <v>CYG</v>
      </c>
      <c r="AS215" s="68" t="str">
        <f>IFERROR(VLOOKUP(A215,CUSTOMERS!$A:$D,3),"")</f>
        <v>RSC</v>
      </c>
      <c r="AT215" s="68" t="str">
        <f>IFERROR(VLOOKUP(A215,CUSTOMERS!$A:$F,6),"")</f>
        <v>Y</v>
      </c>
      <c r="AU215" s="69">
        <f>IFERROR(VLOOKUP(A215,CUSTOMERS!$A:$E,4),"")</f>
        <v>205.2</v>
      </c>
      <c r="AV215" s="68" t="str">
        <f t="shared" si="146"/>
        <v/>
      </c>
      <c r="AX215" s="71" t="str">
        <f t="shared" si="143"/>
        <v>reason215</v>
      </c>
    </row>
    <row r="216" spans="1:50" ht="50.25" customHeight="1" thickTop="1" thickBot="1">
      <c r="A216" s="188" t="s">
        <v>140</v>
      </c>
      <c r="B216" s="125" t="str">
        <f t="shared" si="157"/>
        <v>Y</v>
      </c>
      <c r="C216" s="125"/>
      <c r="D216" s="126">
        <v>1014</v>
      </c>
      <c r="E216" s="126">
        <v>4655</v>
      </c>
      <c r="F216" s="122" t="str">
        <f t="shared" si="156"/>
        <v>LMR-RSC-0000-1014</v>
      </c>
      <c r="G216" s="186" t="s">
        <v>205</v>
      </c>
      <c r="H216" s="124" t="s">
        <v>206</v>
      </c>
      <c r="I216" s="239"/>
      <c r="J216" s="80">
        <f t="shared" si="160"/>
        <v>0</v>
      </c>
      <c r="K216" s="177">
        <f t="shared" si="166"/>
        <v>0</v>
      </c>
      <c r="L216" s="160"/>
      <c r="M216" s="161"/>
      <c r="N216" s="162"/>
      <c r="O216" s="162"/>
      <c r="P216" s="163"/>
      <c r="Q216" s="202"/>
      <c r="R216" s="204"/>
      <c r="S216" s="211"/>
      <c r="T216" s="211"/>
      <c r="U216" s="211"/>
      <c r="V216" s="211"/>
      <c r="W216" s="211"/>
      <c r="X216" s="154"/>
      <c r="Y216" s="173">
        <f t="shared" si="150"/>
        <v>0</v>
      </c>
      <c r="Z216" s="83">
        <f t="shared" si="161"/>
        <v>0</v>
      </c>
      <c r="AA216" s="84">
        <f t="shared" si="148"/>
        <v>0</v>
      </c>
      <c r="AB216" s="84">
        <f t="shared" si="149"/>
        <v>0</v>
      </c>
      <c r="AC216" s="84">
        <f t="shared" si="162"/>
        <v>0</v>
      </c>
      <c r="AD216" s="84"/>
      <c r="AE216" s="84">
        <f t="shared" si="144"/>
        <v>0</v>
      </c>
      <c r="AF216" s="84">
        <f t="shared" si="158"/>
        <v>0</v>
      </c>
      <c r="AG216" s="94">
        <f t="shared" si="145"/>
        <v>0</v>
      </c>
      <c r="AH216" s="85">
        <f>IFERROR(VLOOKUP(A216,CUSTOMERS!$A:$E,4),"")</f>
        <v>185.4</v>
      </c>
      <c r="AI216" s="86" t="str">
        <f t="shared" si="154"/>
        <v/>
      </c>
      <c r="AJ216" s="87">
        <f>IFERROR(VLOOKUP(A216,CUSTOMERS!$A:$F,5),"")</f>
        <v>0.2</v>
      </c>
      <c r="AK216" s="96"/>
      <c r="AL216" s="96">
        <v>0</v>
      </c>
      <c r="AM216" s="96">
        <v>0</v>
      </c>
      <c r="AN216" s="96"/>
      <c r="AO216" s="96">
        <v>0</v>
      </c>
      <c r="AP216" s="103">
        <f t="shared" si="163"/>
        <v>0</v>
      </c>
      <c r="AQ216" s="103">
        <f t="shared" si="152"/>
        <v>0</v>
      </c>
      <c r="AR216" s="68" t="str">
        <f>IFERROR(VLOOKUP(A216,CUSTOMERS!$A:$B,2),"")</f>
        <v>LMR</v>
      </c>
      <c r="AS216" s="68" t="str">
        <f>IFERROR(VLOOKUP(A216,CUSTOMERS!$A:$D,3),"")</f>
        <v>RSC</v>
      </c>
      <c r="AT216" s="68" t="str">
        <f>IFERROR(VLOOKUP(A216,CUSTOMERS!$A:$F,6),"")</f>
        <v>Y</v>
      </c>
      <c r="AU216" s="69">
        <f>IFERROR(VLOOKUP(A216,CUSTOMERS!$A:$E,4),"")</f>
        <v>185.4</v>
      </c>
      <c r="AV216" s="68" t="str">
        <f t="shared" si="146"/>
        <v/>
      </c>
      <c r="AX216" s="71" t="str">
        <f t="shared" ref="AX216:AX279" si="167">"reason"&amp;ROW()</f>
        <v>reason216</v>
      </c>
    </row>
    <row r="217" spans="1:50" ht="50.25" customHeight="1" thickTop="1" thickBot="1">
      <c r="A217" s="188" t="s">
        <v>114</v>
      </c>
      <c r="B217" s="125" t="s">
        <v>283</v>
      </c>
      <c r="C217" s="125"/>
      <c r="D217" s="126">
        <v>1015</v>
      </c>
      <c r="E217" s="126">
        <v>5365</v>
      </c>
      <c r="F217" s="122" t="str">
        <f t="shared" si="156"/>
        <v>BOI-RSC-0000-1015</v>
      </c>
      <c r="G217" s="186" t="s">
        <v>180</v>
      </c>
      <c r="H217" s="124" t="s">
        <v>207</v>
      </c>
      <c r="I217" s="239"/>
      <c r="J217" s="80">
        <f t="shared" si="160"/>
        <v>0</v>
      </c>
      <c r="K217" s="177">
        <f t="shared" si="166"/>
        <v>0</v>
      </c>
      <c r="L217" s="160"/>
      <c r="M217" s="161"/>
      <c r="N217" s="162"/>
      <c r="O217" s="162"/>
      <c r="P217" s="163"/>
      <c r="Q217" s="202"/>
      <c r="R217" s="204"/>
      <c r="S217" s="211"/>
      <c r="T217" s="211"/>
      <c r="U217" s="211"/>
      <c r="V217" s="211"/>
      <c r="W217" s="211"/>
      <c r="X217" s="154"/>
      <c r="Y217" s="173">
        <f t="shared" si="150"/>
        <v>0</v>
      </c>
      <c r="Z217" s="83">
        <f t="shared" si="161"/>
        <v>0</v>
      </c>
      <c r="AA217" s="84">
        <f t="shared" si="148"/>
        <v>0</v>
      </c>
      <c r="AB217" s="84">
        <f t="shared" si="149"/>
        <v>0</v>
      </c>
      <c r="AC217" s="84">
        <f t="shared" si="162"/>
        <v>0</v>
      </c>
      <c r="AD217" s="84"/>
      <c r="AE217" s="84">
        <f t="shared" si="144"/>
        <v>0</v>
      </c>
      <c r="AF217" s="84">
        <f t="shared" si="158"/>
        <v>0</v>
      </c>
      <c r="AG217" s="94">
        <f t="shared" si="145"/>
        <v>0</v>
      </c>
      <c r="AH217" s="85">
        <f>IFERROR(VLOOKUP(A217,CUSTOMERS!$A:$E,4),"")</f>
        <v>197.7</v>
      </c>
      <c r="AI217" s="86" t="str">
        <f t="shared" si="154"/>
        <v/>
      </c>
      <c r="AJ217" s="87">
        <f>IFERROR(VLOOKUP(A217,CUSTOMERS!$A:$F,5),"")</f>
        <v>0.2</v>
      </c>
      <c r="AK217" s="96"/>
      <c r="AL217" s="96">
        <v>0</v>
      </c>
      <c r="AM217" s="96">
        <v>0</v>
      </c>
      <c r="AN217" s="96"/>
      <c r="AO217" s="96">
        <v>0</v>
      </c>
      <c r="AP217" s="103">
        <f t="shared" si="163"/>
        <v>0</v>
      </c>
      <c r="AQ217" s="103">
        <f t="shared" si="152"/>
        <v>0</v>
      </c>
      <c r="AR217" s="68" t="str">
        <f>IFERROR(VLOOKUP(A217,CUSTOMERS!$A:$B,2),"")</f>
        <v>BOI</v>
      </c>
      <c r="AS217" s="68" t="str">
        <f>IFERROR(VLOOKUP(A217,CUSTOMERS!$A:$D,3),"")</f>
        <v>RSC</v>
      </c>
      <c r="AT217" s="68" t="str">
        <f>IFERROR(VLOOKUP(A217,CUSTOMERS!$A:$F,6),"")</f>
        <v>Y</v>
      </c>
      <c r="AU217" s="69">
        <f>IFERROR(VLOOKUP(A217,CUSTOMERS!$A:$E,4),"")</f>
        <v>197.7</v>
      </c>
      <c r="AV217" s="68" t="str">
        <f t="shared" si="146"/>
        <v/>
      </c>
      <c r="AX217" s="71" t="str">
        <f t="shared" si="167"/>
        <v>reason217</v>
      </c>
    </row>
    <row r="218" spans="1:50" ht="50.25" customHeight="1" thickTop="1" thickBot="1">
      <c r="A218" s="188" t="s">
        <v>162</v>
      </c>
      <c r="B218" s="125" t="str">
        <f t="shared" si="157"/>
        <v>Y</v>
      </c>
      <c r="C218" s="125"/>
      <c r="D218" s="126">
        <v>1016</v>
      </c>
      <c r="E218" s="126">
        <v>3500</v>
      </c>
      <c r="F218" s="122" t="str">
        <f t="shared" si="156"/>
        <v>RMB-RSC-0000-1016</v>
      </c>
      <c r="G218" s="186" t="s">
        <v>180</v>
      </c>
      <c r="H218" s="124" t="s">
        <v>208</v>
      </c>
      <c r="I218" s="239"/>
      <c r="J218" s="80">
        <f t="shared" si="160"/>
        <v>0</v>
      </c>
      <c r="K218" s="177">
        <f t="shared" si="166"/>
        <v>0</v>
      </c>
      <c r="L218" s="160"/>
      <c r="M218" s="161"/>
      <c r="N218" s="162"/>
      <c r="O218" s="162"/>
      <c r="P218" s="163"/>
      <c r="Q218" s="202"/>
      <c r="R218" s="204"/>
      <c r="S218" s="211"/>
      <c r="T218" s="211"/>
      <c r="U218" s="211"/>
      <c r="V218" s="211"/>
      <c r="W218" s="211"/>
      <c r="X218" s="154"/>
      <c r="Y218" s="173">
        <f t="shared" si="150"/>
        <v>0</v>
      </c>
      <c r="Z218" s="83">
        <f t="shared" si="161"/>
        <v>0</v>
      </c>
      <c r="AA218" s="84">
        <f t="shared" si="148"/>
        <v>0</v>
      </c>
      <c r="AB218" s="84">
        <f t="shared" si="149"/>
        <v>0</v>
      </c>
      <c r="AC218" s="84">
        <f t="shared" si="162"/>
        <v>0</v>
      </c>
      <c r="AD218" s="84"/>
      <c r="AE218" s="84">
        <f t="shared" si="144"/>
        <v>0</v>
      </c>
      <c r="AF218" s="84">
        <f t="shared" si="158"/>
        <v>0</v>
      </c>
      <c r="AG218" s="94">
        <f t="shared" si="145"/>
        <v>0</v>
      </c>
      <c r="AH218" s="85">
        <f>IFERROR(VLOOKUP(A218,CUSTOMERS!$A:$E,4),"")</f>
        <v>180.81</v>
      </c>
      <c r="AI218" s="86" t="str">
        <f t="shared" si="154"/>
        <v/>
      </c>
      <c r="AJ218" s="87">
        <f>IFERROR(VLOOKUP(A218,CUSTOMERS!$A:$F,5),"")</f>
        <v>0</v>
      </c>
      <c r="AK218" s="96"/>
      <c r="AL218" s="96">
        <v>0</v>
      </c>
      <c r="AM218" s="96">
        <v>0</v>
      </c>
      <c r="AN218" s="96"/>
      <c r="AO218" s="96">
        <v>0</v>
      </c>
      <c r="AP218" s="103">
        <f t="shared" si="163"/>
        <v>0</v>
      </c>
      <c r="AQ218" s="103">
        <f t="shared" si="152"/>
        <v>0</v>
      </c>
      <c r="AR218" s="68" t="str">
        <f>IFERROR(VLOOKUP(A218,CUSTOMERS!$A:$B,2),"")</f>
        <v>RMB</v>
      </c>
      <c r="AS218" s="68" t="str">
        <f>IFERROR(VLOOKUP(A218,CUSTOMERS!$A:$D,3),"")</f>
        <v>RSC</v>
      </c>
      <c r="AT218" s="68" t="str">
        <f>IFERROR(VLOOKUP(A218,CUSTOMERS!$A:$F,6),"")</f>
        <v>Y</v>
      </c>
      <c r="AU218" s="69">
        <f>IFERROR(VLOOKUP(A218,CUSTOMERS!$A:$E,4),"")</f>
        <v>180.81</v>
      </c>
      <c r="AV218" s="68" t="str">
        <f t="shared" si="146"/>
        <v/>
      </c>
      <c r="AX218" s="71" t="str">
        <f t="shared" si="167"/>
        <v>reason218</v>
      </c>
    </row>
    <row r="219" spans="1:50" ht="50.25" customHeight="1" thickTop="1" thickBot="1">
      <c r="A219" s="188" t="s">
        <v>158</v>
      </c>
      <c r="B219" s="125" t="str">
        <f t="shared" si="157"/>
        <v>Y</v>
      </c>
      <c r="C219" s="125"/>
      <c r="D219" s="126">
        <v>1017</v>
      </c>
      <c r="E219" s="126">
        <v>6375</v>
      </c>
      <c r="F219" s="122" t="str">
        <f t="shared" si="156"/>
        <v>N26-RSC-0000-1017</v>
      </c>
      <c r="G219" s="186" t="s">
        <v>129</v>
      </c>
      <c r="H219" s="124" t="s">
        <v>209</v>
      </c>
      <c r="I219" s="239"/>
      <c r="J219" s="80">
        <f t="shared" si="160"/>
        <v>0</v>
      </c>
      <c r="K219" s="177">
        <f t="shared" si="166"/>
        <v>0</v>
      </c>
      <c r="L219" s="160"/>
      <c r="M219" s="161"/>
      <c r="N219" s="162"/>
      <c r="O219" s="162"/>
      <c r="P219" s="163"/>
      <c r="Q219" s="202"/>
      <c r="R219" s="204"/>
      <c r="S219" s="211"/>
      <c r="T219" s="211"/>
      <c r="U219" s="211"/>
      <c r="V219" s="211"/>
      <c r="W219" s="211"/>
      <c r="X219" s="154"/>
      <c r="Y219" s="173">
        <f t="shared" si="150"/>
        <v>0</v>
      </c>
      <c r="Z219" s="83">
        <f t="shared" si="161"/>
        <v>0</v>
      </c>
      <c r="AA219" s="84">
        <f t="shared" si="148"/>
        <v>0</v>
      </c>
      <c r="AB219" s="84">
        <f t="shared" si="149"/>
        <v>0</v>
      </c>
      <c r="AC219" s="84">
        <f t="shared" si="162"/>
        <v>0</v>
      </c>
      <c r="AD219" s="84"/>
      <c r="AE219" s="84">
        <f t="shared" si="144"/>
        <v>0</v>
      </c>
      <c r="AF219" s="84">
        <f t="shared" si="158"/>
        <v>0</v>
      </c>
      <c r="AG219" s="94">
        <f t="shared" si="145"/>
        <v>0</v>
      </c>
      <c r="AH219" s="85">
        <f>IFERROR(VLOOKUP(A219,CUSTOMERS!$A:$E,4),"")</f>
        <v>192.11</v>
      </c>
      <c r="AI219" s="86" t="str">
        <f t="shared" si="154"/>
        <v/>
      </c>
      <c r="AJ219" s="87">
        <f>IFERROR(VLOOKUP(A219,CUSTOMERS!$A:$F,5),"")</f>
        <v>0.2</v>
      </c>
      <c r="AK219" s="96"/>
      <c r="AL219" s="96">
        <v>0</v>
      </c>
      <c r="AM219" s="96">
        <v>0</v>
      </c>
      <c r="AN219" s="96"/>
      <c r="AO219" s="96">
        <v>0</v>
      </c>
      <c r="AP219" s="103">
        <f t="shared" si="163"/>
        <v>0</v>
      </c>
      <c r="AQ219" s="103">
        <f t="shared" si="152"/>
        <v>0</v>
      </c>
      <c r="AR219" s="68" t="str">
        <f>IFERROR(VLOOKUP(A219,CUSTOMERS!$A:$B,2),"")</f>
        <v>N26</v>
      </c>
      <c r="AS219" s="68" t="str">
        <f>IFERROR(VLOOKUP(A219,CUSTOMERS!$A:$D,3),"")</f>
        <v>RSC</v>
      </c>
      <c r="AT219" s="68" t="str">
        <f>IFERROR(VLOOKUP(A219,CUSTOMERS!$A:$F,6),"")</f>
        <v>Y</v>
      </c>
      <c r="AU219" s="69">
        <f>IFERROR(VLOOKUP(A219,CUSTOMERS!$A:$E,4),"")</f>
        <v>192.11</v>
      </c>
      <c r="AV219" s="68" t="str">
        <f t="shared" si="146"/>
        <v/>
      </c>
      <c r="AX219" s="71" t="str">
        <f t="shared" si="167"/>
        <v>reason219</v>
      </c>
    </row>
    <row r="220" spans="1:50" ht="50.25" customHeight="1" thickTop="1" thickBot="1">
      <c r="A220" s="188" t="s">
        <v>140</v>
      </c>
      <c r="B220" s="125" t="str">
        <f t="shared" si="157"/>
        <v>Y</v>
      </c>
      <c r="C220" s="125"/>
      <c r="D220" s="126">
        <v>1018</v>
      </c>
      <c r="E220" s="126">
        <v>6527</v>
      </c>
      <c r="F220" s="122" t="str">
        <f t="shared" si="156"/>
        <v>LMR-RSC-0000-1018</v>
      </c>
      <c r="G220" s="186" t="s">
        <v>180</v>
      </c>
      <c r="H220" s="124" t="s">
        <v>210</v>
      </c>
      <c r="I220" s="239"/>
      <c r="J220" s="80">
        <f t="shared" si="160"/>
        <v>0</v>
      </c>
      <c r="K220" s="177">
        <f t="shared" si="166"/>
        <v>0</v>
      </c>
      <c r="L220" s="160"/>
      <c r="M220" s="161"/>
      <c r="N220" s="162"/>
      <c r="O220" s="162"/>
      <c r="P220" s="163"/>
      <c r="Q220" s="202"/>
      <c r="R220" s="204"/>
      <c r="S220" s="211"/>
      <c r="T220" s="211"/>
      <c r="U220" s="211"/>
      <c r="V220" s="211"/>
      <c r="W220" s="211"/>
      <c r="X220" s="154"/>
      <c r="Y220" s="173">
        <f t="shared" si="150"/>
        <v>0</v>
      </c>
      <c r="Z220" s="83">
        <f t="shared" si="161"/>
        <v>0</v>
      </c>
      <c r="AA220" s="84">
        <f t="shared" si="148"/>
        <v>0</v>
      </c>
      <c r="AB220" s="84">
        <f t="shared" si="149"/>
        <v>0</v>
      </c>
      <c r="AC220" s="84">
        <f t="shared" si="162"/>
        <v>0</v>
      </c>
      <c r="AD220" s="84"/>
      <c r="AE220" s="84">
        <f t="shared" si="144"/>
        <v>0</v>
      </c>
      <c r="AF220" s="84">
        <f t="shared" si="158"/>
        <v>0</v>
      </c>
      <c r="AG220" s="94">
        <f t="shared" si="145"/>
        <v>0</v>
      </c>
      <c r="AH220" s="85">
        <f>IFERROR(VLOOKUP(A220,CUSTOMERS!$A:$E,4),"")</f>
        <v>185.4</v>
      </c>
      <c r="AI220" s="86" t="str">
        <f t="shared" si="154"/>
        <v/>
      </c>
      <c r="AJ220" s="87">
        <f>IFERROR(VLOOKUP(A220,CUSTOMERS!$A:$F,5),"")</f>
        <v>0.2</v>
      </c>
      <c r="AK220" s="96"/>
      <c r="AL220" s="96">
        <v>0</v>
      </c>
      <c r="AM220" s="96">
        <v>0</v>
      </c>
      <c r="AN220" s="96"/>
      <c r="AO220" s="96">
        <v>0</v>
      </c>
      <c r="AP220" s="103">
        <f t="shared" si="163"/>
        <v>0</v>
      </c>
      <c r="AQ220" s="103">
        <f t="shared" si="152"/>
        <v>0</v>
      </c>
      <c r="AR220" s="68" t="str">
        <f>IFERROR(VLOOKUP(A220,CUSTOMERS!$A:$B,2),"")</f>
        <v>LMR</v>
      </c>
      <c r="AS220" s="68" t="str">
        <f>IFERROR(VLOOKUP(A220,CUSTOMERS!$A:$D,3),"")</f>
        <v>RSC</v>
      </c>
      <c r="AT220" s="68" t="str">
        <f>IFERROR(VLOOKUP(A220,CUSTOMERS!$A:$F,6),"")</f>
        <v>Y</v>
      </c>
      <c r="AU220" s="69">
        <f>IFERROR(VLOOKUP(A220,CUSTOMERS!$A:$E,4),"")</f>
        <v>185.4</v>
      </c>
      <c r="AV220" s="68" t="str">
        <f t="shared" si="146"/>
        <v/>
      </c>
      <c r="AX220" s="71" t="str">
        <f t="shared" si="167"/>
        <v>reason220</v>
      </c>
    </row>
    <row r="221" spans="1:50" ht="50.25" customHeight="1" thickTop="1" thickBot="1">
      <c r="A221" s="188" t="s">
        <v>136</v>
      </c>
      <c r="B221" s="125" t="str">
        <f t="shared" si="157"/>
        <v>Y</v>
      </c>
      <c r="C221" s="125"/>
      <c r="D221" s="126">
        <v>1019</v>
      </c>
      <c r="E221" s="126">
        <v>6445</v>
      </c>
      <c r="F221" s="122" t="str">
        <f t="shared" si="156"/>
        <v>BDB-RSC-2022-1019</v>
      </c>
      <c r="G221" s="186" t="s">
        <v>180</v>
      </c>
      <c r="H221" s="124" t="s">
        <v>211</v>
      </c>
      <c r="I221" s="239"/>
      <c r="J221" s="80">
        <f t="shared" si="160"/>
        <v>0</v>
      </c>
      <c r="K221" s="177">
        <f t="shared" si="166"/>
        <v>44699</v>
      </c>
      <c r="L221" s="160">
        <v>44699</v>
      </c>
      <c r="M221" s="161"/>
      <c r="N221" s="162"/>
      <c r="O221" s="162"/>
      <c r="P221" s="163"/>
      <c r="Q221" s="202"/>
      <c r="R221" s="204"/>
      <c r="S221" s="211"/>
      <c r="T221" s="211"/>
      <c r="U221" s="211"/>
      <c r="V221" s="211"/>
      <c r="W221" s="211"/>
      <c r="X221" s="154"/>
      <c r="Y221" s="173">
        <f t="shared" si="150"/>
        <v>0</v>
      </c>
      <c r="Z221" s="83">
        <f t="shared" si="161"/>
        <v>0</v>
      </c>
      <c r="AA221" s="84">
        <f t="shared" si="148"/>
        <v>0</v>
      </c>
      <c r="AB221" s="84">
        <f t="shared" si="149"/>
        <v>0</v>
      </c>
      <c r="AC221" s="84">
        <f t="shared" si="162"/>
        <v>0</v>
      </c>
      <c r="AD221" s="84"/>
      <c r="AE221" s="84">
        <f t="shared" si="144"/>
        <v>0</v>
      </c>
      <c r="AF221" s="84">
        <f t="shared" si="158"/>
        <v>0</v>
      </c>
      <c r="AG221" s="94">
        <f t="shared" si="145"/>
        <v>0</v>
      </c>
      <c r="AH221" s="85">
        <f>IFERROR(VLOOKUP(A221,CUSTOMERS!$A:$E,4),"")</f>
        <v>215.76</v>
      </c>
      <c r="AI221" s="86" t="str">
        <f t="shared" si="154"/>
        <v/>
      </c>
      <c r="AJ221" s="87">
        <f>IFERROR(VLOOKUP(A221,CUSTOMERS!$A:$F,5),"")</f>
        <v>0.2</v>
      </c>
      <c r="AK221" s="96"/>
      <c r="AL221" s="96">
        <v>0</v>
      </c>
      <c r="AM221" s="96">
        <v>0</v>
      </c>
      <c r="AN221" s="96"/>
      <c r="AO221" s="96">
        <v>0</v>
      </c>
      <c r="AP221" s="103">
        <f t="shared" si="163"/>
        <v>0</v>
      </c>
      <c r="AQ221" s="103">
        <f t="shared" si="152"/>
        <v>0</v>
      </c>
      <c r="AR221" s="68" t="str">
        <f>IFERROR(VLOOKUP(A221,CUSTOMERS!$A:$B,2),"")</f>
        <v>BDB</v>
      </c>
      <c r="AS221" s="68" t="str">
        <f>IFERROR(VLOOKUP(A221,CUSTOMERS!$A:$D,3),"")</f>
        <v>RSC</v>
      </c>
      <c r="AT221" s="68" t="str">
        <f>IFERROR(VLOOKUP(A221,CUSTOMERS!$A:$F,6),"")</f>
        <v>Y</v>
      </c>
      <c r="AU221" s="69">
        <f>IFERROR(VLOOKUP(A221,CUSTOMERS!$A:$E,4),"")</f>
        <v>215.76</v>
      </c>
      <c r="AV221" s="68" t="str">
        <f t="shared" si="146"/>
        <v/>
      </c>
      <c r="AX221" s="71" t="str">
        <f t="shared" si="167"/>
        <v>reason221</v>
      </c>
    </row>
    <row r="222" spans="1:50" ht="50.25" customHeight="1" thickTop="1" thickBot="1">
      <c r="A222" s="188" t="s">
        <v>158</v>
      </c>
      <c r="B222" s="125" t="str">
        <f t="shared" si="157"/>
        <v>Y</v>
      </c>
      <c r="C222" s="125"/>
      <c r="D222" s="126">
        <v>1020</v>
      </c>
      <c r="E222" s="126">
        <v>7445</v>
      </c>
      <c r="F222" s="122" t="str">
        <f t="shared" si="156"/>
        <v>N26-RSC-0000-1020</v>
      </c>
      <c r="G222" s="186" t="s">
        <v>180</v>
      </c>
      <c r="H222" s="124" t="s">
        <v>212</v>
      </c>
      <c r="I222" s="239"/>
      <c r="J222" s="80">
        <f t="shared" si="160"/>
        <v>0</v>
      </c>
      <c r="K222" s="177">
        <f t="shared" si="166"/>
        <v>0</v>
      </c>
      <c r="L222" s="160"/>
      <c r="M222" s="161"/>
      <c r="N222" s="162"/>
      <c r="O222" s="162"/>
      <c r="P222" s="163"/>
      <c r="Q222" s="202"/>
      <c r="R222" s="204"/>
      <c r="S222" s="211"/>
      <c r="T222" s="211"/>
      <c r="U222" s="211"/>
      <c r="V222" s="211"/>
      <c r="W222" s="211"/>
      <c r="X222" s="154"/>
      <c r="Y222" s="173">
        <f t="shared" si="150"/>
        <v>0</v>
      </c>
      <c r="Z222" s="83">
        <f t="shared" si="161"/>
        <v>0</v>
      </c>
      <c r="AA222" s="84">
        <f t="shared" si="148"/>
        <v>0</v>
      </c>
      <c r="AB222" s="84">
        <f t="shared" si="149"/>
        <v>0</v>
      </c>
      <c r="AC222" s="84">
        <f t="shared" si="162"/>
        <v>0</v>
      </c>
      <c r="AD222" s="84"/>
      <c r="AE222" s="84">
        <f t="shared" si="144"/>
        <v>0</v>
      </c>
      <c r="AF222" s="84">
        <f t="shared" si="158"/>
        <v>0</v>
      </c>
      <c r="AG222" s="94">
        <f t="shared" si="145"/>
        <v>0</v>
      </c>
      <c r="AH222" s="85">
        <f>IFERROR(VLOOKUP(A222,CUSTOMERS!$A:$E,4),"")</f>
        <v>192.11</v>
      </c>
      <c r="AI222" s="86" t="str">
        <f t="shared" si="154"/>
        <v/>
      </c>
      <c r="AJ222" s="87">
        <f>IFERROR(VLOOKUP(A222,CUSTOMERS!$A:$F,5),"")</f>
        <v>0.2</v>
      </c>
      <c r="AK222" s="96"/>
      <c r="AL222" s="96">
        <v>0</v>
      </c>
      <c r="AM222" s="96">
        <v>0</v>
      </c>
      <c r="AN222" s="96"/>
      <c r="AO222" s="96">
        <v>0</v>
      </c>
      <c r="AP222" s="103">
        <f t="shared" si="163"/>
        <v>0</v>
      </c>
      <c r="AQ222" s="103">
        <f t="shared" si="152"/>
        <v>0</v>
      </c>
      <c r="AR222" s="68" t="str">
        <f>IFERROR(VLOOKUP(A222,CUSTOMERS!$A:$B,2),"")</f>
        <v>N26</v>
      </c>
      <c r="AS222" s="68" t="str">
        <f>IFERROR(VLOOKUP(A222,CUSTOMERS!$A:$D,3),"")</f>
        <v>RSC</v>
      </c>
      <c r="AT222" s="68" t="str">
        <f>IFERROR(VLOOKUP(A222,CUSTOMERS!$A:$F,6),"")</f>
        <v>Y</v>
      </c>
      <c r="AU222" s="69">
        <f>IFERROR(VLOOKUP(A222,CUSTOMERS!$A:$E,4),"")</f>
        <v>192.11</v>
      </c>
      <c r="AV222" s="68" t="str">
        <f t="shared" si="146"/>
        <v/>
      </c>
      <c r="AX222" s="71" t="str">
        <f t="shared" si="167"/>
        <v>reason222</v>
      </c>
    </row>
    <row r="223" spans="1:50" ht="50.25" customHeight="1" thickTop="1" thickBot="1">
      <c r="A223" s="188" t="s">
        <v>114</v>
      </c>
      <c r="B223" s="125" t="str">
        <f t="shared" si="157"/>
        <v>Y</v>
      </c>
      <c r="C223" s="125"/>
      <c r="D223" s="126">
        <v>1021</v>
      </c>
      <c r="E223" s="126">
        <v>7608</v>
      </c>
      <c r="F223" s="122" t="str">
        <f t="shared" si="156"/>
        <v>BOI-RSC-0000-1021</v>
      </c>
      <c r="G223" s="186" t="s">
        <v>106</v>
      </c>
      <c r="H223" s="124" t="s">
        <v>213</v>
      </c>
      <c r="I223" s="239"/>
      <c r="J223" s="80">
        <f t="shared" si="160"/>
        <v>0</v>
      </c>
      <c r="K223" s="177">
        <f t="shared" si="166"/>
        <v>0</v>
      </c>
      <c r="L223" s="160"/>
      <c r="M223" s="161"/>
      <c r="N223" s="162"/>
      <c r="O223" s="162"/>
      <c r="P223" s="163"/>
      <c r="Q223" s="202"/>
      <c r="R223" s="204"/>
      <c r="S223" s="211"/>
      <c r="T223" s="211"/>
      <c r="U223" s="211"/>
      <c r="V223" s="211"/>
      <c r="W223" s="211"/>
      <c r="X223" s="154"/>
      <c r="Y223" s="173">
        <f t="shared" si="150"/>
        <v>0</v>
      </c>
      <c r="Z223" s="83">
        <f t="shared" si="161"/>
        <v>0</v>
      </c>
      <c r="AA223" s="84">
        <f t="shared" si="148"/>
        <v>0</v>
      </c>
      <c r="AB223" s="84">
        <f t="shared" si="149"/>
        <v>0</v>
      </c>
      <c r="AC223" s="84">
        <f t="shared" si="162"/>
        <v>0</v>
      </c>
      <c r="AD223" s="84"/>
      <c r="AE223" s="84">
        <f t="shared" si="144"/>
        <v>0</v>
      </c>
      <c r="AF223" s="84">
        <f t="shared" si="158"/>
        <v>0</v>
      </c>
      <c r="AG223" s="94">
        <f t="shared" si="145"/>
        <v>0</v>
      </c>
      <c r="AH223" s="85">
        <f>IFERROR(VLOOKUP(A223,CUSTOMERS!$A:$E,4),"")</f>
        <v>197.7</v>
      </c>
      <c r="AI223" s="86" t="str">
        <f t="shared" si="154"/>
        <v/>
      </c>
      <c r="AJ223" s="87">
        <f>IFERROR(VLOOKUP(A223,CUSTOMERS!$A:$F,5),"")</f>
        <v>0.2</v>
      </c>
      <c r="AK223" s="96"/>
      <c r="AL223" s="96">
        <v>0</v>
      </c>
      <c r="AM223" s="96">
        <v>0</v>
      </c>
      <c r="AN223" s="96"/>
      <c r="AO223" s="96">
        <v>0</v>
      </c>
      <c r="AP223" s="103">
        <f t="shared" si="163"/>
        <v>0</v>
      </c>
      <c r="AQ223" s="103">
        <f t="shared" si="152"/>
        <v>0</v>
      </c>
      <c r="AR223" s="68" t="str">
        <f>IFERROR(VLOOKUP(A223,CUSTOMERS!$A:$B,2),"")</f>
        <v>BOI</v>
      </c>
      <c r="AS223" s="68" t="str">
        <f>IFERROR(VLOOKUP(A223,CUSTOMERS!$A:$D,3),"")</f>
        <v>RSC</v>
      </c>
      <c r="AT223" s="68" t="str">
        <f>IFERROR(VLOOKUP(A223,CUSTOMERS!$A:$F,6),"")</f>
        <v>Y</v>
      </c>
      <c r="AU223" s="69">
        <f>IFERROR(VLOOKUP(A223,CUSTOMERS!$A:$E,4),"")</f>
        <v>197.7</v>
      </c>
      <c r="AV223" s="68" t="str">
        <f t="shared" si="146"/>
        <v/>
      </c>
      <c r="AX223" s="71" t="str">
        <f t="shared" si="167"/>
        <v>reason223</v>
      </c>
    </row>
    <row r="224" spans="1:50" ht="50.25" customHeight="1" thickTop="1" thickBot="1">
      <c r="A224" s="188" t="s">
        <v>136</v>
      </c>
      <c r="B224" s="125" t="s">
        <v>294</v>
      </c>
      <c r="C224" s="125"/>
      <c r="D224" s="126">
        <v>1022</v>
      </c>
      <c r="E224" s="126"/>
      <c r="F224" s="122" t="str">
        <f t="shared" si="156"/>
        <v>BDB-RSC-0000-1022</v>
      </c>
      <c r="G224" s="186" t="s">
        <v>129</v>
      </c>
      <c r="H224" s="124" t="s">
        <v>214</v>
      </c>
      <c r="I224" s="239"/>
      <c r="J224" s="80">
        <f t="shared" si="160"/>
        <v>0</v>
      </c>
      <c r="K224" s="177">
        <f t="shared" si="166"/>
        <v>0</v>
      </c>
      <c r="L224" s="160"/>
      <c r="M224" s="161"/>
      <c r="N224" s="162"/>
      <c r="O224" s="162"/>
      <c r="P224" s="163"/>
      <c r="Q224" s="202"/>
      <c r="R224" s="204"/>
      <c r="S224" s="211"/>
      <c r="T224" s="211"/>
      <c r="U224" s="211"/>
      <c r="V224" s="211"/>
      <c r="W224" s="211"/>
      <c r="X224" s="154"/>
      <c r="Y224" s="173">
        <f t="shared" si="150"/>
        <v>0</v>
      </c>
      <c r="Z224" s="83">
        <f t="shared" si="161"/>
        <v>0</v>
      </c>
      <c r="AA224" s="84">
        <f t="shared" si="148"/>
        <v>0</v>
      </c>
      <c r="AB224" s="84">
        <f t="shared" si="149"/>
        <v>0</v>
      </c>
      <c r="AC224" s="84">
        <f t="shared" si="162"/>
        <v>0</v>
      </c>
      <c r="AD224" s="84"/>
      <c r="AE224" s="84">
        <f t="shared" si="144"/>
        <v>0</v>
      </c>
      <c r="AF224" s="84">
        <f t="shared" si="158"/>
        <v>0</v>
      </c>
      <c r="AG224" s="94">
        <f t="shared" si="145"/>
        <v>0</v>
      </c>
      <c r="AH224" s="85">
        <f>IFERROR(VLOOKUP(A224,CUSTOMERS!$A:$E,4),"")</f>
        <v>215.76</v>
      </c>
      <c r="AI224" s="86" t="str">
        <f t="shared" si="154"/>
        <v/>
      </c>
      <c r="AJ224" s="87">
        <f>IFERROR(VLOOKUP(A224,CUSTOMERS!$A:$F,5),"")</f>
        <v>0.2</v>
      </c>
      <c r="AK224" s="96"/>
      <c r="AL224" s="96">
        <v>0</v>
      </c>
      <c r="AM224" s="96">
        <v>0</v>
      </c>
      <c r="AN224" s="96"/>
      <c r="AO224" s="96">
        <v>0</v>
      </c>
      <c r="AP224" s="103">
        <f t="shared" si="163"/>
        <v>0</v>
      </c>
      <c r="AQ224" s="103">
        <f t="shared" si="152"/>
        <v>0</v>
      </c>
      <c r="AR224" s="68" t="str">
        <f>IFERROR(VLOOKUP(A224,CUSTOMERS!$A:$B,2),"")</f>
        <v>BDB</v>
      </c>
      <c r="AS224" s="68" t="str">
        <f>IFERROR(VLOOKUP(A224,CUSTOMERS!$A:$D,3),"")</f>
        <v>RSC</v>
      </c>
      <c r="AT224" s="68" t="str">
        <f>IFERROR(VLOOKUP(A224,CUSTOMERS!$A:$F,6),"")</f>
        <v>Y</v>
      </c>
      <c r="AU224" s="69">
        <f>IFERROR(VLOOKUP(A224,CUSTOMERS!$A:$E,4),"")</f>
        <v>215.76</v>
      </c>
      <c r="AV224" s="68" t="str">
        <f t="shared" si="146"/>
        <v/>
      </c>
      <c r="AX224" s="71" t="str">
        <f t="shared" si="167"/>
        <v>reason224</v>
      </c>
    </row>
    <row r="225" spans="1:50" ht="50.25" customHeight="1" thickTop="1" thickBot="1">
      <c r="A225" s="188"/>
      <c r="B225" s="125" t="str">
        <f t="shared" si="157"/>
        <v/>
      </c>
      <c r="C225" s="125"/>
      <c r="D225" s="126"/>
      <c r="E225" s="126"/>
      <c r="F225" s="122" t="str">
        <f t="shared" si="156"/>
        <v/>
      </c>
      <c r="G225" s="186"/>
      <c r="H225" s="124"/>
      <c r="I225" s="239"/>
      <c r="J225" s="80" t="str">
        <f t="shared" si="160"/>
        <v/>
      </c>
      <c r="K225" s="177">
        <f t="shared" si="166"/>
        <v>0</v>
      </c>
      <c r="L225" s="160"/>
      <c r="M225" s="161"/>
      <c r="N225" s="162"/>
      <c r="O225" s="162"/>
      <c r="P225" s="163"/>
      <c r="Q225" s="202"/>
      <c r="R225" s="204"/>
      <c r="S225" s="211"/>
      <c r="T225" s="211"/>
      <c r="U225" s="211"/>
      <c r="V225" s="211"/>
      <c r="W225" s="211"/>
      <c r="X225" s="154"/>
      <c r="Y225" s="173" t="str">
        <f t="shared" si="150"/>
        <v/>
      </c>
      <c r="Z225" s="83" t="str">
        <f t="shared" si="161"/>
        <v/>
      </c>
      <c r="AA225" s="84" t="str">
        <f t="shared" si="148"/>
        <v/>
      </c>
      <c r="AB225" s="84" t="str">
        <f t="shared" si="149"/>
        <v/>
      </c>
      <c r="AC225" s="84" t="str">
        <f t="shared" si="162"/>
        <v/>
      </c>
      <c r="AD225" s="84"/>
      <c r="AE225" s="84" t="str">
        <f t="shared" si="144"/>
        <v/>
      </c>
      <c r="AF225" s="84">
        <f t="shared" si="158"/>
        <v>0</v>
      </c>
      <c r="AG225" s="94" t="str">
        <f t="shared" si="145"/>
        <v/>
      </c>
      <c r="AH225" s="85" t="str">
        <f>IFERROR(VLOOKUP(A225,CUSTOMERS!$A:$E,4),"")</f>
        <v/>
      </c>
      <c r="AI225" s="86" t="str">
        <f t="shared" si="154"/>
        <v/>
      </c>
      <c r="AJ225" s="87" t="str">
        <f>IFERROR(VLOOKUP(A225,CUSTOMERS!$A:$F,5),"")</f>
        <v/>
      </c>
      <c r="AK225" s="96"/>
      <c r="AL225" s="96">
        <v>0</v>
      </c>
      <c r="AM225" s="96">
        <v>0</v>
      </c>
      <c r="AN225" s="96"/>
      <c r="AO225" s="96">
        <v>0</v>
      </c>
      <c r="AP225" s="103">
        <f t="shared" si="163"/>
        <v>0</v>
      </c>
      <c r="AQ225" s="103" t="str">
        <f t="shared" si="152"/>
        <v/>
      </c>
      <c r="AR225" s="68" t="str">
        <f>IFERROR(VLOOKUP(A225,CUSTOMERS!$A:$B,2),"")</f>
        <v/>
      </c>
      <c r="AS225" s="68" t="str">
        <f>IFERROR(VLOOKUP(A225,CUSTOMERS!$A:$D,3),"")</f>
        <v/>
      </c>
      <c r="AT225" s="68" t="str">
        <f>IFERROR(VLOOKUP(A225,CUSTOMERS!$A:$F,6),"")</f>
        <v/>
      </c>
      <c r="AU225" s="69" t="str">
        <f>IFERROR(VLOOKUP(A225,CUSTOMERS!$A:$E,4),"")</f>
        <v/>
      </c>
      <c r="AV225" s="68" t="str">
        <f t="shared" si="146"/>
        <v/>
      </c>
      <c r="AX225" s="71" t="str">
        <f t="shared" si="167"/>
        <v>reason225</v>
      </c>
    </row>
    <row r="226" spans="1:50" ht="50.25" customHeight="1" thickTop="1" thickBot="1">
      <c r="A226" s="188"/>
      <c r="B226" s="125" t="str">
        <f t="shared" si="157"/>
        <v/>
      </c>
      <c r="C226" s="125"/>
      <c r="D226" s="126"/>
      <c r="E226" s="126"/>
      <c r="F226" s="122" t="str">
        <f t="shared" si="156"/>
        <v/>
      </c>
      <c r="G226" s="186"/>
      <c r="H226" s="124"/>
      <c r="I226" s="239"/>
      <c r="J226" s="80" t="str">
        <f t="shared" si="160"/>
        <v/>
      </c>
      <c r="K226" s="177">
        <f t="shared" si="166"/>
        <v>0</v>
      </c>
      <c r="L226" s="160"/>
      <c r="M226" s="161"/>
      <c r="N226" s="162"/>
      <c r="O226" s="162"/>
      <c r="P226" s="163"/>
      <c r="Q226" s="202"/>
      <c r="R226" s="204"/>
      <c r="S226" s="211"/>
      <c r="T226" s="211"/>
      <c r="U226" s="211"/>
      <c r="V226" s="211"/>
      <c r="W226" s="211"/>
      <c r="X226" s="154"/>
      <c r="Y226" s="173" t="str">
        <f t="shared" si="150"/>
        <v/>
      </c>
      <c r="Z226" s="83" t="str">
        <f t="shared" si="161"/>
        <v/>
      </c>
      <c r="AA226" s="84" t="str">
        <f t="shared" si="148"/>
        <v/>
      </c>
      <c r="AB226" s="84" t="str">
        <f t="shared" si="149"/>
        <v/>
      </c>
      <c r="AC226" s="84" t="str">
        <f t="shared" si="162"/>
        <v/>
      </c>
      <c r="AD226" s="84"/>
      <c r="AE226" s="84" t="str">
        <f t="shared" si="144"/>
        <v/>
      </c>
      <c r="AF226" s="84">
        <f t="shared" si="158"/>
        <v>0</v>
      </c>
      <c r="AG226" s="94" t="str">
        <f t="shared" si="145"/>
        <v/>
      </c>
      <c r="AH226" s="85" t="str">
        <f>IFERROR(VLOOKUP(A226,CUSTOMERS!$A:$E,4),"")</f>
        <v/>
      </c>
      <c r="AI226" s="86" t="str">
        <f t="shared" si="154"/>
        <v/>
      </c>
      <c r="AJ226" s="87" t="str">
        <f>IFERROR(VLOOKUP(A226,CUSTOMERS!$A:$F,5),"")</f>
        <v/>
      </c>
      <c r="AK226" s="96"/>
      <c r="AL226" s="96">
        <v>0</v>
      </c>
      <c r="AM226" s="96">
        <v>0</v>
      </c>
      <c r="AN226" s="96"/>
      <c r="AO226" s="96">
        <v>0</v>
      </c>
      <c r="AP226" s="103">
        <f t="shared" si="163"/>
        <v>0</v>
      </c>
      <c r="AQ226" s="103" t="str">
        <f t="shared" si="152"/>
        <v/>
      </c>
      <c r="AR226" s="68" t="str">
        <f>IFERROR(VLOOKUP(A226,CUSTOMERS!$A:$B,2),"")</f>
        <v/>
      </c>
      <c r="AS226" s="68" t="str">
        <f>IFERROR(VLOOKUP(A226,CUSTOMERS!$A:$D,3),"")</f>
        <v/>
      </c>
      <c r="AT226" s="68" t="str">
        <f>IFERROR(VLOOKUP(A226,CUSTOMERS!$A:$F,6),"")</f>
        <v/>
      </c>
      <c r="AU226" s="69" t="str">
        <f>IFERROR(VLOOKUP(A226,CUSTOMERS!$A:$E,4),"")</f>
        <v/>
      </c>
      <c r="AV226" s="68" t="str">
        <f t="shared" si="146"/>
        <v/>
      </c>
      <c r="AX226" s="71" t="str">
        <f t="shared" si="167"/>
        <v>reason226</v>
      </c>
    </row>
    <row r="227" spans="1:50" ht="50.25" customHeight="1" thickTop="1" thickBot="1">
      <c r="A227" s="188"/>
      <c r="B227" s="125" t="str">
        <f t="shared" si="157"/>
        <v/>
      </c>
      <c r="C227" s="125"/>
      <c r="D227" s="126"/>
      <c r="E227" s="126"/>
      <c r="F227" s="122" t="str">
        <f t="shared" si="156"/>
        <v/>
      </c>
      <c r="G227" s="186"/>
      <c r="H227" s="124"/>
      <c r="I227" s="239"/>
      <c r="J227" s="80" t="str">
        <f t="shared" si="160"/>
        <v/>
      </c>
      <c r="K227" s="177">
        <f t="shared" si="166"/>
        <v>0</v>
      </c>
      <c r="L227" s="160"/>
      <c r="M227" s="161"/>
      <c r="N227" s="162"/>
      <c r="O227" s="162"/>
      <c r="P227" s="163"/>
      <c r="Q227" s="202"/>
      <c r="R227" s="204"/>
      <c r="S227" s="211"/>
      <c r="T227" s="211"/>
      <c r="U227" s="211"/>
      <c r="V227" s="211"/>
      <c r="W227" s="211"/>
      <c r="X227" s="154"/>
      <c r="Y227" s="173" t="str">
        <f t="shared" si="150"/>
        <v/>
      </c>
      <c r="Z227" s="83" t="str">
        <f t="shared" si="161"/>
        <v/>
      </c>
      <c r="AA227" s="84" t="str">
        <f t="shared" si="148"/>
        <v/>
      </c>
      <c r="AB227" s="84" t="str">
        <f t="shared" si="149"/>
        <v/>
      </c>
      <c r="AC227" s="84" t="str">
        <f t="shared" si="162"/>
        <v/>
      </c>
      <c r="AD227" s="84"/>
      <c r="AE227" s="84" t="str">
        <f t="shared" ref="AE227:AE290" si="168">IFERROR((AO227*AH227)*7.5,"")</f>
        <v/>
      </c>
      <c r="AF227" s="84">
        <f t="shared" si="158"/>
        <v>0</v>
      </c>
      <c r="AG227" s="94" t="str">
        <f t="shared" ref="AG227:AG290" si="169">IFERROR((AQ227*AH227)*7.5,"")</f>
        <v/>
      </c>
      <c r="AH227" s="85" t="str">
        <f>IFERROR(VLOOKUP(A227,CUSTOMERS!$A:$E,4),"")</f>
        <v/>
      </c>
      <c r="AI227" s="86" t="str">
        <f t="shared" si="154"/>
        <v/>
      </c>
      <c r="AJ227" s="87" t="str">
        <f>IFERROR(VLOOKUP(A227,CUSTOMERS!$A:$F,5),"")</f>
        <v/>
      </c>
      <c r="AK227" s="96"/>
      <c r="AL227" s="96">
        <v>0</v>
      </c>
      <c r="AM227" s="96">
        <v>0</v>
      </c>
      <c r="AN227" s="96"/>
      <c r="AO227" s="96">
        <v>0</v>
      </c>
      <c r="AP227" s="103">
        <f t="shared" si="163"/>
        <v>0</v>
      </c>
      <c r="AQ227" s="103" t="str">
        <f t="shared" si="152"/>
        <v/>
      </c>
      <c r="AR227" s="68" t="str">
        <f>IFERROR(VLOOKUP(A227,CUSTOMERS!$A:$B,2),"")</f>
        <v/>
      </c>
      <c r="AS227" s="68" t="str">
        <f>IFERROR(VLOOKUP(A227,CUSTOMERS!$A:$D,3),"")</f>
        <v/>
      </c>
      <c r="AT227" s="68" t="str">
        <f>IFERROR(VLOOKUP(A227,CUSTOMERS!$A:$F,6),"")</f>
        <v/>
      </c>
      <c r="AU227" s="69" t="str">
        <f>IFERROR(VLOOKUP(A227,CUSTOMERS!$A:$E,4),"")</f>
        <v/>
      </c>
      <c r="AV227" s="68" t="str">
        <f t="shared" si="146"/>
        <v/>
      </c>
      <c r="AX227" s="71" t="str">
        <f t="shared" si="167"/>
        <v>reason227</v>
      </c>
    </row>
    <row r="228" spans="1:50" ht="50.25" customHeight="1" thickTop="1" thickBot="1">
      <c r="A228" s="188"/>
      <c r="B228" s="125" t="str">
        <f t="shared" si="157"/>
        <v/>
      </c>
      <c r="C228" s="125"/>
      <c r="D228" s="126"/>
      <c r="E228" s="126"/>
      <c r="F228" s="122" t="str">
        <f t="shared" si="156"/>
        <v/>
      </c>
      <c r="G228" s="186"/>
      <c r="H228" s="124"/>
      <c r="I228" s="239"/>
      <c r="J228" s="80" t="str">
        <f t="shared" si="160"/>
        <v/>
      </c>
      <c r="K228" s="177">
        <f t="shared" si="166"/>
        <v>0</v>
      </c>
      <c r="L228" s="160"/>
      <c r="M228" s="161"/>
      <c r="N228" s="162"/>
      <c r="O228" s="162"/>
      <c r="P228" s="163"/>
      <c r="Q228" s="202"/>
      <c r="R228" s="204"/>
      <c r="S228" s="211"/>
      <c r="T228" s="211"/>
      <c r="U228" s="211"/>
      <c r="V228" s="211"/>
      <c r="W228" s="211"/>
      <c r="X228" s="154"/>
      <c r="Y228" s="173" t="str">
        <f t="shared" si="150"/>
        <v/>
      </c>
      <c r="Z228" s="83" t="str">
        <f t="shared" si="161"/>
        <v/>
      </c>
      <c r="AA228" s="84" t="str">
        <f t="shared" si="148"/>
        <v/>
      </c>
      <c r="AB228" s="84" t="str">
        <f t="shared" si="149"/>
        <v/>
      </c>
      <c r="AC228" s="84" t="str">
        <f t="shared" si="162"/>
        <v/>
      </c>
      <c r="AD228" s="84"/>
      <c r="AE228" s="84" t="str">
        <f t="shared" si="168"/>
        <v/>
      </c>
      <c r="AF228" s="84">
        <f t="shared" si="158"/>
        <v>0</v>
      </c>
      <c r="AG228" s="94" t="str">
        <f t="shared" si="169"/>
        <v/>
      </c>
      <c r="AH228" s="85" t="str">
        <f>IFERROR(VLOOKUP(A228,CUSTOMERS!$A:$E,4),"")</f>
        <v/>
      </c>
      <c r="AI228" s="86" t="str">
        <f t="shared" si="154"/>
        <v/>
      </c>
      <c r="AJ228" s="87" t="str">
        <f>IFERROR(VLOOKUP(A228,CUSTOMERS!$A:$F,5),"")</f>
        <v/>
      </c>
      <c r="AK228" s="96"/>
      <c r="AL228" s="96">
        <v>0</v>
      </c>
      <c r="AM228" s="96">
        <v>0</v>
      </c>
      <c r="AN228" s="96"/>
      <c r="AO228" s="96">
        <v>0</v>
      </c>
      <c r="AP228" s="103">
        <f t="shared" si="163"/>
        <v>0</v>
      </c>
      <c r="AQ228" s="103" t="str">
        <f t="shared" si="152"/>
        <v/>
      </c>
      <c r="AR228" s="68" t="str">
        <f>IFERROR(VLOOKUP(A228,CUSTOMERS!$A:$B,2),"")</f>
        <v/>
      </c>
      <c r="AS228" s="68" t="str">
        <f>IFERROR(VLOOKUP(A228,CUSTOMERS!$A:$D,3),"")</f>
        <v/>
      </c>
      <c r="AT228" s="68" t="str">
        <f>IFERROR(VLOOKUP(A228,CUSTOMERS!$A:$F,6),"")</f>
        <v/>
      </c>
      <c r="AU228" s="69" t="str">
        <f>IFERROR(VLOOKUP(A228,CUSTOMERS!$A:$E,4),"")</f>
        <v/>
      </c>
      <c r="AV228" s="68" t="str">
        <f t="shared" si="146"/>
        <v/>
      </c>
      <c r="AX228" s="71" t="str">
        <f t="shared" si="167"/>
        <v>reason228</v>
      </c>
    </row>
    <row r="229" spans="1:50" ht="50.25" customHeight="1" thickTop="1" thickBot="1">
      <c r="A229" s="188"/>
      <c r="B229" s="125" t="str">
        <f t="shared" si="157"/>
        <v/>
      </c>
      <c r="C229" s="125"/>
      <c r="D229" s="126"/>
      <c r="E229" s="126"/>
      <c r="F229" s="122" t="str">
        <f t="shared" si="156"/>
        <v/>
      </c>
      <c r="G229" s="186"/>
      <c r="H229" s="124"/>
      <c r="I229" s="239"/>
      <c r="J229" s="80" t="str">
        <f t="shared" si="160"/>
        <v/>
      </c>
      <c r="K229" s="177">
        <f t="shared" si="166"/>
        <v>0</v>
      </c>
      <c r="L229" s="160"/>
      <c r="M229" s="161"/>
      <c r="N229" s="162"/>
      <c r="O229" s="162"/>
      <c r="P229" s="163"/>
      <c r="Q229" s="202"/>
      <c r="R229" s="204"/>
      <c r="S229" s="211"/>
      <c r="T229" s="211"/>
      <c r="U229" s="211"/>
      <c r="V229" s="211"/>
      <c r="W229" s="211"/>
      <c r="X229" s="154"/>
      <c r="Y229" s="173" t="str">
        <f t="shared" si="150"/>
        <v/>
      </c>
      <c r="Z229" s="83" t="str">
        <f t="shared" si="161"/>
        <v/>
      </c>
      <c r="AA229" s="84" t="str">
        <f t="shared" si="148"/>
        <v/>
      </c>
      <c r="AB229" s="84" t="str">
        <f t="shared" si="149"/>
        <v/>
      </c>
      <c r="AC229" s="84" t="str">
        <f t="shared" si="162"/>
        <v/>
      </c>
      <c r="AD229" s="84"/>
      <c r="AE229" s="84" t="str">
        <f t="shared" si="168"/>
        <v/>
      </c>
      <c r="AF229" s="84">
        <f t="shared" si="158"/>
        <v>0</v>
      </c>
      <c r="AG229" s="94" t="str">
        <f t="shared" si="169"/>
        <v/>
      </c>
      <c r="AH229" s="85" t="str">
        <f>IFERROR(VLOOKUP(A229,CUSTOMERS!$A:$E,4),"")</f>
        <v/>
      </c>
      <c r="AI229" s="86" t="str">
        <f t="shared" si="154"/>
        <v/>
      </c>
      <c r="AJ229" s="87" t="str">
        <f>IFERROR(VLOOKUP(A229,CUSTOMERS!$A:$F,5),"")</f>
        <v/>
      </c>
      <c r="AK229" s="96"/>
      <c r="AL229" s="96">
        <v>0</v>
      </c>
      <c r="AM229" s="96">
        <v>0</v>
      </c>
      <c r="AN229" s="96"/>
      <c r="AO229" s="96">
        <v>0</v>
      </c>
      <c r="AP229" s="103">
        <f t="shared" si="163"/>
        <v>0</v>
      </c>
      <c r="AQ229" s="103" t="str">
        <f t="shared" si="152"/>
        <v/>
      </c>
      <c r="AR229" s="68" t="str">
        <f>IFERROR(VLOOKUP(A229,CUSTOMERS!$A:$B,2),"")</f>
        <v/>
      </c>
      <c r="AS229" s="68" t="str">
        <f>IFERROR(VLOOKUP(A229,CUSTOMERS!$A:$D,3),"")</f>
        <v/>
      </c>
      <c r="AT229" s="68" t="str">
        <f>IFERROR(VLOOKUP(A229,CUSTOMERS!$A:$F,6),"")</f>
        <v/>
      </c>
      <c r="AU229" s="69" t="str">
        <f>IFERROR(VLOOKUP(A229,CUSTOMERS!$A:$E,4),"")</f>
        <v/>
      </c>
      <c r="AV229" s="68" t="str">
        <f t="shared" si="146"/>
        <v/>
      </c>
      <c r="AX229" s="71" t="str">
        <f t="shared" si="167"/>
        <v>reason229</v>
      </c>
    </row>
    <row r="230" spans="1:50" ht="50.25" customHeight="1" thickTop="1" thickBot="1">
      <c r="A230" s="188"/>
      <c r="B230" s="125" t="str">
        <f t="shared" si="157"/>
        <v/>
      </c>
      <c r="C230" s="125"/>
      <c r="D230" s="126"/>
      <c r="E230" s="126"/>
      <c r="F230" s="122" t="str">
        <f t="shared" si="156"/>
        <v/>
      </c>
      <c r="G230" s="186"/>
      <c r="H230" s="124"/>
      <c r="I230" s="239"/>
      <c r="J230" s="80" t="str">
        <f t="shared" si="160"/>
        <v/>
      </c>
      <c r="K230" s="177">
        <f t="shared" si="166"/>
        <v>0</v>
      </c>
      <c r="L230" s="160"/>
      <c r="M230" s="161"/>
      <c r="N230" s="162"/>
      <c r="O230" s="162"/>
      <c r="P230" s="163"/>
      <c r="Q230" s="202"/>
      <c r="R230" s="204"/>
      <c r="S230" s="211"/>
      <c r="T230" s="211"/>
      <c r="U230" s="211"/>
      <c r="V230" s="211"/>
      <c r="W230" s="211"/>
      <c r="X230" s="154"/>
      <c r="Y230" s="173" t="str">
        <f t="shared" si="150"/>
        <v/>
      </c>
      <c r="Z230" s="83" t="str">
        <f t="shared" si="161"/>
        <v/>
      </c>
      <c r="AA230" s="84" t="str">
        <f t="shared" si="148"/>
        <v/>
      </c>
      <c r="AB230" s="84" t="str">
        <f t="shared" si="149"/>
        <v/>
      </c>
      <c r="AC230" s="84" t="str">
        <f t="shared" si="162"/>
        <v/>
      </c>
      <c r="AD230" s="84"/>
      <c r="AE230" s="84" t="str">
        <f t="shared" si="168"/>
        <v/>
      </c>
      <c r="AF230" s="84">
        <f t="shared" si="158"/>
        <v>0</v>
      </c>
      <c r="AG230" s="94" t="str">
        <f t="shared" si="169"/>
        <v/>
      </c>
      <c r="AH230" s="85" t="str">
        <f>IFERROR(VLOOKUP(A230,CUSTOMERS!$A:$E,4),"")</f>
        <v/>
      </c>
      <c r="AI230" s="86" t="str">
        <f t="shared" si="154"/>
        <v/>
      </c>
      <c r="AJ230" s="87" t="str">
        <f>IFERROR(VLOOKUP(A230,CUSTOMERS!$A:$F,5),"")</f>
        <v/>
      </c>
      <c r="AK230" s="96"/>
      <c r="AL230" s="96">
        <v>0</v>
      </c>
      <c r="AM230" s="96">
        <v>0</v>
      </c>
      <c r="AN230" s="96"/>
      <c r="AO230" s="96">
        <v>0</v>
      </c>
      <c r="AP230" s="103">
        <f t="shared" si="163"/>
        <v>0</v>
      </c>
      <c r="AQ230" s="103" t="str">
        <f t="shared" si="152"/>
        <v/>
      </c>
      <c r="AR230" s="68" t="str">
        <f>IFERROR(VLOOKUP(A230,CUSTOMERS!$A:$B,2),"")</f>
        <v/>
      </c>
      <c r="AS230" s="68" t="str">
        <f>IFERROR(VLOOKUP(A230,CUSTOMERS!$A:$D,3),"")</f>
        <v/>
      </c>
      <c r="AT230" s="68" t="str">
        <f>IFERROR(VLOOKUP(A230,CUSTOMERS!$A:$F,6),"")</f>
        <v/>
      </c>
      <c r="AU230" s="69" t="str">
        <f>IFERROR(VLOOKUP(A230,CUSTOMERS!$A:$E,4),"")</f>
        <v/>
      </c>
      <c r="AV230" s="68" t="str">
        <f t="shared" si="146"/>
        <v/>
      </c>
      <c r="AX230" s="71" t="str">
        <f t="shared" si="167"/>
        <v>reason230</v>
      </c>
    </row>
    <row r="231" spans="1:50" ht="50.25" customHeight="1" thickTop="1" thickBot="1">
      <c r="A231" s="188"/>
      <c r="B231" s="125" t="str">
        <f t="shared" si="157"/>
        <v/>
      </c>
      <c r="C231" s="125"/>
      <c r="D231" s="126"/>
      <c r="E231" s="126"/>
      <c r="F231" s="122" t="str">
        <f t="shared" si="156"/>
        <v/>
      </c>
      <c r="G231" s="186"/>
      <c r="H231" s="124"/>
      <c r="I231" s="239"/>
      <c r="J231" s="80" t="str">
        <f t="shared" si="160"/>
        <v/>
      </c>
      <c r="K231" s="177">
        <f t="shared" si="166"/>
        <v>0</v>
      </c>
      <c r="L231" s="160"/>
      <c r="M231" s="161"/>
      <c r="N231" s="162"/>
      <c r="O231" s="162"/>
      <c r="P231" s="163"/>
      <c r="Q231" s="202"/>
      <c r="R231" s="204"/>
      <c r="S231" s="211"/>
      <c r="T231" s="211"/>
      <c r="U231" s="211"/>
      <c r="V231" s="211"/>
      <c r="W231" s="211"/>
      <c r="X231" s="154"/>
      <c r="Y231" s="173" t="str">
        <f t="shared" si="150"/>
        <v/>
      </c>
      <c r="Z231" s="83" t="str">
        <f t="shared" si="161"/>
        <v/>
      </c>
      <c r="AA231" s="84" t="str">
        <f t="shared" si="148"/>
        <v/>
      </c>
      <c r="AB231" s="84" t="str">
        <f t="shared" si="149"/>
        <v/>
      </c>
      <c r="AC231" s="84" t="str">
        <f t="shared" si="162"/>
        <v/>
      </c>
      <c r="AD231" s="84"/>
      <c r="AE231" s="84" t="str">
        <f t="shared" si="168"/>
        <v/>
      </c>
      <c r="AF231" s="84">
        <f t="shared" si="158"/>
        <v>0</v>
      </c>
      <c r="AG231" s="94" t="str">
        <f t="shared" si="169"/>
        <v/>
      </c>
      <c r="AH231" s="85" t="str">
        <f>IFERROR(VLOOKUP(A231,CUSTOMERS!$A:$E,4),"")</f>
        <v/>
      </c>
      <c r="AI231" s="86" t="str">
        <f t="shared" si="154"/>
        <v/>
      </c>
      <c r="AJ231" s="87" t="str">
        <f>IFERROR(VLOOKUP(A231,CUSTOMERS!$A:$F,5),"")</f>
        <v/>
      </c>
      <c r="AK231" s="98"/>
      <c r="AL231" s="98">
        <v>0</v>
      </c>
      <c r="AM231" s="99">
        <v>0</v>
      </c>
      <c r="AN231" s="99"/>
      <c r="AO231" s="99">
        <v>0</v>
      </c>
      <c r="AP231" s="103">
        <f t="shared" si="163"/>
        <v>0</v>
      </c>
      <c r="AQ231" s="103" t="str">
        <f t="shared" si="152"/>
        <v/>
      </c>
      <c r="AR231" s="68" t="str">
        <f>IFERROR(VLOOKUP(A231,CUSTOMERS!$A:$B,2),"")</f>
        <v/>
      </c>
      <c r="AS231" s="68" t="str">
        <f>IFERROR(VLOOKUP(A231,CUSTOMERS!$A:$D,3),"")</f>
        <v/>
      </c>
      <c r="AT231" s="68" t="str">
        <f>IFERROR(VLOOKUP(A231,CUSTOMERS!$A:$F,6),"")</f>
        <v/>
      </c>
      <c r="AU231" s="69" t="str">
        <f>IFERROR(VLOOKUP(A231,CUSTOMERS!$A:$E,4),"")</f>
        <v/>
      </c>
      <c r="AV231" s="68" t="str">
        <f t="shared" si="146"/>
        <v/>
      </c>
      <c r="AX231" s="71" t="str">
        <f t="shared" si="167"/>
        <v>reason231</v>
      </c>
    </row>
    <row r="232" spans="1:50" ht="50.25" customHeight="1" thickTop="1" thickBot="1">
      <c r="A232" s="188"/>
      <c r="B232" s="125" t="str">
        <f t="shared" si="157"/>
        <v/>
      </c>
      <c r="C232" s="125"/>
      <c r="D232" s="126"/>
      <c r="E232" s="126"/>
      <c r="F232" s="122" t="str">
        <f t="shared" si="156"/>
        <v/>
      </c>
      <c r="G232" s="186"/>
      <c r="H232" s="124"/>
      <c r="I232" s="239"/>
      <c r="J232" s="80" t="str">
        <f t="shared" si="160"/>
        <v/>
      </c>
      <c r="K232" s="177">
        <f t="shared" si="166"/>
        <v>0</v>
      </c>
      <c r="L232" s="160"/>
      <c r="M232" s="161"/>
      <c r="N232" s="162"/>
      <c r="O232" s="162"/>
      <c r="P232" s="163"/>
      <c r="Q232" s="202"/>
      <c r="R232" s="204"/>
      <c r="S232" s="211"/>
      <c r="T232" s="211"/>
      <c r="U232" s="211"/>
      <c r="V232" s="211"/>
      <c r="W232" s="211"/>
      <c r="X232" s="154"/>
      <c r="Y232" s="173" t="str">
        <f t="shared" si="150"/>
        <v/>
      </c>
      <c r="Z232" s="83" t="str">
        <f t="shared" si="161"/>
        <v/>
      </c>
      <c r="AA232" s="84" t="str">
        <f t="shared" si="148"/>
        <v/>
      </c>
      <c r="AB232" s="84" t="str">
        <f t="shared" si="149"/>
        <v/>
      </c>
      <c r="AC232" s="84" t="str">
        <f t="shared" si="162"/>
        <v/>
      </c>
      <c r="AD232" s="84"/>
      <c r="AE232" s="84" t="str">
        <f t="shared" si="168"/>
        <v/>
      </c>
      <c r="AF232" s="84">
        <f t="shared" si="158"/>
        <v>0</v>
      </c>
      <c r="AG232" s="94" t="str">
        <f t="shared" si="169"/>
        <v/>
      </c>
      <c r="AH232" s="85" t="str">
        <f>IFERROR(VLOOKUP(A232,CUSTOMERS!$A:$E,4),"")</f>
        <v/>
      </c>
      <c r="AI232" s="86" t="str">
        <f t="shared" si="154"/>
        <v/>
      </c>
      <c r="AJ232" s="87" t="str">
        <f>IFERROR(VLOOKUP(A232,CUSTOMERS!$A:$F,5),"")</f>
        <v/>
      </c>
      <c r="AK232" s="98"/>
      <c r="AL232" s="98">
        <v>0</v>
      </c>
      <c r="AM232" s="99">
        <v>0</v>
      </c>
      <c r="AN232" s="99"/>
      <c r="AO232" s="99">
        <v>0</v>
      </c>
      <c r="AP232" s="103">
        <f t="shared" si="163"/>
        <v>0</v>
      </c>
      <c r="AQ232" s="103" t="str">
        <f t="shared" si="152"/>
        <v/>
      </c>
      <c r="AR232" s="68" t="str">
        <f>IFERROR(VLOOKUP(A232,CUSTOMERS!$A:$B,2),"")</f>
        <v/>
      </c>
      <c r="AS232" s="68" t="str">
        <f>IFERROR(VLOOKUP(A232,CUSTOMERS!$A:$D,3),"")</f>
        <v/>
      </c>
      <c r="AT232" s="68" t="str">
        <f>IFERROR(VLOOKUP(A232,CUSTOMERS!$A:$F,6),"")</f>
        <v/>
      </c>
      <c r="AU232" s="69" t="str">
        <f>IFERROR(VLOOKUP(A232,CUSTOMERS!$A:$E,4),"")</f>
        <v/>
      </c>
      <c r="AV232" s="68" t="str">
        <f t="shared" si="146"/>
        <v/>
      </c>
      <c r="AX232" s="71" t="str">
        <f t="shared" si="167"/>
        <v>reason232</v>
      </c>
    </row>
    <row r="233" spans="1:50" ht="50.25" customHeight="1" thickTop="1" thickBot="1">
      <c r="A233" s="188"/>
      <c r="B233" s="125" t="str">
        <f t="shared" si="157"/>
        <v/>
      </c>
      <c r="C233" s="125"/>
      <c r="D233" s="126"/>
      <c r="E233" s="126"/>
      <c r="F233" s="122" t="str">
        <f t="shared" si="156"/>
        <v/>
      </c>
      <c r="G233" s="186"/>
      <c r="H233" s="124"/>
      <c r="I233" s="239"/>
      <c r="J233" s="80" t="str">
        <f t="shared" si="160"/>
        <v/>
      </c>
      <c r="K233" s="177">
        <f t="shared" si="166"/>
        <v>0</v>
      </c>
      <c r="L233" s="160"/>
      <c r="M233" s="161"/>
      <c r="N233" s="162"/>
      <c r="O233" s="162"/>
      <c r="P233" s="163"/>
      <c r="Q233" s="202"/>
      <c r="R233" s="204"/>
      <c r="S233" s="211"/>
      <c r="T233" s="211"/>
      <c r="U233" s="211"/>
      <c r="V233" s="211"/>
      <c r="W233" s="211"/>
      <c r="X233" s="154"/>
      <c r="Y233" s="173" t="str">
        <f t="shared" si="150"/>
        <v/>
      </c>
      <c r="Z233" s="83" t="str">
        <f t="shared" si="161"/>
        <v/>
      </c>
      <c r="AA233" s="84" t="str">
        <f t="shared" si="148"/>
        <v/>
      </c>
      <c r="AB233" s="84" t="str">
        <f t="shared" si="149"/>
        <v/>
      </c>
      <c r="AC233" s="84" t="str">
        <f t="shared" si="162"/>
        <v/>
      </c>
      <c r="AD233" s="84"/>
      <c r="AE233" s="84" t="str">
        <f t="shared" si="168"/>
        <v/>
      </c>
      <c r="AF233" s="84">
        <f t="shared" si="158"/>
        <v>0</v>
      </c>
      <c r="AG233" s="94" t="str">
        <f t="shared" si="169"/>
        <v/>
      </c>
      <c r="AH233" s="85" t="str">
        <f>IFERROR(VLOOKUP(A233,CUSTOMERS!$A:$E,4),"")</f>
        <v/>
      </c>
      <c r="AI233" s="86" t="str">
        <f t="shared" si="154"/>
        <v/>
      </c>
      <c r="AJ233" s="87" t="str">
        <f>IFERROR(VLOOKUP(A233,CUSTOMERS!$A:$F,5),"")</f>
        <v/>
      </c>
      <c r="AK233" s="98"/>
      <c r="AL233" s="98">
        <v>0</v>
      </c>
      <c r="AM233" s="99">
        <v>0</v>
      </c>
      <c r="AN233" s="99"/>
      <c r="AO233" s="99">
        <v>0</v>
      </c>
      <c r="AP233" s="103">
        <f t="shared" si="163"/>
        <v>0</v>
      </c>
      <c r="AQ233" s="103" t="str">
        <f t="shared" si="152"/>
        <v/>
      </c>
      <c r="AR233" s="68" t="str">
        <f>IFERROR(VLOOKUP(A233,CUSTOMERS!$A:$B,2),"")</f>
        <v/>
      </c>
      <c r="AS233" s="68" t="str">
        <f>IFERROR(VLOOKUP(A233,CUSTOMERS!$A:$D,3),"")</f>
        <v/>
      </c>
      <c r="AT233" s="68" t="str">
        <f>IFERROR(VLOOKUP(A233,CUSTOMERS!$A:$F,6),"")</f>
        <v/>
      </c>
      <c r="AU233" s="69" t="str">
        <f>IFERROR(VLOOKUP(A233,CUSTOMERS!$A:$E,4),"")</f>
        <v/>
      </c>
      <c r="AV233" s="68" t="str">
        <f t="shared" si="146"/>
        <v/>
      </c>
      <c r="AX233" s="71" t="str">
        <f t="shared" si="167"/>
        <v>reason233</v>
      </c>
    </row>
    <row r="234" spans="1:50" ht="50.25" customHeight="1" thickTop="1" thickBot="1">
      <c r="A234" s="188"/>
      <c r="B234" s="125" t="str">
        <f t="shared" si="157"/>
        <v/>
      </c>
      <c r="C234" s="125"/>
      <c r="D234" s="126"/>
      <c r="E234" s="126"/>
      <c r="F234" s="122" t="str">
        <f t="shared" si="156"/>
        <v/>
      </c>
      <c r="G234" s="186"/>
      <c r="H234" s="124"/>
      <c r="I234" s="239"/>
      <c r="J234" s="80" t="str">
        <f t="shared" si="160"/>
        <v/>
      </c>
      <c r="K234" s="177">
        <f t="shared" si="166"/>
        <v>0</v>
      </c>
      <c r="L234" s="160"/>
      <c r="M234" s="161"/>
      <c r="N234" s="162"/>
      <c r="O234" s="162"/>
      <c r="P234" s="163"/>
      <c r="Q234" s="202"/>
      <c r="R234" s="204"/>
      <c r="S234" s="211"/>
      <c r="T234" s="211"/>
      <c r="U234" s="211"/>
      <c r="V234" s="211"/>
      <c r="W234" s="211"/>
      <c r="X234" s="154"/>
      <c r="Y234" s="173" t="str">
        <f t="shared" si="150"/>
        <v/>
      </c>
      <c r="Z234" s="83" t="str">
        <f t="shared" si="161"/>
        <v/>
      </c>
      <c r="AA234" s="84" t="str">
        <f t="shared" si="148"/>
        <v/>
      </c>
      <c r="AB234" s="84" t="str">
        <f t="shared" si="149"/>
        <v/>
      </c>
      <c r="AC234" s="84" t="str">
        <f t="shared" si="162"/>
        <v/>
      </c>
      <c r="AD234" s="84"/>
      <c r="AE234" s="84" t="str">
        <f t="shared" si="168"/>
        <v/>
      </c>
      <c r="AF234" s="84">
        <f t="shared" si="158"/>
        <v>0</v>
      </c>
      <c r="AG234" s="94" t="str">
        <f t="shared" si="169"/>
        <v/>
      </c>
      <c r="AH234" s="85" t="str">
        <f>IFERROR(VLOOKUP(A234,CUSTOMERS!$A:$E,4),"")</f>
        <v/>
      </c>
      <c r="AI234" s="86" t="str">
        <f t="shared" si="154"/>
        <v/>
      </c>
      <c r="AJ234" s="87" t="str">
        <f>IFERROR(VLOOKUP(A234,CUSTOMERS!$A:$F,5),"")</f>
        <v/>
      </c>
      <c r="AK234" s="98"/>
      <c r="AL234" s="98">
        <v>0</v>
      </c>
      <c r="AM234" s="99">
        <v>0</v>
      </c>
      <c r="AN234" s="99"/>
      <c r="AO234" s="99">
        <v>0</v>
      </c>
      <c r="AP234" s="103">
        <f t="shared" si="163"/>
        <v>0</v>
      </c>
      <c r="AQ234" s="103" t="str">
        <f t="shared" si="152"/>
        <v/>
      </c>
      <c r="AR234" s="68" t="str">
        <f>IFERROR(VLOOKUP(A234,CUSTOMERS!$A:$B,2),"")</f>
        <v/>
      </c>
      <c r="AS234" s="68" t="str">
        <f>IFERROR(VLOOKUP(A234,CUSTOMERS!$A:$D,3),"")</f>
        <v/>
      </c>
      <c r="AT234" s="68" t="str">
        <f>IFERROR(VLOOKUP(A234,CUSTOMERS!$A:$F,6),"")</f>
        <v/>
      </c>
      <c r="AU234" s="69" t="str">
        <f>IFERROR(VLOOKUP(A234,CUSTOMERS!$A:$E,4),"")</f>
        <v/>
      </c>
      <c r="AV234" s="68" t="str">
        <f t="shared" ref="AV234:AV297" si="170">IF(AH234&lt;&gt;AU234,"Y","")</f>
        <v/>
      </c>
      <c r="AX234" s="71" t="str">
        <f t="shared" si="167"/>
        <v>reason234</v>
      </c>
    </row>
    <row r="235" spans="1:50" ht="50.25" customHeight="1" thickTop="1" thickBot="1">
      <c r="A235" s="188"/>
      <c r="B235" s="125" t="str">
        <f t="shared" si="157"/>
        <v/>
      </c>
      <c r="C235" s="125"/>
      <c r="D235" s="126"/>
      <c r="E235" s="126"/>
      <c r="F235" s="122" t="str">
        <f t="shared" si="156"/>
        <v/>
      </c>
      <c r="G235" s="186"/>
      <c r="H235" s="124"/>
      <c r="I235" s="239"/>
      <c r="J235" s="80" t="str">
        <f t="shared" si="160"/>
        <v/>
      </c>
      <c r="K235" s="177">
        <f t="shared" si="166"/>
        <v>0</v>
      </c>
      <c r="L235" s="160"/>
      <c r="M235" s="161"/>
      <c r="N235" s="162"/>
      <c r="O235" s="162"/>
      <c r="P235" s="163"/>
      <c r="Q235" s="202"/>
      <c r="R235" s="204"/>
      <c r="S235" s="211"/>
      <c r="T235" s="211"/>
      <c r="U235" s="211"/>
      <c r="V235" s="211"/>
      <c r="W235" s="211"/>
      <c r="X235" s="154"/>
      <c r="Y235" s="173" t="str">
        <f t="shared" si="150"/>
        <v/>
      </c>
      <c r="Z235" s="83" t="str">
        <f t="shared" si="161"/>
        <v/>
      </c>
      <c r="AA235" s="84" t="str">
        <f t="shared" si="148"/>
        <v/>
      </c>
      <c r="AB235" s="84" t="str">
        <f t="shared" si="149"/>
        <v/>
      </c>
      <c r="AC235" s="84" t="str">
        <f t="shared" si="162"/>
        <v/>
      </c>
      <c r="AD235" s="84"/>
      <c r="AE235" s="84" t="str">
        <f t="shared" si="168"/>
        <v/>
      </c>
      <c r="AF235" s="84">
        <f t="shared" si="158"/>
        <v>0</v>
      </c>
      <c r="AG235" s="94" t="str">
        <f t="shared" si="169"/>
        <v/>
      </c>
      <c r="AH235" s="85" t="str">
        <f>IFERROR(VLOOKUP(A235,CUSTOMERS!$A:$E,4),"")</f>
        <v/>
      </c>
      <c r="AI235" s="86" t="str">
        <f t="shared" si="154"/>
        <v/>
      </c>
      <c r="AJ235" s="87" t="str">
        <f>IFERROR(VLOOKUP(A235,CUSTOMERS!$A:$F,5),"")</f>
        <v/>
      </c>
      <c r="AK235" s="98"/>
      <c r="AL235" s="98">
        <v>0</v>
      </c>
      <c r="AM235" s="99">
        <v>0</v>
      </c>
      <c r="AN235" s="99"/>
      <c r="AO235" s="99">
        <v>0</v>
      </c>
      <c r="AP235" s="103">
        <f t="shared" si="163"/>
        <v>0</v>
      </c>
      <c r="AQ235" s="103" t="str">
        <f t="shared" si="152"/>
        <v/>
      </c>
      <c r="AR235" s="68" t="str">
        <f>IFERROR(VLOOKUP(A235,CUSTOMERS!$A:$B,2),"")</f>
        <v/>
      </c>
      <c r="AS235" s="68" t="str">
        <f>IFERROR(VLOOKUP(A235,CUSTOMERS!$A:$D,3),"")</f>
        <v/>
      </c>
      <c r="AT235" s="68" t="str">
        <f>IFERROR(VLOOKUP(A235,CUSTOMERS!$A:$F,6),"")</f>
        <v/>
      </c>
      <c r="AU235" s="69" t="str">
        <f>IFERROR(VLOOKUP(A235,CUSTOMERS!$A:$E,4),"")</f>
        <v/>
      </c>
      <c r="AV235" s="68" t="str">
        <f t="shared" si="170"/>
        <v/>
      </c>
      <c r="AX235" s="71" t="str">
        <f t="shared" si="167"/>
        <v>reason235</v>
      </c>
    </row>
    <row r="236" spans="1:50" ht="50.25" customHeight="1" thickTop="1" thickBot="1">
      <c r="A236" s="188"/>
      <c r="B236" s="125" t="str">
        <f t="shared" si="157"/>
        <v/>
      </c>
      <c r="C236" s="125"/>
      <c r="D236" s="126"/>
      <c r="E236" s="126"/>
      <c r="F236" s="122" t="str">
        <f t="shared" si="156"/>
        <v/>
      </c>
      <c r="G236" s="186"/>
      <c r="H236" s="124"/>
      <c r="I236" s="239"/>
      <c r="J236" s="80" t="str">
        <f t="shared" si="160"/>
        <v/>
      </c>
      <c r="K236" s="177">
        <f t="shared" si="166"/>
        <v>0</v>
      </c>
      <c r="L236" s="160"/>
      <c r="M236" s="161"/>
      <c r="N236" s="162"/>
      <c r="O236" s="162"/>
      <c r="P236" s="163"/>
      <c r="Q236" s="202"/>
      <c r="R236" s="204"/>
      <c r="S236" s="211"/>
      <c r="T236" s="211"/>
      <c r="U236" s="211"/>
      <c r="V236" s="211"/>
      <c r="W236" s="211"/>
      <c r="X236" s="154"/>
      <c r="Y236" s="173" t="str">
        <f t="shared" si="150"/>
        <v/>
      </c>
      <c r="Z236" s="83" t="str">
        <f t="shared" si="161"/>
        <v/>
      </c>
      <c r="AA236" s="84" t="str">
        <f t="shared" si="148"/>
        <v/>
      </c>
      <c r="AB236" s="84" t="str">
        <f t="shared" si="149"/>
        <v/>
      </c>
      <c r="AC236" s="84" t="str">
        <f t="shared" si="162"/>
        <v/>
      </c>
      <c r="AD236" s="84"/>
      <c r="AE236" s="84" t="str">
        <f t="shared" si="168"/>
        <v/>
      </c>
      <c r="AF236" s="84">
        <f t="shared" si="158"/>
        <v>0</v>
      </c>
      <c r="AG236" s="94" t="str">
        <f t="shared" si="169"/>
        <v/>
      </c>
      <c r="AH236" s="85" t="str">
        <f>IFERROR(VLOOKUP(A236,CUSTOMERS!$A:$E,4),"")</f>
        <v/>
      </c>
      <c r="AI236" s="86" t="str">
        <f t="shared" si="154"/>
        <v/>
      </c>
      <c r="AJ236" s="87" t="str">
        <f>IFERROR(VLOOKUP(A236,CUSTOMERS!$A:$F,5),"")</f>
        <v/>
      </c>
      <c r="AK236" s="98"/>
      <c r="AL236" s="98">
        <v>0</v>
      </c>
      <c r="AM236" s="99">
        <v>0</v>
      </c>
      <c r="AN236" s="99"/>
      <c r="AO236" s="99">
        <v>0</v>
      </c>
      <c r="AP236" s="103">
        <f t="shared" si="163"/>
        <v>0</v>
      </c>
      <c r="AQ236" s="103" t="str">
        <f t="shared" si="152"/>
        <v/>
      </c>
      <c r="AR236" s="68" t="str">
        <f>IFERROR(VLOOKUP(A236,CUSTOMERS!$A:$B,2),"")</f>
        <v/>
      </c>
      <c r="AS236" s="68" t="str">
        <f>IFERROR(VLOOKUP(A236,CUSTOMERS!$A:$D,3),"")</f>
        <v/>
      </c>
      <c r="AT236" s="68" t="str">
        <f>IFERROR(VLOOKUP(A236,CUSTOMERS!$A:$F,6),"")</f>
        <v/>
      </c>
      <c r="AU236" s="69" t="str">
        <f>IFERROR(VLOOKUP(A236,CUSTOMERS!$A:$E,4),"")</f>
        <v/>
      </c>
      <c r="AV236" s="68" t="str">
        <f t="shared" si="170"/>
        <v/>
      </c>
      <c r="AX236" s="71" t="str">
        <f t="shared" si="167"/>
        <v>reason236</v>
      </c>
    </row>
    <row r="237" spans="1:50" ht="50.25" customHeight="1" thickTop="1" thickBot="1">
      <c r="A237" s="188"/>
      <c r="B237" s="125" t="str">
        <f t="shared" si="157"/>
        <v/>
      </c>
      <c r="C237" s="125"/>
      <c r="D237" s="126"/>
      <c r="E237" s="126"/>
      <c r="F237" s="122" t="str">
        <f t="shared" si="156"/>
        <v/>
      </c>
      <c r="G237" s="186"/>
      <c r="H237" s="124"/>
      <c r="I237" s="239"/>
      <c r="J237" s="80" t="str">
        <f t="shared" si="160"/>
        <v/>
      </c>
      <c r="K237" s="177">
        <f t="shared" si="166"/>
        <v>0</v>
      </c>
      <c r="L237" s="160"/>
      <c r="M237" s="161"/>
      <c r="N237" s="162"/>
      <c r="O237" s="162"/>
      <c r="P237" s="163"/>
      <c r="Q237" s="202"/>
      <c r="R237" s="204"/>
      <c r="S237" s="211"/>
      <c r="T237" s="211"/>
      <c r="U237" s="211"/>
      <c r="V237" s="211"/>
      <c r="W237" s="211"/>
      <c r="X237" s="154"/>
      <c r="Y237" s="173" t="str">
        <f t="shared" si="150"/>
        <v/>
      </c>
      <c r="Z237" s="83" t="str">
        <f t="shared" si="161"/>
        <v/>
      </c>
      <c r="AA237" s="84" t="str">
        <f t="shared" si="148"/>
        <v/>
      </c>
      <c r="AB237" s="84" t="str">
        <f t="shared" si="149"/>
        <v/>
      </c>
      <c r="AC237" s="84" t="str">
        <f t="shared" si="162"/>
        <v/>
      </c>
      <c r="AD237" s="84"/>
      <c r="AE237" s="84" t="str">
        <f t="shared" si="168"/>
        <v/>
      </c>
      <c r="AF237" s="84">
        <f t="shared" si="158"/>
        <v>0</v>
      </c>
      <c r="AG237" s="94" t="str">
        <f t="shared" si="169"/>
        <v/>
      </c>
      <c r="AH237" s="85" t="str">
        <f>IFERROR(VLOOKUP(A237,CUSTOMERS!$A:$E,4),"")</f>
        <v/>
      </c>
      <c r="AI237" s="86" t="str">
        <f t="shared" si="154"/>
        <v/>
      </c>
      <c r="AJ237" s="87" t="str">
        <f>IFERROR(VLOOKUP(A237,CUSTOMERS!$A:$F,5),"")</f>
        <v/>
      </c>
      <c r="AK237" s="98"/>
      <c r="AL237" s="98">
        <v>0</v>
      </c>
      <c r="AM237" s="99">
        <v>0</v>
      </c>
      <c r="AN237" s="99"/>
      <c r="AO237" s="99">
        <v>0</v>
      </c>
      <c r="AP237" s="103">
        <f t="shared" si="163"/>
        <v>0</v>
      </c>
      <c r="AQ237" s="103" t="str">
        <f t="shared" si="152"/>
        <v/>
      </c>
      <c r="AR237" s="68" t="str">
        <f>IFERROR(VLOOKUP(A237,CUSTOMERS!$A:$B,2),"")</f>
        <v/>
      </c>
      <c r="AS237" s="68" t="str">
        <f>IFERROR(VLOOKUP(A237,CUSTOMERS!$A:$D,3),"")</f>
        <v/>
      </c>
      <c r="AT237" s="68" t="str">
        <f>IFERROR(VLOOKUP(A237,CUSTOMERS!$A:$F,6),"")</f>
        <v/>
      </c>
      <c r="AU237" s="69" t="str">
        <f>IFERROR(VLOOKUP(A237,CUSTOMERS!$A:$E,4),"")</f>
        <v/>
      </c>
      <c r="AV237" s="68" t="str">
        <f t="shared" si="170"/>
        <v/>
      </c>
      <c r="AX237" s="71" t="str">
        <f t="shared" si="167"/>
        <v>reason237</v>
      </c>
    </row>
    <row r="238" spans="1:50" ht="50.25" customHeight="1" thickTop="1" thickBot="1">
      <c r="A238" s="188"/>
      <c r="B238" s="125" t="str">
        <f t="shared" ref="B238:B269" si="171">AT238</f>
        <v/>
      </c>
      <c r="C238" s="125"/>
      <c r="D238" s="126"/>
      <c r="E238" s="126"/>
      <c r="F238" s="122" t="str">
        <f t="shared" si="156"/>
        <v/>
      </c>
      <c r="G238" s="186"/>
      <c r="H238" s="124"/>
      <c r="I238" s="239"/>
      <c r="J238" s="80" t="str">
        <f t="shared" si="160"/>
        <v/>
      </c>
      <c r="K238" s="177">
        <f t="shared" si="166"/>
        <v>0</v>
      </c>
      <c r="L238" s="160"/>
      <c r="M238" s="161"/>
      <c r="N238" s="162"/>
      <c r="O238" s="162"/>
      <c r="P238" s="163"/>
      <c r="Q238" s="202"/>
      <c r="R238" s="204"/>
      <c r="S238" s="211"/>
      <c r="T238" s="211"/>
      <c r="U238" s="211"/>
      <c r="V238" s="211"/>
      <c r="W238" s="211"/>
      <c r="X238" s="154"/>
      <c r="Y238" s="173" t="str">
        <f t="shared" si="150"/>
        <v/>
      </c>
      <c r="Z238" s="83" t="str">
        <f t="shared" si="161"/>
        <v/>
      </c>
      <c r="AA238" s="84" t="str">
        <f t="shared" si="148"/>
        <v/>
      </c>
      <c r="AB238" s="84" t="str">
        <f t="shared" si="149"/>
        <v/>
      </c>
      <c r="AC238" s="84" t="str">
        <f t="shared" si="162"/>
        <v/>
      </c>
      <c r="AD238" s="84"/>
      <c r="AE238" s="84" t="str">
        <f t="shared" si="168"/>
        <v/>
      </c>
      <c r="AF238" s="84">
        <f t="shared" si="158"/>
        <v>0</v>
      </c>
      <c r="AG238" s="94" t="str">
        <f t="shared" si="169"/>
        <v/>
      </c>
      <c r="AH238" s="85" t="str">
        <f>IFERROR(VLOOKUP(A238,CUSTOMERS!$A:$E,4),"")</f>
        <v/>
      </c>
      <c r="AI238" s="86" t="str">
        <f t="shared" si="154"/>
        <v/>
      </c>
      <c r="AJ238" s="87" t="str">
        <f>IFERROR(VLOOKUP(A238,CUSTOMERS!$A:$F,5),"")</f>
        <v/>
      </c>
      <c r="AK238" s="98"/>
      <c r="AL238" s="98">
        <v>0</v>
      </c>
      <c r="AM238" s="99">
        <v>0</v>
      </c>
      <c r="AN238" s="99"/>
      <c r="AO238" s="99">
        <v>0</v>
      </c>
      <c r="AP238" s="103">
        <f t="shared" si="163"/>
        <v>0</v>
      </c>
      <c r="AQ238" s="103" t="str">
        <f t="shared" si="152"/>
        <v/>
      </c>
      <c r="AR238" s="68" t="str">
        <f>IFERROR(VLOOKUP(A238,CUSTOMERS!$A:$B,2),"")</f>
        <v/>
      </c>
      <c r="AS238" s="68" t="str">
        <f>IFERROR(VLOOKUP(A238,CUSTOMERS!$A:$D,3),"")</f>
        <v/>
      </c>
      <c r="AT238" s="68" t="str">
        <f>IFERROR(VLOOKUP(A238,CUSTOMERS!$A:$F,6),"")</f>
        <v/>
      </c>
      <c r="AU238" s="69" t="str">
        <f>IFERROR(VLOOKUP(A238,CUSTOMERS!$A:$E,4),"")</f>
        <v/>
      </c>
      <c r="AV238" s="68" t="str">
        <f t="shared" si="170"/>
        <v/>
      </c>
      <c r="AX238" s="71" t="str">
        <f t="shared" si="167"/>
        <v>reason238</v>
      </c>
    </row>
    <row r="239" spans="1:50" ht="50.25" customHeight="1" thickTop="1" thickBot="1">
      <c r="A239" s="188"/>
      <c r="B239" s="125" t="str">
        <f t="shared" si="171"/>
        <v/>
      </c>
      <c r="C239" s="125"/>
      <c r="D239" s="126"/>
      <c r="E239" s="126"/>
      <c r="F239" s="122" t="str">
        <f t="shared" si="156"/>
        <v/>
      </c>
      <c r="G239" s="186"/>
      <c r="H239" s="124"/>
      <c r="I239" s="239"/>
      <c r="J239" s="80" t="str">
        <f t="shared" si="160"/>
        <v/>
      </c>
      <c r="K239" s="177">
        <f t="shared" si="166"/>
        <v>0</v>
      </c>
      <c r="L239" s="160"/>
      <c r="M239" s="161"/>
      <c r="N239" s="162"/>
      <c r="O239" s="162"/>
      <c r="P239" s="163"/>
      <c r="Q239" s="202"/>
      <c r="R239" s="204"/>
      <c r="S239" s="211"/>
      <c r="T239" s="211"/>
      <c r="U239" s="211"/>
      <c r="V239" s="211"/>
      <c r="W239" s="211"/>
      <c r="X239" s="154"/>
      <c r="Y239" s="173" t="str">
        <f t="shared" si="150"/>
        <v/>
      </c>
      <c r="Z239" s="83" t="str">
        <f t="shared" si="161"/>
        <v/>
      </c>
      <c r="AA239" s="84" t="str">
        <f t="shared" ref="AA239:AA302" si="172">IFERROR((AL239*AH239)*7.5,"")</f>
        <v/>
      </c>
      <c r="AB239" s="84" t="str">
        <f t="shared" ref="AB239:AB302" si="173">IFERROR((AM239*AH239)*7.5,"")</f>
        <v/>
      </c>
      <c r="AC239" s="84" t="str">
        <f t="shared" si="162"/>
        <v/>
      </c>
      <c r="AD239" s="84"/>
      <c r="AE239" s="84" t="str">
        <f t="shared" si="168"/>
        <v/>
      </c>
      <c r="AF239" s="84">
        <f t="shared" si="158"/>
        <v>0</v>
      </c>
      <c r="AG239" s="94" t="str">
        <f t="shared" si="169"/>
        <v/>
      </c>
      <c r="AH239" s="85" t="str">
        <f>IFERROR(VLOOKUP(A239,CUSTOMERS!$A:$E,4),"")</f>
        <v/>
      </c>
      <c r="AI239" s="86" t="str">
        <f t="shared" si="154"/>
        <v/>
      </c>
      <c r="AJ239" s="87" t="str">
        <f>IFERROR(VLOOKUP(A239,CUSTOMERS!$A:$F,5),"")</f>
        <v/>
      </c>
      <c r="AK239" s="98"/>
      <c r="AL239" s="98">
        <v>0</v>
      </c>
      <c r="AM239" s="99">
        <v>0</v>
      </c>
      <c r="AN239" s="99"/>
      <c r="AO239" s="99">
        <v>0</v>
      </c>
      <c r="AP239" s="103">
        <f t="shared" si="163"/>
        <v>0</v>
      </c>
      <c r="AQ239" s="103" t="str">
        <f t="shared" si="152"/>
        <v/>
      </c>
      <c r="AR239" s="68" t="str">
        <f>IFERROR(VLOOKUP(A239,CUSTOMERS!$A:$B,2),"")</f>
        <v/>
      </c>
      <c r="AS239" s="68" t="str">
        <f>IFERROR(VLOOKUP(A239,CUSTOMERS!$A:$D,3),"")</f>
        <v/>
      </c>
      <c r="AT239" s="68" t="str">
        <f>IFERROR(VLOOKUP(A239,CUSTOMERS!$A:$F,6),"")</f>
        <v/>
      </c>
      <c r="AU239" s="69" t="str">
        <f>IFERROR(VLOOKUP(A239,CUSTOMERS!$A:$E,4),"")</f>
        <v/>
      </c>
      <c r="AV239" s="68" t="str">
        <f t="shared" si="170"/>
        <v/>
      </c>
      <c r="AX239" s="71" t="str">
        <f t="shared" si="167"/>
        <v>reason239</v>
      </c>
    </row>
    <row r="240" spans="1:50" ht="50.25" customHeight="1" thickTop="1" thickBot="1">
      <c r="A240" s="188"/>
      <c r="B240" s="125" t="str">
        <f t="shared" si="171"/>
        <v/>
      </c>
      <c r="C240" s="125"/>
      <c r="D240" s="126"/>
      <c r="E240" s="126"/>
      <c r="F240" s="122" t="str">
        <f t="shared" si="156"/>
        <v/>
      </c>
      <c r="G240" s="186"/>
      <c r="H240" s="124"/>
      <c r="I240" s="239"/>
      <c r="J240" s="80" t="str">
        <f t="shared" si="160"/>
        <v/>
      </c>
      <c r="K240" s="177">
        <f t="shared" si="166"/>
        <v>0</v>
      </c>
      <c r="L240" s="160"/>
      <c r="M240" s="161"/>
      <c r="N240" s="162"/>
      <c r="O240" s="162"/>
      <c r="P240" s="163"/>
      <c r="Q240" s="202"/>
      <c r="R240" s="204"/>
      <c r="S240" s="211"/>
      <c r="T240" s="211"/>
      <c r="U240" s="211"/>
      <c r="V240" s="211"/>
      <c r="W240" s="211"/>
      <c r="X240" s="154"/>
      <c r="Y240" s="173" t="str">
        <f t="shared" ref="Y240:Y303" si="174">IFERROR(AF240+AG240,"")</f>
        <v/>
      </c>
      <c r="Z240" s="83" t="str">
        <f t="shared" si="161"/>
        <v/>
      </c>
      <c r="AA240" s="84" t="str">
        <f t="shared" si="172"/>
        <v/>
      </c>
      <c r="AB240" s="84" t="str">
        <f t="shared" si="173"/>
        <v/>
      </c>
      <c r="AC240" s="84" t="str">
        <f t="shared" si="162"/>
        <v/>
      </c>
      <c r="AD240" s="84"/>
      <c r="AE240" s="84" t="str">
        <f t="shared" si="168"/>
        <v/>
      </c>
      <c r="AF240" s="84">
        <f t="shared" si="158"/>
        <v>0</v>
      </c>
      <c r="AG240" s="94" t="str">
        <f t="shared" si="169"/>
        <v/>
      </c>
      <c r="AH240" s="85" t="str">
        <f>IFERROR(VLOOKUP(A240,CUSTOMERS!$A:$E,4),"")</f>
        <v/>
      </c>
      <c r="AI240" s="86" t="str">
        <f t="shared" si="154"/>
        <v/>
      </c>
      <c r="AJ240" s="87" t="str">
        <f>IFERROR(VLOOKUP(A240,CUSTOMERS!$A:$F,5),"")</f>
        <v/>
      </c>
      <c r="AK240" s="98"/>
      <c r="AL240" s="98">
        <v>0</v>
      </c>
      <c r="AM240" s="99">
        <v>0</v>
      </c>
      <c r="AN240" s="99"/>
      <c r="AO240" s="99">
        <v>0</v>
      </c>
      <c r="AP240" s="103">
        <f t="shared" si="163"/>
        <v>0</v>
      </c>
      <c r="AQ240" s="103" t="str">
        <f t="shared" si="152"/>
        <v/>
      </c>
      <c r="AR240" s="68" t="str">
        <f>IFERROR(VLOOKUP(A240,CUSTOMERS!$A:$B,2),"")</f>
        <v/>
      </c>
      <c r="AS240" s="68" t="str">
        <f>IFERROR(VLOOKUP(A240,CUSTOMERS!$A:$D,3),"")</f>
        <v/>
      </c>
      <c r="AT240" s="68" t="str">
        <f>IFERROR(VLOOKUP(A240,CUSTOMERS!$A:$F,6),"")</f>
        <v/>
      </c>
      <c r="AU240" s="69" t="str">
        <f>IFERROR(VLOOKUP(A240,CUSTOMERS!$A:$E,4),"")</f>
        <v/>
      </c>
      <c r="AV240" s="68" t="str">
        <f t="shared" si="170"/>
        <v/>
      </c>
      <c r="AX240" s="71" t="str">
        <f t="shared" si="167"/>
        <v>reason240</v>
      </c>
    </row>
    <row r="241" spans="1:50" ht="50.25" customHeight="1" thickTop="1" thickBot="1">
      <c r="A241" s="188"/>
      <c r="B241" s="125" t="str">
        <f t="shared" si="171"/>
        <v/>
      </c>
      <c r="C241" s="125"/>
      <c r="D241" s="126"/>
      <c r="E241" s="126"/>
      <c r="F241" s="122" t="str">
        <f t="shared" si="156"/>
        <v/>
      </c>
      <c r="G241" s="186"/>
      <c r="H241" s="124"/>
      <c r="I241" s="239"/>
      <c r="J241" s="80" t="str">
        <f t="shared" si="160"/>
        <v/>
      </c>
      <c r="K241" s="177">
        <f t="shared" si="166"/>
        <v>0</v>
      </c>
      <c r="L241" s="160"/>
      <c r="M241" s="161"/>
      <c r="N241" s="162"/>
      <c r="O241" s="162"/>
      <c r="P241" s="163"/>
      <c r="Q241" s="202"/>
      <c r="R241" s="204"/>
      <c r="S241" s="211"/>
      <c r="T241" s="211"/>
      <c r="U241" s="211"/>
      <c r="V241" s="211"/>
      <c r="W241" s="211"/>
      <c r="X241" s="154"/>
      <c r="Y241" s="173" t="str">
        <f t="shared" si="174"/>
        <v/>
      </c>
      <c r="Z241" s="83" t="str">
        <f t="shared" si="161"/>
        <v/>
      </c>
      <c r="AA241" s="84" t="str">
        <f t="shared" si="172"/>
        <v/>
      </c>
      <c r="AB241" s="84" t="str">
        <f t="shared" si="173"/>
        <v/>
      </c>
      <c r="AC241" s="84" t="str">
        <f t="shared" si="162"/>
        <v/>
      </c>
      <c r="AD241" s="84"/>
      <c r="AE241" s="84" t="str">
        <f t="shared" si="168"/>
        <v/>
      </c>
      <c r="AF241" s="84">
        <f t="shared" si="158"/>
        <v>0</v>
      </c>
      <c r="AG241" s="94" t="str">
        <f t="shared" si="169"/>
        <v/>
      </c>
      <c r="AH241" s="85" t="str">
        <f>IFERROR(VLOOKUP(A241,CUSTOMERS!$A:$E,4),"")</f>
        <v/>
      </c>
      <c r="AI241" s="86" t="str">
        <f t="shared" si="154"/>
        <v/>
      </c>
      <c r="AJ241" s="87" t="str">
        <f>IFERROR(VLOOKUP(A241,CUSTOMERS!$A:$F,5),"")</f>
        <v/>
      </c>
      <c r="AK241" s="98"/>
      <c r="AL241" s="98">
        <v>0</v>
      </c>
      <c r="AM241" s="99">
        <v>0</v>
      </c>
      <c r="AN241" s="99"/>
      <c r="AO241" s="99">
        <v>0</v>
      </c>
      <c r="AP241" s="103">
        <f t="shared" si="163"/>
        <v>0</v>
      </c>
      <c r="AQ241" s="103" t="str">
        <f t="shared" si="152"/>
        <v/>
      </c>
      <c r="AR241" s="68" t="str">
        <f>IFERROR(VLOOKUP(A241,CUSTOMERS!$A:$B,2),"")</f>
        <v/>
      </c>
      <c r="AS241" s="68" t="str">
        <f>IFERROR(VLOOKUP(A241,CUSTOMERS!$A:$D,3),"")</f>
        <v/>
      </c>
      <c r="AT241" s="68" t="str">
        <f>IFERROR(VLOOKUP(A241,CUSTOMERS!$A:$F,6),"")</f>
        <v/>
      </c>
      <c r="AU241" s="69" t="str">
        <f>IFERROR(VLOOKUP(A241,CUSTOMERS!$A:$E,4),"")</f>
        <v/>
      </c>
      <c r="AV241" s="68" t="str">
        <f t="shared" si="170"/>
        <v/>
      </c>
      <c r="AX241" s="71" t="str">
        <f t="shared" si="167"/>
        <v>reason241</v>
      </c>
    </row>
    <row r="242" spans="1:50" ht="50.25" customHeight="1" thickTop="1" thickBot="1">
      <c r="A242" s="188"/>
      <c r="B242" s="125" t="str">
        <f t="shared" si="171"/>
        <v/>
      </c>
      <c r="C242" s="125"/>
      <c r="D242" s="126"/>
      <c r="E242" s="126"/>
      <c r="F242" s="122" t="str">
        <f t="shared" si="156"/>
        <v/>
      </c>
      <c r="G242" s="186"/>
      <c r="H242" s="124"/>
      <c r="I242" s="239"/>
      <c r="J242" s="80" t="str">
        <f t="shared" si="160"/>
        <v/>
      </c>
      <c r="K242" s="177">
        <f t="shared" si="166"/>
        <v>0</v>
      </c>
      <c r="L242" s="160"/>
      <c r="M242" s="161"/>
      <c r="N242" s="162"/>
      <c r="O242" s="162"/>
      <c r="P242" s="163"/>
      <c r="Q242" s="202"/>
      <c r="R242" s="204"/>
      <c r="S242" s="211"/>
      <c r="T242" s="211"/>
      <c r="U242" s="211"/>
      <c r="V242" s="211"/>
      <c r="W242" s="211"/>
      <c r="X242" s="154"/>
      <c r="Y242" s="173" t="str">
        <f t="shared" si="174"/>
        <v/>
      </c>
      <c r="Z242" s="83" t="str">
        <f t="shared" si="161"/>
        <v/>
      </c>
      <c r="AA242" s="84" t="str">
        <f t="shared" si="172"/>
        <v/>
      </c>
      <c r="AB242" s="84" t="str">
        <f t="shared" si="173"/>
        <v/>
      </c>
      <c r="AC242" s="84" t="str">
        <f t="shared" si="162"/>
        <v/>
      </c>
      <c r="AD242" s="84"/>
      <c r="AE242" s="84" t="str">
        <f t="shared" si="168"/>
        <v/>
      </c>
      <c r="AF242" s="84">
        <f t="shared" ref="AF242:AF273" si="175">IFERROR(SUM(Z242:AE242),"")</f>
        <v>0</v>
      </c>
      <c r="AG242" s="94" t="str">
        <f t="shared" si="169"/>
        <v/>
      </c>
      <c r="AH242" s="85" t="str">
        <f>IFERROR(VLOOKUP(A242,CUSTOMERS!$A:$E,4),"")</f>
        <v/>
      </c>
      <c r="AI242" s="86" t="str">
        <f t="shared" si="154"/>
        <v/>
      </c>
      <c r="AJ242" s="87" t="str">
        <f>IFERROR(VLOOKUP(A242,CUSTOMERS!$A:$F,5),"")</f>
        <v/>
      </c>
      <c r="AK242" s="98"/>
      <c r="AL242" s="98">
        <v>0</v>
      </c>
      <c r="AM242" s="99">
        <v>0</v>
      </c>
      <c r="AN242" s="99"/>
      <c r="AO242" s="99">
        <v>0</v>
      </c>
      <c r="AP242" s="103">
        <f t="shared" si="163"/>
        <v>0</v>
      </c>
      <c r="AQ242" s="103" t="str">
        <f t="shared" si="152"/>
        <v/>
      </c>
      <c r="AR242" s="68" t="str">
        <f>IFERROR(VLOOKUP(A242,CUSTOMERS!$A:$B,2),"")</f>
        <v/>
      </c>
      <c r="AS242" s="68" t="str">
        <f>IFERROR(VLOOKUP(A242,CUSTOMERS!$A:$D,3),"")</f>
        <v/>
      </c>
      <c r="AT242" s="68" t="str">
        <f>IFERROR(VLOOKUP(A242,CUSTOMERS!$A:$F,6),"")</f>
        <v/>
      </c>
      <c r="AU242" s="69" t="str">
        <f>IFERROR(VLOOKUP(A242,CUSTOMERS!$A:$E,4),"")</f>
        <v/>
      </c>
      <c r="AV242" s="68" t="str">
        <f t="shared" si="170"/>
        <v/>
      </c>
      <c r="AX242" s="71" t="str">
        <f t="shared" si="167"/>
        <v>reason242</v>
      </c>
    </row>
    <row r="243" spans="1:50" ht="50.25" customHeight="1" thickTop="1" thickBot="1">
      <c r="A243" s="188"/>
      <c r="B243" s="125" t="str">
        <f t="shared" si="171"/>
        <v/>
      </c>
      <c r="C243" s="125"/>
      <c r="D243" s="126"/>
      <c r="E243" s="126"/>
      <c r="F243" s="122" t="str">
        <f t="shared" si="156"/>
        <v/>
      </c>
      <c r="G243" s="186"/>
      <c r="H243" s="124"/>
      <c r="I243" s="239"/>
      <c r="J243" s="80" t="str">
        <f t="shared" si="160"/>
        <v/>
      </c>
      <c r="K243" s="177">
        <f t="shared" si="166"/>
        <v>0</v>
      </c>
      <c r="L243" s="160"/>
      <c r="M243" s="161"/>
      <c r="N243" s="162"/>
      <c r="O243" s="162"/>
      <c r="P243" s="163"/>
      <c r="Q243" s="202"/>
      <c r="R243" s="204"/>
      <c r="S243" s="211"/>
      <c r="T243" s="211"/>
      <c r="U243" s="211"/>
      <c r="V243" s="211"/>
      <c r="W243" s="211"/>
      <c r="X243" s="154"/>
      <c r="Y243" s="173" t="str">
        <f t="shared" si="174"/>
        <v/>
      </c>
      <c r="Z243" s="83" t="str">
        <f t="shared" si="161"/>
        <v/>
      </c>
      <c r="AA243" s="84" t="str">
        <f t="shared" si="172"/>
        <v/>
      </c>
      <c r="AB243" s="84" t="str">
        <f t="shared" si="173"/>
        <v/>
      </c>
      <c r="AC243" s="84" t="str">
        <f t="shared" si="162"/>
        <v/>
      </c>
      <c r="AD243" s="84"/>
      <c r="AE243" s="84" t="str">
        <f t="shared" si="168"/>
        <v/>
      </c>
      <c r="AF243" s="84">
        <f t="shared" si="175"/>
        <v>0</v>
      </c>
      <c r="AG243" s="94" t="str">
        <f t="shared" si="169"/>
        <v/>
      </c>
      <c r="AH243" s="85" t="str">
        <f>IFERROR(VLOOKUP(A243,CUSTOMERS!$A:$E,4),"")</f>
        <v/>
      </c>
      <c r="AI243" s="86" t="str">
        <f t="shared" si="154"/>
        <v/>
      </c>
      <c r="AJ243" s="87" t="str">
        <f>IFERROR(VLOOKUP(A243,CUSTOMERS!$A:$F,5),"")</f>
        <v/>
      </c>
      <c r="AK243" s="98"/>
      <c r="AL243" s="98">
        <v>0</v>
      </c>
      <c r="AM243" s="99">
        <v>0</v>
      </c>
      <c r="AN243" s="99"/>
      <c r="AO243" s="99">
        <v>0</v>
      </c>
      <c r="AP243" s="103">
        <f t="shared" si="163"/>
        <v>0</v>
      </c>
      <c r="AQ243" s="103" t="str">
        <f t="shared" si="152"/>
        <v/>
      </c>
      <c r="AR243" s="68" t="str">
        <f>IFERROR(VLOOKUP(A243,CUSTOMERS!$A:$B,2),"")</f>
        <v/>
      </c>
      <c r="AS243" s="68" t="str">
        <f>IFERROR(VLOOKUP(A243,CUSTOMERS!$A:$D,3),"")</f>
        <v/>
      </c>
      <c r="AT243" s="68" t="str">
        <f>IFERROR(VLOOKUP(A243,CUSTOMERS!$A:$F,6),"")</f>
        <v/>
      </c>
      <c r="AU243" s="69" t="str">
        <f>IFERROR(VLOOKUP(A243,CUSTOMERS!$A:$E,4),"")</f>
        <v/>
      </c>
      <c r="AV243" s="68" t="str">
        <f t="shared" si="170"/>
        <v/>
      </c>
      <c r="AX243" s="71" t="str">
        <f t="shared" si="167"/>
        <v>reason243</v>
      </c>
    </row>
    <row r="244" spans="1:50" ht="50.25" customHeight="1" thickTop="1" thickBot="1">
      <c r="A244" s="188"/>
      <c r="B244" s="125" t="str">
        <f t="shared" si="171"/>
        <v/>
      </c>
      <c r="C244" s="125"/>
      <c r="D244" s="126"/>
      <c r="E244" s="126"/>
      <c r="F244" s="122" t="str">
        <f t="shared" si="156"/>
        <v/>
      </c>
      <c r="G244" s="186"/>
      <c r="H244" s="124"/>
      <c r="I244" s="239"/>
      <c r="J244" s="80" t="str">
        <f t="shared" si="160"/>
        <v/>
      </c>
      <c r="K244" s="177">
        <f t="shared" si="166"/>
        <v>0</v>
      </c>
      <c r="L244" s="160"/>
      <c r="M244" s="161"/>
      <c r="N244" s="162"/>
      <c r="O244" s="162"/>
      <c r="P244" s="163"/>
      <c r="Q244" s="202"/>
      <c r="R244" s="204"/>
      <c r="S244" s="211"/>
      <c r="T244" s="211"/>
      <c r="U244" s="211"/>
      <c r="V244" s="211"/>
      <c r="W244" s="211"/>
      <c r="X244" s="154"/>
      <c r="Y244" s="173" t="str">
        <f t="shared" si="174"/>
        <v/>
      </c>
      <c r="Z244" s="83" t="str">
        <f t="shared" si="161"/>
        <v/>
      </c>
      <c r="AA244" s="84" t="str">
        <f t="shared" si="172"/>
        <v/>
      </c>
      <c r="AB244" s="84" t="str">
        <f t="shared" si="173"/>
        <v/>
      </c>
      <c r="AC244" s="84" t="str">
        <f t="shared" si="162"/>
        <v/>
      </c>
      <c r="AD244" s="84"/>
      <c r="AE244" s="84" t="str">
        <f t="shared" si="168"/>
        <v/>
      </c>
      <c r="AF244" s="84">
        <f t="shared" si="175"/>
        <v>0</v>
      </c>
      <c r="AG244" s="94" t="str">
        <f t="shared" si="169"/>
        <v/>
      </c>
      <c r="AH244" s="85" t="str">
        <f>IFERROR(VLOOKUP(A244,CUSTOMERS!$A:$E,4),"")</f>
        <v/>
      </c>
      <c r="AI244" s="86" t="str">
        <f t="shared" si="154"/>
        <v/>
      </c>
      <c r="AJ244" s="87" t="str">
        <f>IFERROR(VLOOKUP(A244,CUSTOMERS!$A:$F,5),"")</f>
        <v/>
      </c>
      <c r="AK244" s="98"/>
      <c r="AL244" s="98">
        <v>0</v>
      </c>
      <c r="AM244" s="99">
        <v>0</v>
      </c>
      <c r="AN244" s="99"/>
      <c r="AO244" s="99">
        <v>0</v>
      </c>
      <c r="AP244" s="103">
        <f t="shared" si="163"/>
        <v>0</v>
      </c>
      <c r="AQ244" s="103" t="str">
        <f t="shared" si="152"/>
        <v/>
      </c>
      <c r="AR244" s="68" t="str">
        <f>IFERROR(VLOOKUP(A244,CUSTOMERS!$A:$B,2),"")</f>
        <v/>
      </c>
      <c r="AS244" s="68" t="str">
        <f>IFERROR(VLOOKUP(A244,CUSTOMERS!$A:$D,3),"")</f>
        <v/>
      </c>
      <c r="AT244" s="68" t="str">
        <f>IFERROR(VLOOKUP(A244,CUSTOMERS!$A:$F,6),"")</f>
        <v/>
      </c>
      <c r="AU244" s="69" t="str">
        <f>IFERROR(VLOOKUP(A244,CUSTOMERS!$A:$E,4),"")</f>
        <v/>
      </c>
      <c r="AV244" s="68" t="str">
        <f t="shared" si="170"/>
        <v/>
      </c>
      <c r="AX244" s="71" t="str">
        <f t="shared" si="167"/>
        <v>reason244</v>
      </c>
    </row>
    <row r="245" spans="1:50" ht="50.25" customHeight="1" thickTop="1" thickBot="1">
      <c r="A245" s="188"/>
      <c r="B245" s="125" t="str">
        <f t="shared" si="171"/>
        <v/>
      </c>
      <c r="C245" s="125"/>
      <c r="D245" s="126"/>
      <c r="E245" s="126"/>
      <c r="F245" s="122" t="str">
        <f t="shared" si="156"/>
        <v/>
      </c>
      <c r="G245" s="186"/>
      <c r="H245" s="124"/>
      <c r="I245" s="239"/>
      <c r="J245" s="80" t="str">
        <f t="shared" si="160"/>
        <v/>
      </c>
      <c r="K245" s="177">
        <f t="shared" si="166"/>
        <v>0</v>
      </c>
      <c r="L245" s="160"/>
      <c r="M245" s="161"/>
      <c r="N245" s="162"/>
      <c r="O245" s="162"/>
      <c r="P245" s="163"/>
      <c r="Q245" s="202"/>
      <c r="R245" s="204"/>
      <c r="S245" s="211"/>
      <c r="T245" s="211"/>
      <c r="U245" s="211"/>
      <c r="V245" s="211"/>
      <c r="W245" s="211"/>
      <c r="X245" s="154"/>
      <c r="Y245" s="173" t="str">
        <f t="shared" si="174"/>
        <v/>
      </c>
      <c r="Z245" s="83" t="str">
        <f t="shared" si="161"/>
        <v/>
      </c>
      <c r="AA245" s="84" t="str">
        <f t="shared" si="172"/>
        <v/>
      </c>
      <c r="AB245" s="84" t="str">
        <f t="shared" si="173"/>
        <v/>
      </c>
      <c r="AC245" s="84" t="str">
        <f t="shared" si="162"/>
        <v/>
      </c>
      <c r="AD245" s="84"/>
      <c r="AE245" s="84" t="str">
        <f t="shared" si="168"/>
        <v/>
      </c>
      <c r="AF245" s="84">
        <f t="shared" si="175"/>
        <v>0</v>
      </c>
      <c r="AG245" s="94" t="str">
        <f t="shared" si="169"/>
        <v/>
      </c>
      <c r="AH245" s="85" t="str">
        <f>IFERROR(VLOOKUP(A245,CUSTOMERS!$A:$E,4),"")</f>
        <v/>
      </c>
      <c r="AI245" s="86" t="str">
        <f t="shared" si="154"/>
        <v/>
      </c>
      <c r="AJ245" s="87" t="str">
        <f>IFERROR(VLOOKUP(A245,CUSTOMERS!$A:$F,5),"")</f>
        <v/>
      </c>
      <c r="AK245" s="98"/>
      <c r="AL245" s="98">
        <v>0</v>
      </c>
      <c r="AM245" s="99">
        <v>0</v>
      </c>
      <c r="AN245" s="99"/>
      <c r="AO245" s="99">
        <v>0</v>
      </c>
      <c r="AP245" s="103">
        <f t="shared" si="163"/>
        <v>0</v>
      </c>
      <c r="AQ245" s="103" t="str">
        <f t="shared" ref="AQ245:AQ308" si="176">IFERROR(AP245*AJ245,"")</f>
        <v/>
      </c>
      <c r="AR245" s="68" t="str">
        <f>IFERROR(VLOOKUP(A245,CUSTOMERS!$A:$B,2),"")</f>
        <v/>
      </c>
      <c r="AS245" s="68" t="str">
        <f>IFERROR(VLOOKUP(A245,CUSTOMERS!$A:$D,3),"")</f>
        <v/>
      </c>
      <c r="AT245" s="68" t="str">
        <f>IFERROR(VLOOKUP(A245,CUSTOMERS!$A:$F,6),"")</f>
        <v/>
      </c>
      <c r="AU245" s="69" t="str">
        <f>IFERROR(VLOOKUP(A245,CUSTOMERS!$A:$E,4),"")</f>
        <v/>
      </c>
      <c r="AV245" s="68" t="str">
        <f t="shared" si="170"/>
        <v/>
      </c>
      <c r="AX245" s="71" t="str">
        <f t="shared" si="167"/>
        <v>reason245</v>
      </c>
    </row>
    <row r="246" spans="1:50" ht="50.25" customHeight="1" thickTop="1" thickBot="1">
      <c r="A246" s="188"/>
      <c r="B246" s="125" t="str">
        <f t="shared" si="171"/>
        <v/>
      </c>
      <c r="C246" s="125"/>
      <c r="D246" s="126"/>
      <c r="E246" s="126"/>
      <c r="F246" s="122" t="str">
        <f t="shared" si="156"/>
        <v/>
      </c>
      <c r="G246" s="186"/>
      <c r="H246" s="124"/>
      <c r="I246" s="239"/>
      <c r="J246" s="80" t="str">
        <f t="shared" si="160"/>
        <v/>
      </c>
      <c r="K246" s="177">
        <f t="shared" si="166"/>
        <v>0</v>
      </c>
      <c r="L246" s="160"/>
      <c r="M246" s="161"/>
      <c r="N246" s="162"/>
      <c r="O246" s="162"/>
      <c r="P246" s="163"/>
      <c r="Q246" s="202"/>
      <c r="R246" s="204"/>
      <c r="S246" s="211"/>
      <c r="T246" s="211"/>
      <c r="U246" s="211"/>
      <c r="V246" s="211"/>
      <c r="W246" s="211"/>
      <c r="X246" s="154"/>
      <c r="Y246" s="173" t="str">
        <f t="shared" si="174"/>
        <v/>
      </c>
      <c r="Z246" s="83" t="str">
        <f t="shared" si="161"/>
        <v/>
      </c>
      <c r="AA246" s="84" t="str">
        <f t="shared" si="172"/>
        <v/>
      </c>
      <c r="AB246" s="84" t="str">
        <f t="shared" si="173"/>
        <v/>
      </c>
      <c r="AC246" s="84" t="str">
        <f t="shared" si="162"/>
        <v/>
      </c>
      <c r="AD246" s="84"/>
      <c r="AE246" s="84" t="str">
        <f t="shared" si="168"/>
        <v/>
      </c>
      <c r="AF246" s="84">
        <f t="shared" si="175"/>
        <v>0</v>
      </c>
      <c r="AG246" s="94" t="str">
        <f t="shared" si="169"/>
        <v/>
      </c>
      <c r="AH246" s="85" t="str">
        <f>IFERROR(VLOOKUP(A246,CUSTOMERS!$A:$E,4),"")</f>
        <v/>
      </c>
      <c r="AI246" s="86" t="str">
        <f t="shared" si="154"/>
        <v/>
      </c>
      <c r="AJ246" s="87" t="str">
        <f>IFERROR(VLOOKUP(A246,CUSTOMERS!$A:$F,5),"")</f>
        <v/>
      </c>
      <c r="AK246" s="98"/>
      <c r="AL246" s="98">
        <v>0</v>
      </c>
      <c r="AM246" s="99">
        <v>0</v>
      </c>
      <c r="AN246" s="99"/>
      <c r="AO246" s="99">
        <v>0</v>
      </c>
      <c r="AP246" s="103">
        <f t="shared" si="163"/>
        <v>0</v>
      </c>
      <c r="AQ246" s="103" t="str">
        <f t="shared" si="176"/>
        <v/>
      </c>
      <c r="AR246" s="68" t="str">
        <f>IFERROR(VLOOKUP(A246,CUSTOMERS!$A:$B,2),"")</f>
        <v/>
      </c>
      <c r="AS246" s="68" t="str">
        <f>IFERROR(VLOOKUP(A246,CUSTOMERS!$A:$D,3),"")</f>
        <v/>
      </c>
      <c r="AT246" s="68" t="str">
        <f>IFERROR(VLOOKUP(A246,CUSTOMERS!$A:$F,6),"")</f>
        <v/>
      </c>
      <c r="AU246" s="69" t="str">
        <f>IFERROR(VLOOKUP(A246,CUSTOMERS!$A:$E,4),"")</f>
        <v/>
      </c>
      <c r="AV246" s="68" t="str">
        <f t="shared" si="170"/>
        <v/>
      </c>
      <c r="AX246" s="71" t="str">
        <f t="shared" si="167"/>
        <v>reason246</v>
      </c>
    </row>
    <row r="247" spans="1:50" ht="50.25" customHeight="1" thickTop="1" thickBot="1">
      <c r="A247" s="188"/>
      <c r="B247" s="125" t="str">
        <f t="shared" si="171"/>
        <v/>
      </c>
      <c r="C247" s="125"/>
      <c r="D247" s="126"/>
      <c r="E247" s="126"/>
      <c r="F247" s="122" t="str">
        <f t="shared" si="156"/>
        <v/>
      </c>
      <c r="G247" s="186"/>
      <c r="H247" s="124"/>
      <c r="I247" s="239"/>
      <c r="J247" s="80" t="str">
        <f t="shared" si="160"/>
        <v/>
      </c>
      <c r="K247" s="177">
        <f t="shared" ref="K247:K278" si="177">MAX(L247:R247)</f>
        <v>0</v>
      </c>
      <c r="L247" s="160"/>
      <c r="M247" s="161"/>
      <c r="N247" s="162"/>
      <c r="O247" s="162"/>
      <c r="P247" s="163"/>
      <c r="Q247" s="202"/>
      <c r="R247" s="204"/>
      <c r="S247" s="211"/>
      <c r="T247" s="211"/>
      <c r="U247" s="211"/>
      <c r="V247" s="211"/>
      <c r="W247" s="211"/>
      <c r="X247" s="154"/>
      <c r="Y247" s="173" t="str">
        <f t="shared" si="174"/>
        <v/>
      </c>
      <c r="Z247" s="83" t="str">
        <f t="shared" si="161"/>
        <v/>
      </c>
      <c r="AA247" s="84" t="str">
        <f t="shared" si="172"/>
        <v/>
      </c>
      <c r="AB247" s="84" t="str">
        <f t="shared" si="173"/>
        <v/>
      </c>
      <c r="AC247" s="84" t="str">
        <f t="shared" si="162"/>
        <v/>
      </c>
      <c r="AD247" s="84"/>
      <c r="AE247" s="84" t="str">
        <f t="shared" si="168"/>
        <v/>
      </c>
      <c r="AF247" s="84">
        <f t="shared" si="175"/>
        <v>0</v>
      </c>
      <c r="AG247" s="94" t="str">
        <f t="shared" si="169"/>
        <v/>
      </c>
      <c r="AH247" s="85" t="str">
        <f>IFERROR(VLOOKUP(A247,CUSTOMERS!$A:$E,4),"")</f>
        <v/>
      </c>
      <c r="AI247" s="86" t="str">
        <f t="shared" si="154"/>
        <v/>
      </c>
      <c r="AJ247" s="87" t="str">
        <f>IFERROR(VLOOKUP(A247,CUSTOMERS!$A:$F,5),"")</f>
        <v/>
      </c>
      <c r="AK247" s="98"/>
      <c r="AL247" s="98">
        <v>0</v>
      </c>
      <c r="AM247" s="99">
        <v>0</v>
      </c>
      <c r="AN247" s="99"/>
      <c r="AO247" s="99">
        <v>0</v>
      </c>
      <c r="AP247" s="103">
        <f t="shared" si="163"/>
        <v>0</v>
      </c>
      <c r="AQ247" s="103" t="str">
        <f t="shared" si="176"/>
        <v/>
      </c>
      <c r="AR247" s="68" t="str">
        <f>IFERROR(VLOOKUP(A247,CUSTOMERS!$A:$B,2),"")</f>
        <v/>
      </c>
      <c r="AS247" s="68" t="str">
        <f>IFERROR(VLOOKUP(A247,CUSTOMERS!$A:$D,3),"")</f>
        <v/>
      </c>
      <c r="AT247" s="68" t="str">
        <f>IFERROR(VLOOKUP(A247,CUSTOMERS!$A:$F,6),"")</f>
        <v/>
      </c>
      <c r="AU247" s="69" t="str">
        <f>IFERROR(VLOOKUP(A247,CUSTOMERS!$A:$E,4),"")</f>
        <v/>
      </c>
      <c r="AV247" s="68" t="str">
        <f t="shared" si="170"/>
        <v/>
      </c>
      <c r="AX247" s="71" t="str">
        <f t="shared" si="167"/>
        <v>reason247</v>
      </c>
    </row>
    <row r="248" spans="1:50" ht="50.25" customHeight="1" thickTop="1" thickBot="1">
      <c r="A248" s="188"/>
      <c r="B248" s="125" t="str">
        <f t="shared" si="171"/>
        <v/>
      </c>
      <c r="C248" s="125"/>
      <c r="D248" s="126"/>
      <c r="E248" s="126"/>
      <c r="F248" s="122" t="str">
        <f t="shared" si="156"/>
        <v/>
      </c>
      <c r="G248" s="186"/>
      <c r="H248" s="124"/>
      <c r="I248" s="239"/>
      <c r="J248" s="80" t="str">
        <f t="shared" si="160"/>
        <v/>
      </c>
      <c r="K248" s="177">
        <f t="shared" si="177"/>
        <v>0</v>
      </c>
      <c r="L248" s="160"/>
      <c r="M248" s="161"/>
      <c r="N248" s="162"/>
      <c r="O248" s="162"/>
      <c r="P248" s="163"/>
      <c r="Q248" s="202"/>
      <c r="R248" s="204"/>
      <c r="S248" s="211"/>
      <c r="T248" s="211"/>
      <c r="U248" s="211"/>
      <c r="V248" s="211"/>
      <c r="W248" s="211"/>
      <c r="X248" s="154"/>
      <c r="Y248" s="173" t="str">
        <f t="shared" si="174"/>
        <v/>
      </c>
      <c r="Z248" s="83" t="str">
        <f t="shared" si="161"/>
        <v/>
      </c>
      <c r="AA248" s="84" t="str">
        <f t="shared" si="172"/>
        <v/>
      </c>
      <c r="AB248" s="84" t="str">
        <f t="shared" si="173"/>
        <v/>
      </c>
      <c r="AC248" s="84" t="str">
        <f t="shared" si="162"/>
        <v/>
      </c>
      <c r="AD248" s="84"/>
      <c r="AE248" s="84" t="str">
        <f t="shared" si="168"/>
        <v/>
      </c>
      <c r="AF248" s="84">
        <f t="shared" si="175"/>
        <v>0</v>
      </c>
      <c r="AG248" s="94" t="str">
        <f t="shared" si="169"/>
        <v/>
      </c>
      <c r="AH248" s="85" t="str">
        <f>IFERROR(VLOOKUP(A248,CUSTOMERS!$A:$E,4),"")</f>
        <v/>
      </c>
      <c r="AI248" s="86" t="str">
        <f t="shared" ref="AI248:AI311" si="178">AV248</f>
        <v/>
      </c>
      <c r="AJ248" s="87" t="str">
        <f>IFERROR(VLOOKUP(A248,CUSTOMERS!$A:$F,5),"")</f>
        <v/>
      </c>
      <c r="AK248" s="98"/>
      <c r="AL248" s="98">
        <v>0</v>
      </c>
      <c r="AM248" s="99">
        <v>0</v>
      </c>
      <c r="AN248" s="99"/>
      <c r="AO248" s="99">
        <v>0</v>
      </c>
      <c r="AP248" s="103">
        <f t="shared" si="163"/>
        <v>0</v>
      </c>
      <c r="AQ248" s="103" t="str">
        <f t="shared" si="176"/>
        <v/>
      </c>
      <c r="AR248" s="68" t="str">
        <f>IFERROR(VLOOKUP(A248,CUSTOMERS!$A:$B,2),"")</f>
        <v/>
      </c>
      <c r="AS248" s="68" t="str">
        <f>IFERROR(VLOOKUP(A248,CUSTOMERS!$A:$D,3),"")</f>
        <v/>
      </c>
      <c r="AT248" s="68" t="str">
        <f>IFERROR(VLOOKUP(A248,CUSTOMERS!$A:$F,6),"")</f>
        <v/>
      </c>
      <c r="AU248" s="69" t="str">
        <f>IFERROR(VLOOKUP(A248,CUSTOMERS!$A:$E,4),"")</f>
        <v/>
      </c>
      <c r="AV248" s="68" t="str">
        <f t="shared" si="170"/>
        <v/>
      </c>
      <c r="AX248" s="71" t="str">
        <f t="shared" si="167"/>
        <v>reason248</v>
      </c>
    </row>
    <row r="249" spans="1:50" ht="50.25" customHeight="1" thickTop="1" thickBot="1">
      <c r="A249" s="188"/>
      <c r="B249" s="125" t="str">
        <f t="shared" si="171"/>
        <v/>
      </c>
      <c r="C249" s="125"/>
      <c r="D249" s="126"/>
      <c r="E249" s="126"/>
      <c r="F249" s="122" t="str">
        <f t="shared" si="156"/>
        <v/>
      </c>
      <c r="G249" s="186"/>
      <c r="H249" s="124"/>
      <c r="I249" s="239"/>
      <c r="J249" s="80" t="str">
        <f t="shared" si="160"/>
        <v/>
      </c>
      <c r="K249" s="177">
        <f t="shared" si="177"/>
        <v>0</v>
      </c>
      <c r="L249" s="160"/>
      <c r="M249" s="161"/>
      <c r="N249" s="162"/>
      <c r="O249" s="162"/>
      <c r="P249" s="163"/>
      <c r="Q249" s="202"/>
      <c r="R249" s="204"/>
      <c r="S249" s="211"/>
      <c r="T249" s="211"/>
      <c r="U249" s="211"/>
      <c r="V249" s="211"/>
      <c r="W249" s="211"/>
      <c r="X249" s="154"/>
      <c r="Y249" s="173" t="str">
        <f t="shared" si="174"/>
        <v/>
      </c>
      <c r="Z249" s="83" t="str">
        <f t="shared" si="161"/>
        <v/>
      </c>
      <c r="AA249" s="84" t="str">
        <f t="shared" si="172"/>
        <v/>
      </c>
      <c r="AB249" s="84" t="str">
        <f t="shared" si="173"/>
        <v/>
      </c>
      <c r="AC249" s="84" t="str">
        <f t="shared" si="162"/>
        <v/>
      </c>
      <c r="AD249" s="84"/>
      <c r="AE249" s="84" t="str">
        <f t="shared" si="168"/>
        <v/>
      </c>
      <c r="AF249" s="84">
        <f t="shared" si="175"/>
        <v>0</v>
      </c>
      <c r="AG249" s="94" t="str">
        <f t="shared" si="169"/>
        <v/>
      </c>
      <c r="AH249" s="85" t="str">
        <f>IFERROR(VLOOKUP(A249,CUSTOMERS!$A:$E,4),"")</f>
        <v/>
      </c>
      <c r="AI249" s="86" t="str">
        <f t="shared" si="178"/>
        <v/>
      </c>
      <c r="AJ249" s="87" t="str">
        <f>IFERROR(VLOOKUP(A249,CUSTOMERS!$A:$F,5),"")</f>
        <v/>
      </c>
      <c r="AK249" s="98"/>
      <c r="AL249" s="98">
        <v>0</v>
      </c>
      <c r="AM249" s="99">
        <v>0</v>
      </c>
      <c r="AN249" s="99"/>
      <c r="AO249" s="99">
        <v>0</v>
      </c>
      <c r="AP249" s="103">
        <f t="shared" si="163"/>
        <v>0</v>
      </c>
      <c r="AQ249" s="103" t="str">
        <f t="shared" si="176"/>
        <v/>
      </c>
      <c r="AR249" s="68" t="str">
        <f>IFERROR(VLOOKUP(A249,CUSTOMERS!$A:$B,2),"")</f>
        <v/>
      </c>
      <c r="AS249" s="68" t="str">
        <f>IFERROR(VLOOKUP(A249,CUSTOMERS!$A:$D,3),"")</f>
        <v/>
      </c>
      <c r="AT249" s="68" t="str">
        <f>IFERROR(VLOOKUP(A249,CUSTOMERS!$A:$F,6),"")</f>
        <v/>
      </c>
      <c r="AU249" s="69" t="str">
        <f>IFERROR(VLOOKUP(A249,CUSTOMERS!$A:$E,4),"")</f>
        <v/>
      </c>
      <c r="AV249" s="68" t="str">
        <f t="shared" si="170"/>
        <v/>
      </c>
      <c r="AX249" s="71" t="str">
        <f t="shared" si="167"/>
        <v>reason249</v>
      </c>
    </row>
    <row r="250" spans="1:50" ht="50.25" customHeight="1" thickTop="1" thickBot="1">
      <c r="A250" s="188"/>
      <c r="B250" s="125" t="str">
        <f t="shared" si="171"/>
        <v/>
      </c>
      <c r="C250" s="125"/>
      <c r="D250" s="126"/>
      <c r="E250" s="126"/>
      <c r="F250" s="122" t="str">
        <f t="shared" si="156"/>
        <v/>
      </c>
      <c r="G250" s="186"/>
      <c r="H250" s="124"/>
      <c r="I250" s="239"/>
      <c r="J250" s="80" t="str">
        <f t="shared" si="160"/>
        <v/>
      </c>
      <c r="K250" s="177">
        <f t="shared" si="177"/>
        <v>0</v>
      </c>
      <c r="L250" s="160"/>
      <c r="M250" s="161"/>
      <c r="N250" s="162"/>
      <c r="O250" s="162"/>
      <c r="P250" s="163"/>
      <c r="Q250" s="202"/>
      <c r="R250" s="204"/>
      <c r="S250" s="211"/>
      <c r="T250" s="211"/>
      <c r="U250" s="211"/>
      <c r="V250" s="211"/>
      <c r="W250" s="211"/>
      <c r="X250" s="154"/>
      <c r="Y250" s="173" t="str">
        <f t="shared" si="174"/>
        <v/>
      </c>
      <c r="Z250" s="83" t="str">
        <f t="shared" si="161"/>
        <v/>
      </c>
      <c r="AA250" s="84" t="str">
        <f t="shared" si="172"/>
        <v/>
      </c>
      <c r="AB250" s="84" t="str">
        <f t="shared" si="173"/>
        <v/>
      </c>
      <c r="AC250" s="84" t="str">
        <f t="shared" si="162"/>
        <v/>
      </c>
      <c r="AD250" s="84"/>
      <c r="AE250" s="84" t="str">
        <f t="shared" si="168"/>
        <v/>
      </c>
      <c r="AF250" s="84">
        <f t="shared" si="175"/>
        <v>0</v>
      </c>
      <c r="AG250" s="94" t="str">
        <f t="shared" si="169"/>
        <v/>
      </c>
      <c r="AH250" s="85" t="str">
        <f>IFERROR(VLOOKUP(A250,CUSTOMERS!$A:$E,4),"")</f>
        <v/>
      </c>
      <c r="AI250" s="86" t="str">
        <f t="shared" si="178"/>
        <v/>
      </c>
      <c r="AJ250" s="87" t="str">
        <f>IFERROR(VLOOKUP(A250,CUSTOMERS!$A:$F,5),"")</f>
        <v/>
      </c>
      <c r="AK250" s="98"/>
      <c r="AL250" s="98">
        <v>0</v>
      </c>
      <c r="AM250" s="99">
        <v>0</v>
      </c>
      <c r="AN250" s="99"/>
      <c r="AO250" s="99">
        <v>0</v>
      </c>
      <c r="AP250" s="103">
        <f t="shared" si="163"/>
        <v>0</v>
      </c>
      <c r="AQ250" s="103" t="str">
        <f t="shared" si="176"/>
        <v/>
      </c>
      <c r="AR250" s="68" t="str">
        <f>IFERROR(VLOOKUP(A250,CUSTOMERS!$A:$B,2),"")</f>
        <v/>
      </c>
      <c r="AS250" s="68" t="str">
        <f>IFERROR(VLOOKUP(A250,CUSTOMERS!$A:$D,3),"")</f>
        <v/>
      </c>
      <c r="AT250" s="68" t="str">
        <f>IFERROR(VLOOKUP(A250,CUSTOMERS!$A:$F,6),"")</f>
        <v/>
      </c>
      <c r="AU250" s="69" t="str">
        <f>IFERROR(VLOOKUP(A250,CUSTOMERS!$A:$E,4),"")</f>
        <v/>
      </c>
      <c r="AV250" s="68" t="str">
        <f t="shared" si="170"/>
        <v/>
      </c>
      <c r="AX250" s="71" t="str">
        <f t="shared" si="167"/>
        <v>reason250</v>
      </c>
    </row>
    <row r="251" spans="1:50" ht="50.25" customHeight="1" thickTop="1" thickBot="1">
      <c r="A251" s="188"/>
      <c r="B251" s="125" t="str">
        <f t="shared" si="171"/>
        <v/>
      </c>
      <c r="C251" s="125"/>
      <c r="D251" s="126"/>
      <c r="E251" s="126"/>
      <c r="F251" s="122" t="str">
        <f t="shared" si="156"/>
        <v/>
      </c>
      <c r="G251" s="186"/>
      <c r="H251" s="124"/>
      <c r="I251" s="239"/>
      <c r="J251" s="80" t="str">
        <f t="shared" si="160"/>
        <v/>
      </c>
      <c r="K251" s="177">
        <f t="shared" si="177"/>
        <v>0</v>
      </c>
      <c r="L251" s="160"/>
      <c r="M251" s="161"/>
      <c r="N251" s="162"/>
      <c r="O251" s="162"/>
      <c r="P251" s="163"/>
      <c r="Q251" s="202"/>
      <c r="R251" s="204"/>
      <c r="S251" s="211"/>
      <c r="T251" s="211"/>
      <c r="U251" s="211"/>
      <c r="V251" s="211"/>
      <c r="W251" s="211"/>
      <c r="X251" s="154"/>
      <c r="Y251" s="173" t="str">
        <f t="shared" si="174"/>
        <v/>
      </c>
      <c r="Z251" s="83" t="str">
        <f t="shared" si="161"/>
        <v/>
      </c>
      <c r="AA251" s="84" t="str">
        <f t="shared" si="172"/>
        <v/>
      </c>
      <c r="AB251" s="84" t="str">
        <f t="shared" si="173"/>
        <v/>
      </c>
      <c r="AC251" s="84" t="str">
        <f t="shared" si="162"/>
        <v/>
      </c>
      <c r="AD251" s="84"/>
      <c r="AE251" s="84" t="str">
        <f t="shared" si="168"/>
        <v/>
      </c>
      <c r="AF251" s="84">
        <f t="shared" si="175"/>
        <v>0</v>
      </c>
      <c r="AG251" s="94" t="str">
        <f t="shared" si="169"/>
        <v/>
      </c>
      <c r="AH251" s="85" t="str">
        <f>IFERROR(VLOOKUP(A251,CUSTOMERS!$A:$E,4),"")</f>
        <v/>
      </c>
      <c r="AI251" s="86" t="str">
        <f t="shared" si="178"/>
        <v/>
      </c>
      <c r="AJ251" s="87" t="str">
        <f>IFERROR(VLOOKUP(A251,CUSTOMERS!$A:$F,5),"")</f>
        <v/>
      </c>
      <c r="AK251" s="98"/>
      <c r="AL251" s="98">
        <v>0</v>
      </c>
      <c r="AM251" s="99">
        <v>0</v>
      </c>
      <c r="AN251" s="99"/>
      <c r="AO251" s="99">
        <v>0</v>
      </c>
      <c r="AP251" s="103">
        <f t="shared" si="163"/>
        <v>0</v>
      </c>
      <c r="AQ251" s="103" t="str">
        <f t="shared" si="176"/>
        <v/>
      </c>
      <c r="AR251" s="68" t="str">
        <f>IFERROR(VLOOKUP(A251,CUSTOMERS!$A:$B,2),"")</f>
        <v/>
      </c>
      <c r="AS251" s="68" t="str">
        <f>IFERROR(VLOOKUP(A251,CUSTOMERS!$A:$D,3),"")</f>
        <v/>
      </c>
      <c r="AT251" s="68" t="str">
        <f>IFERROR(VLOOKUP(A251,CUSTOMERS!$A:$F,6),"")</f>
        <v/>
      </c>
      <c r="AU251" s="69" t="str">
        <f>IFERROR(VLOOKUP(A251,CUSTOMERS!$A:$E,4),"")</f>
        <v/>
      </c>
      <c r="AV251" s="68" t="str">
        <f t="shared" si="170"/>
        <v/>
      </c>
      <c r="AX251" s="71" t="str">
        <f t="shared" si="167"/>
        <v>reason251</v>
      </c>
    </row>
    <row r="252" spans="1:50" ht="50.25" customHeight="1" thickTop="1" thickBot="1">
      <c r="A252" s="188"/>
      <c r="B252" s="125" t="str">
        <f t="shared" si="171"/>
        <v/>
      </c>
      <c r="C252" s="125"/>
      <c r="D252" s="126"/>
      <c r="E252" s="126"/>
      <c r="F252" s="122" t="str">
        <f t="shared" si="156"/>
        <v/>
      </c>
      <c r="G252" s="186"/>
      <c r="H252" s="124"/>
      <c r="I252" s="239"/>
      <c r="J252" s="80" t="str">
        <f t="shared" si="160"/>
        <v/>
      </c>
      <c r="K252" s="177">
        <f t="shared" si="177"/>
        <v>0</v>
      </c>
      <c r="L252" s="160"/>
      <c r="M252" s="161"/>
      <c r="N252" s="162"/>
      <c r="O252" s="162"/>
      <c r="P252" s="163"/>
      <c r="Q252" s="202"/>
      <c r="R252" s="204"/>
      <c r="S252" s="211"/>
      <c r="T252" s="211"/>
      <c r="U252" s="211"/>
      <c r="V252" s="211"/>
      <c r="W252" s="211"/>
      <c r="X252" s="154"/>
      <c r="Y252" s="173" t="str">
        <f t="shared" si="174"/>
        <v/>
      </c>
      <c r="Z252" s="83" t="str">
        <f t="shared" si="161"/>
        <v/>
      </c>
      <c r="AA252" s="84" t="str">
        <f t="shared" si="172"/>
        <v/>
      </c>
      <c r="AB252" s="84" t="str">
        <f t="shared" si="173"/>
        <v/>
      </c>
      <c r="AC252" s="84" t="str">
        <f t="shared" si="162"/>
        <v/>
      </c>
      <c r="AD252" s="84"/>
      <c r="AE252" s="84" t="str">
        <f t="shared" si="168"/>
        <v/>
      </c>
      <c r="AF252" s="84">
        <f t="shared" si="175"/>
        <v>0</v>
      </c>
      <c r="AG252" s="94" t="str">
        <f t="shared" si="169"/>
        <v/>
      </c>
      <c r="AH252" s="85" t="str">
        <f>IFERROR(VLOOKUP(A252,CUSTOMERS!$A:$E,4),"")</f>
        <v/>
      </c>
      <c r="AI252" s="86" t="str">
        <f t="shared" si="178"/>
        <v/>
      </c>
      <c r="AJ252" s="87" t="str">
        <f>IFERROR(VLOOKUP(A252,CUSTOMERS!$A:$F,5),"")</f>
        <v/>
      </c>
      <c r="AK252" s="98"/>
      <c r="AL252" s="98">
        <v>0</v>
      </c>
      <c r="AM252" s="99">
        <v>0</v>
      </c>
      <c r="AN252" s="99"/>
      <c r="AO252" s="99">
        <v>0</v>
      </c>
      <c r="AP252" s="103">
        <f t="shared" si="163"/>
        <v>0</v>
      </c>
      <c r="AQ252" s="103" t="str">
        <f t="shared" si="176"/>
        <v/>
      </c>
      <c r="AR252" s="68" t="str">
        <f>IFERROR(VLOOKUP(A252,CUSTOMERS!$A:$B,2),"")</f>
        <v/>
      </c>
      <c r="AS252" s="68" t="str">
        <f>IFERROR(VLOOKUP(A252,CUSTOMERS!$A:$D,3),"")</f>
        <v/>
      </c>
      <c r="AT252" s="68" t="str">
        <f>IFERROR(VLOOKUP(A252,CUSTOMERS!$A:$F,6),"")</f>
        <v/>
      </c>
      <c r="AU252" s="69" t="str">
        <f>IFERROR(VLOOKUP(A252,CUSTOMERS!$A:$E,4),"")</f>
        <v/>
      </c>
      <c r="AV252" s="68" t="str">
        <f t="shared" si="170"/>
        <v/>
      </c>
      <c r="AX252" s="71" t="str">
        <f t="shared" si="167"/>
        <v>reason252</v>
      </c>
    </row>
    <row r="253" spans="1:50" ht="50.25" customHeight="1" thickTop="1" thickBot="1">
      <c r="A253" s="188"/>
      <c r="B253" s="125" t="str">
        <f t="shared" si="171"/>
        <v/>
      </c>
      <c r="C253" s="125"/>
      <c r="D253" s="126"/>
      <c r="E253" s="126"/>
      <c r="F253" s="122" t="str">
        <f t="shared" si="156"/>
        <v/>
      </c>
      <c r="G253" s="186"/>
      <c r="H253" s="124"/>
      <c r="I253" s="239"/>
      <c r="J253" s="80" t="str">
        <f t="shared" si="160"/>
        <v/>
      </c>
      <c r="K253" s="177">
        <f t="shared" si="177"/>
        <v>0</v>
      </c>
      <c r="L253" s="160"/>
      <c r="M253" s="161"/>
      <c r="N253" s="162"/>
      <c r="O253" s="162"/>
      <c r="P253" s="163"/>
      <c r="Q253" s="202"/>
      <c r="R253" s="204"/>
      <c r="S253" s="211"/>
      <c r="T253" s="211"/>
      <c r="U253" s="211"/>
      <c r="V253" s="211"/>
      <c r="W253" s="211"/>
      <c r="X253" s="154"/>
      <c r="Y253" s="173" t="str">
        <f t="shared" si="174"/>
        <v/>
      </c>
      <c r="Z253" s="83" t="str">
        <f t="shared" si="161"/>
        <v/>
      </c>
      <c r="AA253" s="84" t="str">
        <f t="shared" si="172"/>
        <v/>
      </c>
      <c r="AB253" s="84" t="str">
        <f t="shared" si="173"/>
        <v/>
      </c>
      <c r="AC253" s="84" t="str">
        <f t="shared" si="162"/>
        <v/>
      </c>
      <c r="AD253" s="84"/>
      <c r="AE253" s="84" t="str">
        <f t="shared" si="168"/>
        <v/>
      </c>
      <c r="AF253" s="84">
        <f t="shared" si="175"/>
        <v>0</v>
      </c>
      <c r="AG253" s="94" t="str">
        <f t="shared" si="169"/>
        <v/>
      </c>
      <c r="AH253" s="85" t="str">
        <f>IFERROR(VLOOKUP(A253,CUSTOMERS!$A:$E,4),"")</f>
        <v/>
      </c>
      <c r="AI253" s="86" t="str">
        <f t="shared" si="178"/>
        <v/>
      </c>
      <c r="AJ253" s="87" t="str">
        <f>IFERROR(VLOOKUP(A253,CUSTOMERS!$A:$F,5),"")</f>
        <v/>
      </c>
      <c r="AK253" s="98"/>
      <c r="AL253" s="98">
        <v>0</v>
      </c>
      <c r="AM253" s="99">
        <v>0</v>
      </c>
      <c r="AN253" s="99"/>
      <c r="AO253" s="99">
        <v>0</v>
      </c>
      <c r="AP253" s="103">
        <f t="shared" si="163"/>
        <v>0</v>
      </c>
      <c r="AQ253" s="103" t="str">
        <f t="shared" si="176"/>
        <v/>
      </c>
      <c r="AR253" s="68" t="str">
        <f>IFERROR(VLOOKUP(A253,CUSTOMERS!$A:$B,2),"")</f>
        <v/>
      </c>
      <c r="AS253" s="68" t="str">
        <f>IFERROR(VLOOKUP(A253,CUSTOMERS!$A:$D,3),"")</f>
        <v/>
      </c>
      <c r="AT253" s="68" t="str">
        <f>IFERROR(VLOOKUP(A253,CUSTOMERS!$A:$F,6),"")</f>
        <v/>
      </c>
      <c r="AU253" s="69" t="str">
        <f>IFERROR(VLOOKUP(A253,CUSTOMERS!$A:$E,4),"")</f>
        <v/>
      </c>
      <c r="AV253" s="68" t="str">
        <f t="shared" si="170"/>
        <v/>
      </c>
      <c r="AX253" s="71" t="str">
        <f t="shared" si="167"/>
        <v>reason253</v>
      </c>
    </row>
    <row r="254" spans="1:50" ht="50.25" customHeight="1" thickTop="1" thickBot="1">
      <c r="A254" s="188"/>
      <c r="B254" s="125" t="str">
        <f t="shared" si="171"/>
        <v/>
      </c>
      <c r="C254" s="125"/>
      <c r="D254" s="126"/>
      <c r="E254" s="126"/>
      <c r="F254" s="122" t="str">
        <f t="shared" si="156"/>
        <v/>
      </c>
      <c r="G254" s="186"/>
      <c r="H254" s="124"/>
      <c r="I254" s="239"/>
      <c r="J254" s="80" t="str">
        <f t="shared" si="160"/>
        <v/>
      </c>
      <c r="K254" s="177">
        <f t="shared" si="177"/>
        <v>0</v>
      </c>
      <c r="L254" s="160"/>
      <c r="M254" s="161"/>
      <c r="N254" s="162"/>
      <c r="O254" s="162"/>
      <c r="P254" s="163"/>
      <c r="Q254" s="202"/>
      <c r="R254" s="204"/>
      <c r="S254" s="211"/>
      <c r="T254" s="211"/>
      <c r="U254" s="211"/>
      <c r="V254" s="211"/>
      <c r="W254" s="211"/>
      <c r="X254" s="154"/>
      <c r="Y254" s="173" t="str">
        <f t="shared" si="174"/>
        <v/>
      </c>
      <c r="Z254" s="83" t="str">
        <f t="shared" si="161"/>
        <v/>
      </c>
      <c r="AA254" s="84" t="str">
        <f t="shared" si="172"/>
        <v/>
      </c>
      <c r="AB254" s="84" t="str">
        <f t="shared" si="173"/>
        <v/>
      </c>
      <c r="AC254" s="84" t="str">
        <f t="shared" si="162"/>
        <v/>
      </c>
      <c r="AD254" s="84"/>
      <c r="AE254" s="84" t="str">
        <f t="shared" si="168"/>
        <v/>
      </c>
      <c r="AF254" s="84">
        <f t="shared" si="175"/>
        <v>0</v>
      </c>
      <c r="AG254" s="94" t="str">
        <f t="shared" si="169"/>
        <v/>
      </c>
      <c r="AH254" s="85" t="str">
        <f>IFERROR(VLOOKUP(A254,CUSTOMERS!$A:$E,4),"")</f>
        <v/>
      </c>
      <c r="AI254" s="86" t="str">
        <f t="shared" si="178"/>
        <v/>
      </c>
      <c r="AJ254" s="87" t="str">
        <f>IFERROR(VLOOKUP(A254,CUSTOMERS!$A:$F,5),"")</f>
        <v/>
      </c>
      <c r="AK254" s="98"/>
      <c r="AL254" s="98">
        <v>0</v>
      </c>
      <c r="AM254" s="99">
        <v>0</v>
      </c>
      <c r="AN254" s="99"/>
      <c r="AO254" s="99">
        <v>0</v>
      </c>
      <c r="AP254" s="103">
        <f t="shared" si="163"/>
        <v>0</v>
      </c>
      <c r="AQ254" s="103" t="str">
        <f t="shared" si="176"/>
        <v/>
      </c>
      <c r="AR254" s="68" t="str">
        <f>IFERROR(VLOOKUP(A254,CUSTOMERS!$A:$B,2),"")</f>
        <v/>
      </c>
      <c r="AS254" s="68" t="str">
        <f>IFERROR(VLOOKUP(A254,CUSTOMERS!$A:$D,3),"")</f>
        <v/>
      </c>
      <c r="AT254" s="68" t="str">
        <f>IFERROR(VLOOKUP(A254,CUSTOMERS!$A:$F,6),"")</f>
        <v/>
      </c>
      <c r="AU254" s="69" t="str">
        <f>IFERROR(VLOOKUP(A254,CUSTOMERS!$A:$E,4),"")</f>
        <v/>
      </c>
      <c r="AV254" s="68" t="str">
        <f t="shared" si="170"/>
        <v/>
      </c>
      <c r="AX254" s="71" t="str">
        <f t="shared" si="167"/>
        <v>reason254</v>
      </c>
    </row>
    <row r="255" spans="1:50" ht="50.25" customHeight="1" thickTop="1" thickBot="1">
      <c r="A255" s="188"/>
      <c r="B255" s="125" t="str">
        <f t="shared" si="171"/>
        <v/>
      </c>
      <c r="C255" s="125"/>
      <c r="D255" s="126"/>
      <c r="E255" s="126"/>
      <c r="F255" s="122" t="str">
        <f t="shared" si="156"/>
        <v/>
      </c>
      <c r="G255" s="186"/>
      <c r="H255" s="124"/>
      <c r="I255" s="239"/>
      <c r="J255" s="80" t="str">
        <f t="shared" si="160"/>
        <v/>
      </c>
      <c r="K255" s="177">
        <f t="shared" si="177"/>
        <v>0</v>
      </c>
      <c r="L255" s="160"/>
      <c r="M255" s="161"/>
      <c r="N255" s="162"/>
      <c r="O255" s="162"/>
      <c r="P255" s="163"/>
      <c r="Q255" s="202"/>
      <c r="R255" s="204"/>
      <c r="S255" s="211"/>
      <c r="T255" s="211"/>
      <c r="U255" s="211"/>
      <c r="V255" s="211"/>
      <c r="W255" s="211"/>
      <c r="X255" s="154"/>
      <c r="Y255" s="173" t="str">
        <f t="shared" si="174"/>
        <v/>
      </c>
      <c r="Z255" s="83" t="str">
        <f t="shared" si="161"/>
        <v/>
      </c>
      <c r="AA255" s="84" t="str">
        <f t="shared" si="172"/>
        <v/>
      </c>
      <c r="AB255" s="84" t="str">
        <f t="shared" si="173"/>
        <v/>
      </c>
      <c r="AC255" s="84" t="str">
        <f t="shared" si="162"/>
        <v/>
      </c>
      <c r="AD255" s="84"/>
      <c r="AE255" s="84" t="str">
        <f t="shared" si="168"/>
        <v/>
      </c>
      <c r="AF255" s="84">
        <f t="shared" si="175"/>
        <v>0</v>
      </c>
      <c r="AG255" s="94" t="str">
        <f t="shared" si="169"/>
        <v/>
      </c>
      <c r="AH255" s="85" t="str">
        <f>IFERROR(VLOOKUP(A255,CUSTOMERS!$A:$E,4),"")</f>
        <v/>
      </c>
      <c r="AI255" s="86" t="str">
        <f t="shared" si="178"/>
        <v/>
      </c>
      <c r="AJ255" s="87" t="str">
        <f>IFERROR(VLOOKUP(A255,CUSTOMERS!$A:$F,5),"")</f>
        <v/>
      </c>
      <c r="AK255" s="98"/>
      <c r="AL255" s="98">
        <v>0</v>
      </c>
      <c r="AM255" s="99">
        <v>0</v>
      </c>
      <c r="AN255" s="99"/>
      <c r="AO255" s="99">
        <v>0</v>
      </c>
      <c r="AP255" s="103">
        <f t="shared" si="163"/>
        <v>0</v>
      </c>
      <c r="AQ255" s="103" t="str">
        <f t="shared" si="176"/>
        <v/>
      </c>
      <c r="AR255" s="68" t="str">
        <f>IFERROR(VLOOKUP(A255,CUSTOMERS!$A:$B,2),"")</f>
        <v/>
      </c>
      <c r="AS255" s="68" t="str">
        <f>IFERROR(VLOOKUP(A255,CUSTOMERS!$A:$D,3),"")</f>
        <v/>
      </c>
      <c r="AT255" s="68" t="str">
        <f>IFERROR(VLOOKUP(A255,CUSTOMERS!$A:$F,6),"")</f>
        <v/>
      </c>
      <c r="AU255" s="69" t="str">
        <f>IFERROR(VLOOKUP(A255,CUSTOMERS!$A:$E,4),"")</f>
        <v/>
      </c>
      <c r="AV255" s="68" t="str">
        <f t="shared" si="170"/>
        <v/>
      </c>
      <c r="AX255" s="71" t="str">
        <f t="shared" si="167"/>
        <v>reason255</v>
      </c>
    </row>
    <row r="256" spans="1:50" ht="50.25" customHeight="1" thickTop="1" thickBot="1">
      <c r="A256" s="188"/>
      <c r="B256" s="125" t="str">
        <f t="shared" si="171"/>
        <v/>
      </c>
      <c r="C256" s="125"/>
      <c r="D256" s="126"/>
      <c r="E256" s="126"/>
      <c r="F256" s="122" t="str">
        <f t="shared" si="156"/>
        <v/>
      </c>
      <c r="G256" s="186"/>
      <c r="H256" s="124"/>
      <c r="I256" s="239"/>
      <c r="J256" s="80" t="str">
        <f t="shared" si="160"/>
        <v/>
      </c>
      <c r="K256" s="177">
        <f t="shared" si="177"/>
        <v>0</v>
      </c>
      <c r="L256" s="160"/>
      <c r="M256" s="161"/>
      <c r="N256" s="162"/>
      <c r="O256" s="162"/>
      <c r="P256" s="163"/>
      <c r="Q256" s="202"/>
      <c r="R256" s="204"/>
      <c r="S256" s="211"/>
      <c r="T256" s="211"/>
      <c r="U256" s="211"/>
      <c r="V256" s="211"/>
      <c r="W256" s="211"/>
      <c r="X256" s="154"/>
      <c r="Y256" s="173" t="str">
        <f t="shared" si="174"/>
        <v/>
      </c>
      <c r="Z256" s="83" t="str">
        <f t="shared" si="161"/>
        <v/>
      </c>
      <c r="AA256" s="84" t="str">
        <f t="shared" si="172"/>
        <v/>
      </c>
      <c r="AB256" s="84" t="str">
        <f t="shared" si="173"/>
        <v/>
      </c>
      <c r="AC256" s="84" t="str">
        <f t="shared" si="162"/>
        <v/>
      </c>
      <c r="AD256" s="84"/>
      <c r="AE256" s="84" t="str">
        <f t="shared" si="168"/>
        <v/>
      </c>
      <c r="AF256" s="84">
        <f t="shared" si="175"/>
        <v>0</v>
      </c>
      <c r="AG256" s="94" t="str">
        <f t="shared" si="169"/>
        <v/>
      </c>
      <c r="AH256" s="85" t="str">
        <f>IFERROR(VLOOKUP(A256,CUSTOMERS!$A:$E,4),"")</f>
        <v/>
      </c>
      <c r="AI256" s="86" t="str">
        <f t="shared" si="178"/>
        <v/>
      </c>
      <c r="AJ256" s="87" t="str">
        <f>IFERROR(VLOOKUP(A256,CUSTOMERS!$A:$F,5),"")</f>
        <v/>
      </c>
      <c r="AK256" s="98"/>
      <c r="AL256" s="98">
        <v>0</v>
      </c>
      <c r="AM256" s="99">
        <v>0</v>
      </c>
      <c r="AN256" s="99"/>
      <c r="AO256" s="99">
        <v>0</v>
      </c>
      <c r="AP256" s="103">
        <f t="shared" si="163"/>
        <v>0</v>
      </c>
      <c r="AQ256" s="103" t="str">
        <f t="shared" si="176"/>
        <v/>
      </c>
      <c r="AR256" s="68" t="str">
        <f>IFERROR(VLOOKUP(A256,CUSTOMERS!$A:$B,2),"")</f>
        <v/>
      </c>
      <c r="AS256" s="68" t="str">
        <f>IFERROR(VLOOKUP(A256,CUSTOMERS!$A:$D,3),"")</f>
        <v/>
      </c>
      <c r="AT256" s="68" t="str">
        <f>IFERROR(VLOOKUP(A256,CUSTOMERS!$A:$F,6),"")</f>
        <v/>
      </c>
      <c r="AU256" s="69" t="str">
        <f>IFERROR(VLOOKUP(A256,CUSTOMERS!$A:$E,4),"")</f>
        <v/>
      </c>
      <c r="AV256" s="68" t="str">
        <f t="shared" si="170"/>
        <v/>
      </c>
      <c r="AX256" s="71" t="str">
        <f t="shared" si="167"/>
        <v>reason256</v>
      </c>
    </row>
    <row r="257" spans="1:50" ht="50.25" customHeight="1" thickTop="1" thickBot="1">
      <c r="A257" s="188"/>
      <c r="B257" s="125" t="str">
        <f t="shared" si="171"/>
        <v/>
      </c>
      <c r="C257" s="125"/>
      <c r="D257" s="126"/>
      <c r="E257" s="126"/>
      <c r="F257" s="122" t="str">
        <f t="shared" si="156"/>
        <v/>
      </c>
      <c r="G257" s="186"/>
      <c r="H257" s="124"/>
      <c r="I257" s="239"/>
      <c r="J257" s="80" t="str">
        <f t="shared" si="160"/>
        <v/>
      </c>
      <c r="K257" s="177">
        <f t="shared" si="177"/>
        <v>0</v>
      </c>
      <c r="L257" s="160"/>
      <c r="M257" s="161"/>
      <c r="N257" s="162"/>
      <c r="O257" s="162"/>
      <c r="P257" s="163"/>
      <c r="Q257" s="202"/>
      <c r="R257" s="204"/>
      <c r="S257" s="211"/>
      <c r="T257" s="211"/>
      <c r="U257" s="211"/>
      <c r="V257" s="211"/>
      <c r="W257" s="211"/>
      <c r="X257" s="154"/>
      <c r="Y257" s="173" t="str">
        <f t="shared" si="174"/>
        <v/>
      </c>
      <c r="Z257" s="83" t="str">
        <f t="shared" si="161"/>
        <v/>
      </c>
      <c r="AA257" s="84" t="str">
        <f t="shared" si="172"/>
        <v/>
      </c>
      <c r="AB257" s="84" t="str">
        <f t="shared" si="173"/>
        <v/>
      </c>
      <c r="AC257" s="84" t="str">
        <f t="shared" si="162"/>
        <v/>
      </c>
      <c r="AD257" s="84"/>
      <c r="AE257" s="84" t="str">
        <f t="shared" si="168"/>
        <v/>
      </c>
      <c r="AF257" s="84">
        <f t="shared" si="175"/>
        <v>0</v>
      </c>
      <c r="AG257" s="94" t="str">
        <f t="shared" si="169"/>
        <v/>
      </c>
      <c r="AH257" s="85" t="str">
        <f>IFERROR(VLOOKUP(A257,CUSTOMERS!$A:$E,4),"")</f>
        <v/>
      </c>
      <c r="AI257" s="86" t="str">
        <f t="shared" si="178"/>
        <v/>
      </c>
      <c r="AJ257" s="87" t="str">
        <f>IFERROR(VLOOKUP(A257,CUSTOMERS!$A:$F,5),"")</f>
        <v/>
      </c>
      <c r="AK257" s="98"/>
      <c r="AL257" s="98">
        <v>0</v>
      </c>
      <c r="AM257" s="99">
        <v>0</v>
      </c>
      <c r="AN257" s="99"/>
      <c r="AO257" s="99">
        <v>0</v>
      </c>
      <c r="AP257" s="103">
        <f t="shared" si="163"/>
        <v>0</v>
      </c>
      <c r="AQ257" s="103" t="str">
        <f t="shared" si="176"/>
        <v/>
      </c>
      <c r="AR257" s="68" t="str">
        <f>IFERROR(VLOOKUP(A257,CUSTOMERS!$A:$B,2),"")</f>
        <v/>
      </c>
      <c r="AS257" s="68" t="str">
        <f>IFERROR(VLOOKUP(A257,CUSTOMERS!$A:$D,3),"")</f>
        <v/>
      </c>
      <c r="AT257" s="68" t="str">
        <f>IFERROR(VLOOKUP(A257,CUSTOMERS!$A:$F,6),"")</f>
        <v/>
      </c>
      <c r="AU257" s="69" t="str">
        <f>IFERROR(VLOOKUP(A257,CUSTOMERS!$A:$E,4),"")</f>
        <v/>
      </c>
      <c r="AV257" s="68" t="str">
        <f t="shared" si="170"/>
        <v/>
      </c>
      <c r="AX257" s="71" t="str">
        <f t="shared" si="167"/>
        <v>reason257</v>
      </c>
    </row>
    <row r="258" spans="1:50" ht="50.25" customHeight="1" thickTop="1" thickBot="1">
      <c r="A258" s="188"/>
      <c r="B258" s="125" t="str">
        <f t="shared" si="171"/>
        <v/>
      </c>
      <c r="C258" s="125"/>
      <c r="D258" s="126"/>
      <c r="E258" s="126"/>
      <c r="F258" s="122" t="str">
        <f t="shared" si="156"/>
        <v/>
      </c>
      <c r="G258" s="186"/>
      <c r="H258" s="124"/>
      <c r="I258" s="239"/>
      <c r="J258" s="80" t="str">
        <f t="shared" si="160"/>
        <v/>
      </c>
      <c r="K258" s="177">
        <f t="shared" si="177"/>
        <v>0</v>
      </c>
      <c r="L258" s="160"/>
      <c r="M258" s="161"/>
      <c r="N258" s="162"/>
      <c r="O258" s="162"/>
      <c r="P258" s="163"/>
      <c r="Q258" s="202"/>
      <c r="R258" s="204"/>
      <c r="S258" s="211"/>
      <c r="T258" s="211"/>
      <c r="U258" s="211"/>
      <c r="V258" s="211"/>
      <c r="W258" s="211"/>
      <c r="X258" s="154"/>
      <c r="Y258" s="173" t="str">
        <f t="shared" si="174"/>
        <v/>
      </c>
      <c r="Z258" s="83" t="str">
        <f t="shared" si="161"/>
        <v/>
      </c>
      <c r="AA258" s="84" t="str">
        <f t="shared" si="172"/>
        <v/>
      </c>
      <c r="AB258" s="84" t="str">
        <f t="shared" si="173"/>
        <v/>
      </c>
      <c r="AC258" s="84" t="str">
        <f t="shared" si="162"/>
        <v/>
      </c>
      <c r="AD258" s="84"/>
      <c r="AE258" s="84" t="str">
        <f t="shared" si="168"/>
        <v/>
      </c>
      <c r="AF258" s="84">
        <f t="shared" si="175"/>
        <v>0</v>
      </c>
      <c r="AG258" s="94" t="str">
        <f t="shared" si="169"/>
        <v/>
      </c>
      <c r="AH258" s="85" t="str">
        <f>IFERROR(VLOOKUP(A258,CUSTOMERS!$A:$E,4),"")</f>
        <v/>
      </c>
      <c r="AI258" s="86" t="str">
        <f t="shared" si="178"/>
        <v/>
      </c>
      <c r="AJ258" s="87" t="str">
        <f>IFERROR(VLOOKUP(A258,CUSTOMERS!$A:$F,5),"")</f>
        <v/>
      </c>
      <c r="AK258" s="98"/>
      <c r="AL258" s="98">
        <v>0</v>
      </c>
      <c r="AM258" s="99">
        <v>0</v>
      </c>
      <c r="AN258" s="99"/>
      <c r="AO258" s="99">
        <v>0</v>
      </c>
      <c r="AP258" s="103">
        <f t="shared" si="163"/>
        <v>0</v>
      </c>
      <c r="AQ258" s="103" t="str">
        <f t="shared" si="176"/>
        <v/>
      </c>
      <c r="AR258" s="68" t="str">
        <f>IFERROR(VLOOKUP(A258,CUSTOMERS!$A:$B,2),"")</f>
        <v/>
      </c>
      <c r="AS258" s="68" t="str">
        <f>IFERROR(VLOOKUP(A258,CUSTOMERS!$A:$D,3),"")</f>
        <v/>
      </c>
      <c r="AT258" s="68" t="str">
        <f>IFERROR(VLOOKUP(A258,CUSTOMERS!$A:$F,6),"")</f>
        <v/>
      </c>
      <c r="AU258" s="69" t="str">
        <f>IFERROR(VLOOKUP(A258,CUSTOMERS!$A:$E,4),"")</f>
        <v/>
      </c>
      <c r="AV258" s="68" t="str">
        <f t="shared" si="170"/>
        <v/>
      </c>
      <c r="AX258" s="71" t="str">
        <f t="shared" si="167"/>
        <v>reason258</v>
      </c>
    </row>
    <row r="259" spans="1:50" ht="50.25" customHeight="1" thickTop="1" thickBot="1">
      <c r="A259" s="188"/>
      <c r="B259" s="125" t="str">
        <f t="shared" si="171"/>
        <v/>
      </c>
      <c r="C259" s="125"/>
      <c r="D259" s="126"/>
      <c r="E259" s="126"/>
      <c r="F259" s="122" t="str">
        <f t="shared" si="156"/>
        <v/>
      </c>
      <c r="G259" s="186"/>
      <c r="H259" s="124"/>
      <c r="I259" s="239"/>
      <c r="J259" s="80" t="str">
        <f t="shared" si="160"/>
        <v/>
      </c>
      <c r="K259" s="177">
        <f t="shared" si="177"/>
        <v>0</v>
      </c>
      <c r="L259" s="160"/>
      <c r="M259" s="161"/>
      <c r="N259" s="162"/>
      <c r="O259" s="162"/>
      <c r="P259" s="163"/>
      <c r="Q259" s="202"/>
      <c r="R259" s="204"/>
      <c r="S259" s="211"/>
      <c r="T259" s="211"/>
      <c r="U259" s="211"/>
      <c r="V259" s="211"/>
      <c r="W259" s="211"/>
      <c r="X259" s="154"/>
      <c r="Y259" s="173" t="str">
        <f t="shared" si="174"/>
        <v/>
      </c>
      <c r="Z259" s="83" t="str">
        <f t="shared" si="161"/>
        <v/>
      </c>
      <c r="AA259" s="84" t="str">
        <f t="shared" si="172"/>
        <v/>
      </c>
      <c r="AB259" s="84" t="str">
        <f t="shared" si="173"/>
        <v/>
      </c>
      <c r="AC259" s="84" t="str">
        <f t="shared" si="162"/>
        <v/>
      </c>
      <c r="AD259" s="84"/>
      <c r="AE259" s="84" t="str">
        <f t="shared" si="168"/>
        <v/>
      </c>
      <c r="AF259" s="84">
        <f t="shared" si="175"/>
        <v>0</v>
      </c>
      <c r="AG259" s="94" t="str">
        <f t="shared" si="169"/>
        <v/>
      </c>
      <c r="AH259" s="85" t="str">
        <f>IFERROR(VLOOKUP(A259,CUSTOMERS!$A:$E,4),"")</f>
        <v/>
      </c>
      <c r="AI259" s="86" t="str">
        <f t="shared" si="178"/>
        <v/>
      </c>
      <c r="AJ259" s="87" t="str">
        <f>IFERROR(VLOOKUP(A259,CUSTOMERS!$A:$F,5),"")</f>
        <v/>
      </c>
      <c r="AK259" s="98"/>
      <c r="AL259" s="98">
        <v>0</v>
      </c>
      <c r="AM259" s="99">
        <v>0</v>
      </c>
      <c r="AN259" s="99"/>
      <c r="AO259" s="99">
        <v>0</v>
      </c>
      <c r="AP259" s="103">
        <f t="shared" si="163"/>
        <v>0</v>
      </c>
      <c r="AQ259" s="103" t="str">
        <f t="shared" si="176"/>
        <v/>
      </c>
      <c r="AR259" s="68" t="str">
        <f>IFERROR(VLOOKUP(A259,CUSTOMERS!$A:$B,2),"")</f>
        <v/>
      </c>
      <c r="AS259" s="68" t="str">
        <f>IFERROR(VLOOKUP(A259,CUSTOMERS!$A:$D,3),"")</f>
        <v/>
      </c>
      <c r="AT259" s="68" t="str">
        <f>IFERROR(VLOOKUP(A259,CUSTOMERS!$A:$F,6),"")</f>
        <v/>
      </c>
      <c r="AU259" s="69" t="str">
        <f>IFERROR(VLOOKUP(A259,CUSTOMERS!$A:$E,4),"")</f>
        <v/>
      </c>
      <c r="AV259" s="68" t="str">
        <f t="shared" si="170"/>
        <v/>
      </c>
      <c r="AX259" s="71" t="str">
        <f t="shared" si="167"/>
        <v>reason259</v>
      </c>
    </row>
    <row r="260" spans="1:50" ht="50.25" customHeight="1" thickTop="1" thickBot="1">
      <c r="A260" s="188"/>
      <c r="B260" s="125" t="str">
        <f t="shared" si="171"/>
        <v/>
      </c>
      <c r="C260" s="125"/>
      <c r="D260" s="126"/>
      <c r="E260" s="126"/>
      <c r="F260" s="122" t="str">
        <f t="shared" si="156"/>
        <v/>
      </c>
      <c r="G260" s="186"/>
      <c r="H260" s="124"/>
      <c r="I260" s="239"/>
      <c r="J260" s="80" t="str">
        <f t="shared" si="160"/>
        <v/>
      </c>
      <c r="K260" s="177">
        <f t="shared" si="177"/>
        <v>0</v>
      </c>
      <c r="L260" s="160"/>
      <c r="M260" s="161"/>
      <c r="N260" s="162"/>
      <c r="O260" s="162"/>
      <c r="P260" s="163"/>
      <c r="Q260" s="202"/>
      <c r="R260" s="204"/>
      <c r="S260" s="211"/>
      <c r="T260" s="211"/>
      <c r="U260" s="211"/>
      <c r="V260" s="211"/>
      <c r="W260" s="211"/>
      <c r="X260" s="154"/>
      <c r="Y260" s="173" t="str">
        <f t="shared" si="174"/>
        <v/>
      </c>
      <c r="Z260" s="83" t="str">
        <f t="shared" si="161"/>
        <v/>
      </c>
      <c r="AA260" s="84" t="str">
        <f t="shared" si="172"/>
        <v/>
      </c>
      <c r="AB260" s="84" t="str">
        <f t="shared" si="173"/>
        <v/>
      </c>
      <c r="AC260" s="84" t="str">
        <f t="shared" si="162"/>
        <v/>
      </c>
      <c r="AD260" s="84"/>
      <c r="AE260" s="84" t="str">
        <f t="shared" si="168"/>
        <v/>
      </c>
      <c r="AF260" s="84">
        <f t="shared" si="175"/>
        <v>0</v>
      </c>
      <c r="AG260" s="94" t="str">
        <f t="shared" si="169"/>
        <v/>
      </c>
      <c r="AH260" s="85" t="str">
        <f>IFERROR(VLOOKUP(A260,CUSTOMERS!$A:$E,4),"")</f>
        <v/>
      </c>
      <c r="AI260" s="86" t="str">
        <f t="shared" si="178"/>
        <v/>
      </c>
      <c r="AJ260" s="87" t="str">
        <f>IFERROR(VLOOKUP(A260,CUSTOMERS!$A:$F,5),"")</f>
        <v/>
      </c>
      <c r="AK260" s="98"/>
      <c r="AL260" s="98">
        <v>0</v>
      </c>
      <c r="AM260" s="99">
        <v>0</v>
      </c>
      <c r="AN260" s="99"/>
      <c r="AO260" s="99">
        <v>0</v>
      </c>
      <c r="AP260" s="103">
        <f t="shared" si="163"/>
        <v>0</v>
      </c>
      <c r="AQ260" s="103" t="str">
        <f t="shared" si="176"/>
        <v/>
      </c>
      <c r="AR260" s="68" t="str">
        <f>IFERROR(VLOOKUP(A260,CUSTOMERS!$A:$B,2),"")</f>
        <v/>
      </c>
      <c r="AS260" s="68" t="str">
        <f>IFERROR(VLOOKUP(A260,CUSTOMERS!$A:$D,3),"")</f>
        <v/>
      </c>
      <c r="AT260" s="68" t="str">
        <f>IFERROR(VLOOKUP(A260,CUSTOMERS!$A:$F,6),"")</f>
        <v/>
      </c>
      <c r="AU260" s="69" t="str">
        <f>IFERROR(VLOOKUP(A260,CUSTOMERS!$A:$E,4),"")</f>
        <v/>
      </c>
      <c r="AV260" s="68" t="str">
        <f t="shared" si="170"/>
        <v/>
      </c>
      <c r="AX260" s="71" t="str">
        <f t="shared" si="167"/>
        <v>reason260</v>
      </c>
    </row>
    <row r="261" spans="1:50" ht="50.25" customHeight="1" thickTop="1" thickBot="1">
      <c r="A261" s="188"/>
      <c r="B261" s="125" t="str">
        <f t="shared" si="171"/>
        <v/>
      </c>
      <c r="C261" s="125"/>
      <c r="D261" s="126"/>
      <c r="E261" s="126"/>
      <c r="F261" s="122" t="str">
        <f t="shared" si="156"/>
        <v/>
      </c>
      <c r="G261" s="186"/>
      <c r="H261" s="124"/>
      <c r="I261" s="239"/>
      <c r="J261" s="80" t="str">
        <f t="shared" si="160"/>
        <v/>
      </c>
      <c r="K261" s="177">
        <f t="shared" si="177"/>
        <v>0</v>
      </c>
      <c r="L261" s="160"/>
      <c r="M261" s="161"/>
      <c r="N261" s="162"/>
      <c r="O261" s="162"/>
      <c r="P261" s="163"/>
      <c r="Q261" s="202"/>
      <c r="R261" s="204"/>
      <c r="S261" s="211"/>
      <c r="T261" s="211"/>
      <c r="U261" s="211"/>
      <c r="V261" s="211"/>
      <c r="W261" s="211"/>
      <c r="X261" s="154"/>
      <c r="Y261" s="173" t="str">
        <f t="shared" si="174"/>
        <v/>
      </c>
      <c r="Z261" s="83" t="str">
        <f t="shared" si="161"/>
        <v/>
      </c>
      <c r="AA261" s="84" t="str">
        <f t="shared" si="172"/>
        <v/>
      </c>
      <c r="AB261" s="84" t="str">
        <f t="shared" si="173"/>
        <v/>
      </c>
      <c r="AC261" s="84" t="str">
        <f t="shared" si="162"/>
        <v/>
      </c>
      <c r="AD261" s="84"/>
      <c r="AE261" s="84" t="str">
        <f t="shared" si="168"/>
        <v/>
      </c>
      <c r="AF261" s="84">
        <f t="shared" si="175"/>
        <v>0</v>
      </c>
      <c r="AG261" s="94" t="str">
        <f t="shared" si="169"/>
        <v/>
      </c>
      <c r="AH261" s="85" t="str">
        <f>IFERROR(VLOOKUP(A261,CUSTOMERS!$A:$E,4),"")</f>
        <v/>
      </c>
      <c r="AI261" s="86" t="str">
        <f t="shared" si="178"/>
        <v/>
      </c>
      <c r="AJ261" s="87" t="str">
        <f>IFERROR(VLOOKUP(A261,CUSTOMERS!$A:$F,5),"")</f>
        <v/>
      </c>
      <c r="AK261" s="98"/>
      <c r="AL261" s="98">
        <v>0</v>
      </c>
      <c r="AM261" s="99">
        <v>0</v>
      </c>
      <c r="AN261" s="99"/>
      <c r="AO261" s="99">
        <v>0</v>
      </c>
      <c r="AP261" s="103">
        <f t="shared" si="163"/>
        <v>0</v>
      </c>
      <c r="AQ261" s="103" t="str">
        <f t="shared" si="176"/>
        <v/>
      </c>
      <c r="AR261" s="68" t="str">
        <f>IFERROR(VLOOKUP(A261,CUSTOMERS!$A:$B,2),"")</f>
        <v/>
      </c>
      <c r="AS261" s="68" t="str">
        <f>IFERROR(VLOOKUP(A261,CUSTOMERS!$A:$D,3),"")</f>
        <v/>
      </c>
      <c r="AT261" s="68" t="str">
        <f>IFERROR(VLOOKUP(A261,CUSTOMERS!$A:$F,6),"")</f>
        <v/>
      </c>
      <c r="AU261" s="69" t="str">
        <f>IFERROR(VLOOKUP(A261,CUSTOMERS!$A:$E,4),"")</f>
        <v/>
      </c>
      <c r="AV261" s="68" t="str">
        <f t="shared" si="170"/>
        <v/>
      </c>
      <c r="AX261" s="71" t="str">
        <f t="shared" si="167"/>
        <v>reason261</v>
      </c>
    </row>
    <row r="262" spans="1:50" ht="50.25" customHeight="1" thickTop="1" thickBot="1">
      <c r="A262" s="188"/>
      <c r="B262" s="125" t="str">
        <f t="shared" si="171"/>
        <v/>
      </c>
      <c r="C262" s="125"/>
      <c r="D262" s="126"/>
      <c r="E262" s="126"/>
      <c r="F262" s="122" t="str">
        <f t="shared" si="156"/>
        <v/>
      </c>
      <c r="G262" s="186"/>
      <c r="H262" s="124"/>
      <c r="I262" s="239"/>
      <c r="J262" s="80" t="str">
        <f t="shared" si="160"/>
        <v/>
      </c>
      <c r="K262" s="177">
        <f t="shared" si="177"/>
        <v>0</v>
      </c>
      <c r="L262" s="160"/>
      <c r="M262" s="161"/>
      <c r="N262" s="162"/>
      <c r="O262" s="162"/>
      <c r="P262" s="163"/>
      <c r="Q262" s="202"/>
      <c r="R262" s="204"/>
      <c r="S262" s="211"/>
      <c r="T262" s="211"/>
      <c r="U262" s="211"/>
      <c r="V262" s="211"/>
      <c r="W262" s="211"/>
      <c r="X262" s="154"/>
      <c r="Y262" s="173" t="str">
        <f t="shared" si="174"/>
        <v/>
      </c>
      <c r="Z262" s="83" t="str">
        <f t="shared" si="161"/>
        <v/>
      </c>
      <c r="AA262" s="84" t="str">
        <f t="shared" si="172"/>
        <v/>
      </c>
      <c r="AB262" s="84" t="str">
        <f t="shared" si="173"/>
        <v/>
      </c>
      <c r="AC262" s="84" t="str">
        <f t="shared" si="162"/>
        <v/>
      </c>
      <c r="AD262" s="84"/>
      <c r="AE262" s="84" t="str">
        <f t="shared" si="168"/>
        <v/>
      </c>
      <c r="AF262" s="84">
        <f t="shared" si="175"/>
        <v>0</v>
      </c>
      <c r="AG262" s="94" t="str">
        <f t="shared" si="169"/>
        <v/>
      </c>
      <c r="AH262" s="85" t="str">
        <f>IFERROR(VLOOKUP(A262,CUSTOMERS!$A:$E,4),"")</f>
        <v/>
      </c>
      <c r="AI262" s="86" t="str">
        <f t="shared" si="178"/>
        <v/>
      </c>
      <c r="AJ262" s="87" t="str">
        <f>IFERROR(VLOOKUP(A262,CUSTOMERS!$A:$F,5),"")</f>
        <v/>
      </c>
      <c r="AK262" s="98"/>
      <c r="AL262" s="98">
        <v>0</v>
      </c>
      <c r="AM262" s="99">
        <v>0</v>
      </c>
      <c r="AN262" s="99"/>
      <c r="AO262" s="99">
        <v>0</v>
      </c>
      <c r="AP262" s="103">
        <f t="shared" si="163"/>
        <v>0</v>
      </c>
      <c r="AQ262" s="103" t="str">
        <f t="shared" si="176"/>
        <v/>
      </c>
      <c r="AR262" s="68" t="str">
        <f>IFERROR(VLOOKUP(A262,CUSTOMERS!$A:$B,2),"")</f>
        <v/>
      </c>
      <c r="AS262" s="68" t="str">
        <f>IFERROR(VLOOKUP(A262,CUSTOMERS!$A:$D,3),"")</f>
        <v/>
      </c>
      <c r="AT262" s="68" t="str">
        <f>IFERROR(VLOOKUP(A262,CUSTOMERS!$A:$F,6),"")</f>
        <v/>
      </c>
      <c r="AU262" s="69" t="str">
        <f>IFERROR(VLOOKUP(A262,CUSTOMERS!$A:$E,4),"")</f>
        <v/>
      </c>
      <c r="AV262" s="68" t="str">
        <f t="shared" si="170"/>
        <v/>
      </c>
      <c r="AX262" s="71" t="str">
        <f t="shared" si="167"/>
        <v>reason262</v>
      </c>
    </row>
    <row r="263" spans="1:50" ht="50.25" customHeight="1" thickTop="1" thickBot="1">
      <c r="A263" s="188"/>
      <c r="B263" s="125" t="str">
        <f t="shared" si="171"/>
        <v/>
      </c>
      <c r="C263" s="125"/>
      <c r="D263" s="126"/>
      <c r="E263" s="126"/>
      <c r="F263" s="122" t="str">
        <f t="shared" ref="F263:F318" si="179">IF(AS263&lt;&gt;"",_xlfn.CONCAT(AR263,"-",AS263,"-",IF(L263&lt;&gt;"",TEXT(L263,"yyyy"),"0000"),"-",REPT(0,4-LEN(D263))&amp;D263),"")</f>
        <v/>
      </c>
      <c r="G263" s="186"/>
      <c r="H263" s="124"/>
      <c r="I263" s="239"/>
      <c r="J263" s="80" t="str">
        <f t="shared" si="160"/>
        <v/>
      </c>
      <c r="K263" s="177">
        <f t="shared" si="177"/>
        <v>0</v>
      </c>
      <c r="L263" s="160"/>
      <c r="M263" s="161"/>
      <c r="N263" s="162"/>
      <c r="O263" s="162"/>
      <c r="P263" s="163"/>
      <c r="Q263" s="202"/>
      <c r="R263" s="204"/>
      <c r="S263" s="211"/>
      <c r="T263" s="211"/>
      <c r="U263" s="211"/>
      <c r="V263" s="211"/>
      <c r="W263" s="211"/>
      <c r="X263" s="154"/>
      <c r="Y263" s="173" t="str">
        <f t="shared" si="174"/>
        <v/>
      </c>
      <c r="Z263" s="83" t="str">
        <f t="shared" si="161"/>
        <v/>
      </c>
      <c r="AA263" s="84" t="str">
        <f t="shared" si="172"/>
        <v/>
      </c>
      <c r="AB263" s="84" t="str">
        <f t="shared" si="173"/>
        <v/>
      </c>
      <c r="AC263" s="84" t="str">
        <f t="shared" si="162"/>
        <v/>
      </c>
      <c r="AD263" s="84"/>
      <c r="AE263" s="84" t="str">
        <f t="shared" si="168"/>
        <v/>
      </c>
      <c r="AF263" s="84">
        <f t="shared" si="175"/>
        <v>0</v>
      </c>
      <c r="AG263" s="94" t="str">
        <f t="shared" si="169"/>
        <v/>
      </c>
      <c r="AH263" s="85" t="str">
        <f>IFERROR(VLOOKUP(A263,CUSTOMERS!$A:$E,4),"")</f>
        <v/>
      </c>
      <c r="AI263" s="86" t="str">
        <f t="shared" si="178"/>
        <v/>
      </c>
      <c r="AJ263" s="87" t="str">
        <f>IFERROR(VLOOKUP(A263,CUSTOMERS!$A:$F,5),"")</f>
        <v/>
      </c>
      <c r="AK263" s="98"/>
      <c r="AL263" s="98">
        <v>0</v>
      </c>
      <c r="AM263" s="99">
        <v>0</v>
      </c>
      <c r="AN263" s="99"/>
      <c r="AO263" s="99">
        <v>0</v>
      </c>
      <c r="AP263" s="103">
        <f t="shared" si="163"/>
        <v>0</v>
      </c>
      <c r="AQ263" s="103" t="str">
        <f t="shared" si="176"/>
        <v/>
      </c>
      <c r="AR263" s="68" t="str">
        <f>IFERROR(VLOOKUP(A263,CUSTOMERS!$A:$B,2),"")</f>
        <v/>
      </c>
      <c r="AS263" s="68" t="str">
        <f>IFERROR(VLOOKUP(A263,CUSTOMERS!$A:$D,3),"")</f>
        <v/>
      </c>
      <c r="AT263" s="68" t="str">
        <f>IFERROR(VLOOKUP(A263,CUSTOMERS!$A:$F,6),"")</f>
        <v/>
      </c>
      <c r="AU263" s="69" t="str">
        <f>IFERROR(VLOOKUP(A263,CUSTOMERS!$A:$E,4),"")</f>
        <v/>
      </c>
      <c r="AV263" s="68" t="str">
        <f t="shared" si="170"/>
        <v/>
      </c>
      <c r="AX263" s="71" t="str">
        <f t="shared" si="167"/>
        <v>reason263</v>
      </c>
    </row>
    <row r="264" spans="1:50" ht="50.25" customHeight="1" thickTop="1" thickBot="1">
      <c r="A264" s="188"/>
      <c r="B264" s="125" t="str">
        <f t="shared" si="171"/>
        <v/>
      </c>
      <c r="C264" s="125"/>
      <c r="D264" s="126"/>
      <c r="E264" s="126"/>
      <c r="F264" s="122" t="str">
        <f t="shared" si="179"/>
        <v/>
      </c>
      <c r="G264" s="186"/>
      <c r="H264" s="124"/>
      <c r="I264" s="239"/>
      <c r="J264" s="80" t="str">
        <f t="shared" si="160"/>
        <v/>
      </c>
      <c r="K264" s="177">
        <f t="shared" si="177"/>
        <v>0</v>
      </c>
      <c r="L264" s="160"/>
      <c r="M264" s="161"/>
      <c r="N264" s="162"/>
      <c r="O264" s="162"/>
      <c r="P264" s="163"/>
      <c r="Q264" s="202"/>
      <c r="R264" s="204"/>
      <c r="S264" s="211"/>
      <c r="T264" s="211"/>
      <c r="U264" s="211"/>
      <c r="V264" s="211"/>
      <c r="W264" s="211"/>
      <c r="X264" s="154"/>
      <c r="Y264" s="173" t="str">
        <f t="shared" si="174"/>
        <v/>
      </c>
      <c r="Z264" s="83" t="str">
        <f t="shared" si="161"/>
        <v/>
      </c>
      <c r="AA264" s="84" t="str">
        <f t="shared" si="172"/>
        <v/>
      </c>
      <c r="AB264" s="84" t="str">
        <f t="shared" si="173"/>
        <v/>
      </c>
      <c r="AC264" s="84" t="str">
        <f t="shared" si="162"/>
        <v/>
      </c>
      <c r="AD264" s="84"/>
      <c r="AE264" s="84" t="str">
        <f t="shared" si="168"/>
        <v/>
      </c>
      <c r="AF264" s="84">
        <f t="shared" si="175"/>
        <v>0</v>
      </c>
      <c r="AG264" s="94" t="str">
        <f t="shared" si="169"/>
        <v/>
      </c>
      <c r="AH264" s="85" t="str">
        <f>IFERROR(VLOOKUP(A264,CUSTOMERS!$A:$E,4),"")</f>
        <v/>
      </c>
      <c r="AI264" s="86" t="str">
        <f t="shared" si="178"/>
        <v/>
      </c>
      <c r="AJ264" s="87" t="str">
        <f>IFERROR(VLOOKUP(A264,CUSTOMERS!$A:$F,5),"")</f>
        <v/>
      </c>
      <c r="AK264" s="98"/>
      <c r="AL264" s="98">
        <v>0</v>
      </c>
      <c r="AM264" s="99">
        <v>0</v>
      </c>
      <c r="AN264" s="99"/>
      <c r="AO264" s="99">
        <v>0</v>
      </c>
      <c r="AP264" s="103">
        <f t="shared" si="163"/>
        <v>0</v>
      </c>
      <c r="AQ264" s="103" t="str">
        <f t="shared" si="176"/>
        <v/>
      </c>
      <c r="AR264" s="68" t="str">
        <f>IFERROR(VLOOKUP(A264,CUSTOMERS!$A:$B,2),"")</f>
        <v/>
      </c>
      <c r="AS264" s="68" t="str">
        <f>IFERROR(VLOOKUP(A264,CUSTOMERS!$A:$D,3),"")</f>
        <v/>
      </c>
      <c r="AT264" s="68" t="str">
        <f>IFERROR(VLOOKUP(A264,CUSTOMERS!$A:$F,6),"")</f>
        <v/>
      </c>
      <c r="AU264" s="69" t="str">
        <f>IFERROR(VLOOKUP(A264,CUSTOMERS!$A:$E,4),"")</f>
        <v/>
      </c>
      <c r="AV264" s="68" t="str">
        <f t="shared" si="170"/>
        <v/>
      </c>
      <c r="AX264" s="71" t="str">
        <f t="shared" si="167"/>
        <v>reason264</v>
      </c>
    </row>
    <row r="265" spans="1:50" ht="50.25" customHeight="1" thickTop="1" thickBot="1">
      <c r="A265" s="188"/>
      <c r="B265" s="125" t="str">
        <f t="shared" si="171"/>
        <v/>
      </c>
      <c r="C265" s="125"/>
      <c r="D265" s="126"/>
      <c r="E265" s="126"/>
      <c r="F265" s="122" t="str">
        <f t="shared" si="179"/>
        <v/>
      </c>
      <c r="G265" s="186"/>
      <c r="H265" s="124"/>
      <c r="I265" s="239"/>
      <c r="J265" s="80" t="str">
        <f t="shared" si="160"/>
        <v/>
      </c>
      <c r="K265" s="177">
        <f t="shared" si="177"/>
        <v>0</v>
      </c>
      <c r="L265" s="160"/>
      <c r="M265" s="161"/>
      <c r="N265" s="162"/>
      <c r="O265" s="162"/>
      <c r="P265" s="163"/>
      <c r="Q265" s="202"/>
      <c r="R265" s="204"/>
      <c r="S265" s="211"/>
      <c r="T265" s="211"/>
      <c r="U265" s="211"/>
      <c r="V265" s="211"/>
      <c r="W265" s="211"/>
      <c r="X265" s="154"/>
      <c r="Y265" s="173" t="str">
        <f t="shared" si="174"/>
        <v/>
      </c>
      <c r="Z265" s="83" t="str">
        <f t="shared" si="161"/>
        <v/>
      </c>
      <c r="AA265" s="84" t="str">
        <f t="shared" si="172"/>
        <v/>
      </c>
      <c r="AB265" s="84" t="str">
        <f t="shared" si="173"/>
        <v/>
      </c>
      <c r="AC265" s="84" t="str">
        <f t="shared" si="162"/>
        <v/>
      </c>
      <c r="AD265" s="84"/>
      <c r="AE265" s="84" t="str">
        <f t="shared" si="168"/>
        <v/>
      </c>
      <c r="AF265" s="84">
        <f t="shared" si="175"/>
        <v>0</v>
      </c>
      <c r="AG265" s="94" t="str">
        <f t="shared" si="169"/>
        <v/>
      </c>
      <c r="AH265" s="85" t="str">
        <f>IFERROR(VLOOKUP(A265,CUSTOMERS!$A:$E,4),"")</f>
        <v/>
      </c>
      <c r="AI265" s="86" t="str">
        <f t="shared" si="178"/>
        <v/>
      </c>
      <c r="AJ265" s="87" t="str">
        <f>IFERROR(VLOOKUP(A265,CUSTOMERS!$A:$F,5),"")</f>
        <v/>
      </c>
      <c r="AK265" s="98"/>
      <c r="AL265" s="98">
        <v>0</v>
      </c>
      <c r="AM265" s="99">
        <v>0</v>
      </c>
      <c r="AN265" s="99"/>
      <c r="AO265" s="99">
        <v>0</v>
      </c>
      <c r="AP265" s="103">
        <f t="shared" si="163"/>
        <v>0</v>
      </c>
      <c r="AQ265" s="103" t="str">
        <f t="shared" si="176"/>
        <v/>
      </c>
      <c r="AR265" s="68" t="str">
        <f>IFERROR(VLOOKUP(A265,CUSTOMERS!$A:$B,2),"")</f>
        <v/>
      </c>
      <c r="AS265" s="68" t="str">
        <f>IFERROR(VLOOKUP(A265,CUSTOMERS!$A:$D,3),"")</f>
        <v/>
      </c>
      <c r="AT265" s="68" t="str">
        <f>IFERROR(VLOOKUP(A265,CUSTOMERS!$A:$F,6),"")</f>
        <v/>
      </c>
      <c r="AU265" s="69" t="str">
        <f>IFERROR(VLOOKUP(A265,CUSTOMERS!$A:$E,4),"")</f>
        <v/>
      </c>
      <c r="AV265" s="68" t="str">
        <f t="shared" si="170"/>
        <v/>
      </c>
      <c r="AX265" s="71" t="str">
        <f t="shared" si="167"/>
        <v>reason265</v>
      </c>
    </row>
    <row r="266" spans="1:50" ht="50.25" customHeight="1" thickTop="1" thickBot="1">
      <c r="A266" s="188"/>
      <c r="B266" s="125" t="str">
        <f t="shared" si="171"/>
        <v/>
      </c>
      <c r="C266" s="125"/>
      <c r="D266" s="126"/>
      <c r="E266" s="126"/>
      <c r="F266" s="122" t="str">
        <f t="shared" si="179"/>
        <v/>
      </c>
      <c r="G266" s="186"/>
      <c r="H266" s="124"/>
      <c r="I266" s="239"/>
      <c r="J266" s="80" t="str">
        <f t="shared" si="160"/>
        <v/>
      </c>
      <c r="K266" s="177">
        <f t="shared" si="177"/>
        <v>0</v>
      </c>
      <c r="L266" s="160"/>
      <c r="M266" s="161"/>
      <c r="N266" s="162"/>
      <c r="O266" s="162"/>
      <c r="P266" s="163"/>
      <c r="Q266" s="202"/>
      <c r="R266" s="204"/>
      <c r="S266" s="211"/>
      <c r="T266" s="211"/>
      <c r="U266" s="211"/>
      <c r="V266" s="211"/>
      <c r="W266" s="211"/>
      <c r="X266" s="154"/>
      <c r="Y266" s="173" t="str">
        <f t="shared" si="174"/>
        <v/>
      </c>
      <c r="Z266" s="83" t="str">
        <f t="shared" si="161"/>
        <v/>
      </c>
      <c r="AA266" s="84" t="str">
        <f t="shared" si="172"/>
        <v/>
      </c>
      <c r="AB266" s="84" t="str">
        <f t="shared" si="173"/>
        <v/>
      </c>
      <c r="AC266" s="84" t="str">
        <f t="shared" si="162"/>
        <v/>
      </c>
      <c r="AD266" s="84"/>
      <c r="AE266" s="84" t="str">
        <f t="shared" si="168"/>
        <v/>
      </c>
      <c r="AF266" s="84">
        <f t="shared" si="175"/>
        <v>0</v>
      </c>
      <c r="AG266" s="94" t="str">
        <f t="shared" si="169"/>
        <v/>
      </c>
      <c r="AH266" s="85" t="str">
        <f>IFERROR(VLOOKUP(A266,CUSTOMERS!$A:$E,4),"")</f>
        <v/>
      </c>
      <c r="AI266" s="86" t="str">
        <f t="shared" si="178"/>
        <v/>
      </c>
      <c r="AJ266" s="87" t="str">
        <f>IFERROR(VLOOKUP(A266,CUSTOMERS!$A:$F,5),"")</f>
        <v/>
      </c>
      <c r="AK266" s="98"/>
      <c r="AL266" s="98">
        <v>0</v>
      </c>
      <c r="AM266" s="99">
        <v>0</v>
      </c>
      <c r="AN266" s="99"/>
      <c r="AO266" s="99">
        <v>0</v>
      </c>
      <c r="AP266" s="103">
        <f t="shared" si="163"/>
        <v>0</v>
      </c>
      <c r="AQ266" s="103" t="str">
        <f t="shared" si="176"/>
        <v/>
      </c>
      <c r="AR266" s="68" t="str">
        <f>IFERROR(VLOOKUP(A266,CUSTOMERS!$A:$B,2),"")</f>
        <v/>
      </c>
      <c r="AS266" s="68" t="str">
        <f>IFERROR(VLOOKUP(A266,CUSTOMERS!$A:$D,3),"")</f>
        <v/>
      </c>
      <c r="AT266" s="68" t="str">
        <f>IFERROR(VLOOKUP(A266,CUSTOMERS!$A:$F,6),"")</f>
        <v/>
      </c>
      <c r="AU266" s="69" t="str">
        <f>IFERROR(VLOOKUP(A266,CUSTOMERS!$A:$E,4),"")</f>
        <v/>
      </c>
      <c r="AV266" s="68" t="str">
        <f t="shared" si="170"/>
        <v/>
      </c>
      <c r="AX266" s="71" t="str">
        <f t="shared" si="167"/>
        <v>reason266</v>
      </c>
    </row>
    <row r="267" spans="1:50" ht="50.25" customHeight="1" thickTop="1" thickBot="1">
      <c r="A267" s="188"/>
      <c r="B267" s="125" t="str">
        <f t="shared" si="171"/>
        <v/>
      </c>
      <c r="C267" s="125"/>
      <c r="D267" s="126"/>
      <c r="E267" s="126"/>
      <c r="F267" s="122" t="str">
        <f t="shared" si="179"/>
        <v/>
      </c>
      <c r="G267" s="186"/>
      <c r="H267" s="124"/>
      <c r="I267" s="239"/>
      <c r="J267" s="80" t="str">
        <f t="shared" si="160"/>
        <v/>
      </c>
      <c r="K267" s="177">
        <f t="shared" si="177"/>
        <v>0</v>
      </c>
      <c r="L267" s="160"/>
      <c r="M267" s="161"/>
      <c r="N267" s="162"/>
      <c r="O267" s="162"/>
      <c r="P267" s="163"/>
      <c r="Q267" s="202"/>
      <c r="R267" s="204"/>
      <c r="S267" s="211"/>
      <c r="T267" s="211"/>
      <c r="U267" s="211"/>
      <c r="V267" s="211"/>
      <c r="W267" s="211"/>
      <c r="X267" s="154"/>
      <c r="Y267" s="173" t="str">
        <f t="shared" si="174"/>
        <v/>
      </c>
      <c r="Z267" s="83" t="str">
        <f t="shared" si="161"/>
        <v/>
      </c>
      <c r="AA267" s="84" t="str">
        <f t="shared" si="172"/>
        <v/>
      </c>
      <c r="AB267" s="84" t="str">
        <f t="shared" si="173"/>
        <v/>
      </c>
      <c r="AC267" s="84" t="str">
        <f t="shared" si="162"/>
        <v/>
      </c>
      <c r="AD267" s="84"/>
      <c r="AE267" s="84" t="str">
        <f t="shared" si="168"/>
        <v/>
      </c>
      <c r="AF267" s="84">
        <f t="shared" si="175"/>
        <v>0</v>
      </c>
      <c r="AG267" s="94" t="str">
        <f t="shared" si="169"/>
        <v/>
      </c>
      <c r="AH267" s="85" t="str">
        <f>IFERROR(VLOOKUP(A267,CUSTOMERS!$A:$E,4),"")</f>
        <v/>
      </c>
      <c r="AI267" s="86" t="str">
        <f t="shared" si="178"/>
        <v/>
      </c>
      <c r="AJ267" s="87" t="str">
        <f>IFERROR(VLOOKUP(A267,CUSTOMERS!$A:$F,5),"")</f>
        <v/>
      </c>
      <c r="AK267" s="98"/>
      <c r="AL267" s="98">
        <v>0</v>
      </c>
      <c r="AM267" s="99">
        <v>0</v>
      </c>
      <c r="AN267" s="99"/>
      <c r="AO267" s="99">
        <v>0</v>
      </c>
      <c r="AP267" s="103">
        <f t="shared" si="163"/>
        <v>0</v>
      </c>
      <c r="AQ267" s="103" t="str">
        <f t="shared" si="176"/>
        <v/>
      </c>
      <c r="AR267" s="68" t="str">
        <f>IFERROR(VLOOKUP(A267,CUSTOMERS!$A:$B,2),"")</f>
        <v/>
      </c>
      <c r="AS267" s="68" t="str">
        <f>IFERROR(VLOOKUP(A267,CUSTOMERS!$A:$D,3),"")</f>
        <v/>
      </c>
      <c r="AT267" s="68" t="str">
        <f>IFERROR(VLOOKUP(A267,CUSTOMERS!$A:$F,6),"")</f>
        <v/>
      </c>
      <c r="AU267" s="69" t="str">
        <f>IFERROR(VLOOKUP(A267,CUSTOMERS!$A:$E,4),"")</f>
        <v/>
      </c>
      <c r="AV267" s="68" t="str">
        <f t="shared" si="170"/>
        <v/>
      </c>
      <c r="AX267" s="71" t="str">
        <f t="shared" si="167"/>
        <v>reason267</v>
      </c>
    </row>
    <row r="268" spans="1:50" ht="50.25" customHeight="1" thickTop="1" thickBot="1">
      <c r="A268" s="188"/>
      <c r="B268" s="125" t="str">
        <f t="shared" si="171"/>
        <v/>
      </c>
      <c r="C268" s="125"/>
      <c r="D268" s="126"/>
      <c r="E268" s="126"/>
      <c r="F268" s="122" t="str">
        <f t="shared" si="179"/>
        <v/>
      </c>
      <c r="G268" s="186"/>
      <c r="H268" s="124"/>
      <c r="I268" s="239"/>
      <c r="J268" s="80" t="str">
        <f t="shared" si="160"/>
        <v/>
      </c>
      <c r="K268" s="177">
        <f t="shared" si="177"/>
        <v>0</v>
      </c>
      <c r="L268" s="160"/>
      <c r="M268" s="161"/>
      <c r="N268" s="162"/>
      <c r="O268" s="162"/>
      <c r="P268" s="163"/>
      <c r="Q268" s="202"/>
      <c r="R268" s="204"/>
      <c r="S268" s="211"/>
      <c r="T268" s="211"/>
      <c r="U268" s="211"/>
      <c r="V268" s="211"/>
      <c r="W268" s="211"/>
      <c r="X268" s="154"/>
      <c r="Y268" s="173" t="str">
        <f t="shared" si="174"/>
        <v/>
      </c>
      <c r="Z268" s="83" t="str">
        <f t="shared" si="161"/>
        <v/>
      </c>
      <c r="AA268" s="84" t="str">
        <f t="shared" si="172"/>
        <v/>
      </c>
      <c r="AB268" s="84" t="str">
        <f t="shared" si="173"/>
        <v/>
      </c>
      <c r="AC268" s="84" t="str">
        <f t="shared" si="162"/>
        <v/>
      </c>
      <c r="AD268" s="84"/>
      <c r="AE268" s="84" t="str">
        <f t="shared" si="168"/>
        <v/>
      </c>
      <c r="AF268" s="84">
        <f t="shared" si="175"/>
        <v>0</v>
      </c>
      <c r="AG268" s="94" t="str">
        <f t="shared" si="169"/>
        <v/>
      </c>
      <c r="AH268" s="85" t="str">
        <f>IFERROR(VLOOKUP(A268,CUSTOMERS!$A:$E,4),"")</f>
        <v/>
      </c>
      <c r="AI268" s="86" t="str">
        <f t="shared" si="178"/>
        <v/>
      </c>
      <c r="AJ268" s="87" t="str">
        <f>IFERROR(VLOOKUP(A268,CUSTOMERS!$A:$F,5),"")</f>
        <v/>
      </c>
      <c r="AK268" s="98"/>
      <c r="AL268" s="98">
        <v>0</v>
      </c>
      <c r="AM268" s="99">
        <v>0</v>
      </c>
      <c r="AN268" s="99"/>
      <c r="AO268" s="99">
        <v>0</v>
      </c>
      <c r="AP268" s="103">
        <f t="shared" si="163"/>
        <v>0</v>
      </c>
      <c r="AQ268" s="103" t="str">
        <f t="shared" si="176"/>
        <v/>
      </c>
      <c r="AR268" s="68" t="str">
        <f>IFERROR(VLOOKUP(A268,CUSTOMERS!$A:$B,2),"")</f>
        <v/>
      </c>
      <c r="AS268" s="68" t="str">
        <f>IFERROR(VLOOKUP(A268,CUSTOMERS!$A:$D,3),"")</f>
        <v/>
      </c>
      <c r="AT268" s="68" t="str">
        <f>IFERROR(VLOOKUP(A268,CUSTOMERS!$A:$F,6),"")</f>
        <v/>
      </c>
      <c r="AU268" s="69" t="str">
        <f>IFERROR(VLOOKUP(A268,CUSTOMERS!$A:$E,4),"")</f>
        <v/>
      </c>
      <c r="AV268" s="68" t="str">
        <f t="shared" si="170"/>
        <v/>
      </c>
      <c r="AX268" s="71" t="str">
        <f t="shared" si="167"/>
        <v>reason268</v>
      </c>
    </row>
    <row r="269" spans="1:50" ht="50.25" customHeight="1" thickTop="1" thickBot="1">
      <c r="A269" s="188"/>
      <c r="B269" s="125" t="str">
        <f t="shared" si="171"/>
        <v/>
      </c>
      <c r="C269" s="125"/>
      <c r="D269" s="126"/>
      <c r="E269" s="126"/>
      <c r="F269" s="122" t="str">
        <f t="shared" si="179"/>
        <v/>
      </c>
      <c r="G269" s="186"/>
      <c r="H269" s="124"/>
      <c r="I269" s="239"/>
      <c r="J269" s="80" t="str">
        <f t="shared" si="160"/>
        <v/>
      </c>
      <c r="K269" s="177">
        <f t="shared" si="177"/>
        <v>0</v>
      </c>
      <c r="L269" s="160"/>
      <c r="M269" s="161"/>
      <c r="N269" s="162"/>
      <c r="O269" s="162"/>
      <c r="P269" s="163"/>
      <c r="Q269" s="202"/>
      <c r="R269" s="204"/>
      <c r="S269" s="211"/>
      <c r="T269" s="211"/>
      <c r="U269" s="211"/>
      <c r="V269" s="211"/>
      <c r="W269" s="211"/>
      <c r="X269" s="154"/>
      <c r="Y269" s="173" t="str">
        <f t="shared" si="174"/>
        <v/>
      </c>
      <c r="Z269" s="83" t="str">
        <f t="shared" si="161"/>
        <v/>
      </c>
      <c r="AA269" s="84" t="str">
        <f t="shared" si="172"/>
        <v/>
      </c>
      <c r="AB269" s="84" t="str">
        <f t="shared" si="173"/>
        <v/>
      </c>
      <c r="AC269" s="84" t="str">
        <f t="shared" si="162"/>
        <v/>
      </c>
      <c r="AD269" s="84"/>
      <c r="AE269" s="84" t="str">
        <f t="shared" si="168"/>
        <v/>
      </c>
      <c r="AF269" s="84">
        <f t="shared" si="175"/>
        <v>0</v>
      </c>
      <c r="AG269" s="94" t="str">
        <f t="shared" si="169"/>
        <v/>
      </c>
      <c r="AH269" s="85" t="str">
        <f>IFERROR(VLOOKUP(A269,CUSTOMERS!$A:$E,4),"")</f>
        <v/>
      </c>
      <c r="AI269" s="86" t="str">
        <f t="shared" si="178"/>
        <v/>
      </c>
      <c r="AJ269" s="87" t="str">
        <f>IFERROR(VLOOKUP(A269,CUSTOMERS!$A:$F,5),"")</f>
        <v/>
      </c>
      <c r="AK269" s="98"/>
      <c r="AL269" s="98">
        <v>0</v>
      </c>
      <c r="AM269" s="99">
        <v>0</v>
      </c>
      <c r="AN269" s="99"/>
      <c r="AO269" s="99">
        <v>0</v>
      </c>
      <c r="AP269" s="103">
        <f t="shared" si="163"/>
        <v>0</v>
      </c>
      <c r="AQ269" s="103" t="str">
        <f t="shared" si="176"/>
        <v/>
      </c>
      <c r="AR269" s="68" t="str">
        <f>IFERROR(VLOOKUP(A269,CUSTOMERS!$A:$B,2),"")</f>
        <v/>
      </c>
      <c r="AS269" s="68" t="str">
        <f>IFERROR(VLOOKUP(A269,CUSTOMERS!$A:$D,3),"")</f>
        <v/>
      </c>
      <c r="AT269" s="68" t="str">
        <f>IFERROR(VLOOKUP(A269,CUSTOMERS!$A:$F,6),"")</f>
        <v/>
      </c>
      <c r="AU269" s="69" t="str">
        <f>IFERROR(VLOOKUP(A269,CUSTOMERS!$A:$E,4),"")</f>
        <v/>
      </c>
      <c r="AV269" s="68" t="str">
        <f t="shared" si="170"/>
        <v/>
      </c>
      <c r="AX269" s="71" t="str">
        <f t="shared" si="167"/>
        <v>reason269</v>
      </c>
    </row>
    <row r="270" spans="1:50" ht="50.25" customHeight="1" thickTop="1" thickBot="1">
      <c r="A270" s="188"/>
      <c r="B270" s="125" t="str">
        <f t="shared" ref="B270:B301" si="180">AT270</f>
        <v/>
      </c>
      <c r="C270" s="125"/>
      <c r="D270" s="126"/>
      <c r="E270" s="126"/>
      <c r="F270" s="122" t="str">
        <f t="shared" si="179"/>
        <v/>
      </c>
      <c r="G270" s="186"/>
      <c r="H270" s="124"/>
      <c r="I270" s="239"/>
      <c r="J270" s="80" t="str">
        <f t="shared" si="160"/>
        <v/>
      </c>
      <c r="K270" s="177">
        <f t="shared" si="177"/>
        <v>0</v>
      </c>
      <c r="L270" s="160"/>
      <c r="M270" s="161"/>
      <c r="N270" s="162"/>
      <c r="O270" s="162"/>
      <c r="P270" s="163"/>
      <c r="Q270" s="202"/>
      <c r="R270" s="204"/>
      <c r="S270" s="211"/>
      <c r="T270" s="211"/>
      <c r="U270" s="211"/>
      <c r="V270" s="211"/>
      <c r="W270" s="211"/>
      <c r="X270" s="154"/>
      <c r="Y270" s="173" t="str">
        <f t="shared" si="174"/>
        <v/>
      </c>
      <c r="Z270" s="83" t="str">
        <f t="shared" si="161"/>
        <v/>
      </c>
      <c r="AA270" s="84" t="str">
        <f t="shared" si="172"/>
        <v/>
      </c>
      <c r="AB270" s="84" t="str">
        <f t="shared" si="173"/>
        <v/>
      </c>
      <c r="AC270" s="84" t="str">
        <f t="shared" si="162"/>
        <v/>
      </c>
      <c r="AD270" s="84"/>
      <c r="AE270" s="84" t="str">
        <f t="shared" si="168"/>
        <v/>
      </c>
      <c r="AF270" s="84">
        <f t="shared" si="175"/>
        <v>0</v>
      </c>
      <c r="AG270" s="94" t="str">
        <f t="shared" si="169"/>
        <v/>
      </c>
      <c r="AH270" s="85" t="str">
        <f>IFERROR(VLOOKUP(A270,CUSTOMERS!$A:$E,4),"")</f>
        <v/>
      </c>
      <c r="AI270" s="86" t="str">
        <f t="shared" si="178"/>
        <v/>
      </c>
      <c r="AJ270" s="87" t="str">
        <f>IFERROR(VLOOKUP(A270,CUSTOMERS!$A:$F,5),"")</f>
        <v/>
      </c>
      <c r="AK270" s="98"/>
      <c r="AL270" s="98">
        <v>0</v>
      </c>
      <c r="AM270" s="99">
        <v>0</v>
      </c>
      <c r="AN270" s="99"/>
      <c r="AO270" s="99">
        <v>0</v>
      </c>
      <c r="AP270" s="103">
        <f t="shared" si="163"/>
        <v>0</v>
      </c>
      <c r="AQ270" s="103" t="str">
        <f t="shared" si="176"/>
        <v/>
      </c>
      <c r="AR270" s="68" t="str">
        <f>IFERROR(VLOOKUP(A270,CUSTOMERS!$A:$B,2),"")</f>
        <v/>
      </c>
      <c r="AS270" s="68" t="str">
        <f>IFERROR(VLOOKUP(A270,CUSTOMERS!$A:$D,3),"")</f>
        <v/>
      </c>
      <c r="AT270" s="68" t="str">
        <f>IFERROR(VLOOKUP(A270,CUSTOMERS!$A:$F,6),"")</f>
        <v/>
      </c>
      <c r="AU270" s="69" t="str">
        <f>IFERROR(VLOOKUP(A270,CUSTOMERS!$A:$E,4),"")</f>
        <v/>
      </c>
      <c r="AV270" s="68" t="str">
        <f t="shared" si="170"/>
        <v/>
      </c>
      <c r="AX270" s="71" t="str">
        <f t="shared" si="167"/>
        <v>reason270</v>
      </c>
    </row>
    <row r="271" spans="1:50" ht="50.25" customHeight="1" thickTop="1" thickBot="1">
      <c r="A271" s="188"/>
      <c r="B271" s="125" t="str">
        <f t="shared" si="180"/>
        <v/>
      </c>
      <c r="C271" s="125"/>
      <c r="D271" s="126"/>
      <c r="E271" s="126"/>
      <c r="F271" s="122" t="str">
        <f t="shared" si="179"/>
        <v/>
      </c>
      <c r="G271" s="186"/>
      <c r="H271" s="124"/>
      <c r="I271" s="239"/>
      <c r="J271" s="80" t="str">
        <f t="shared" si="160"/>
        <v/>
      </c>
      <c r="K271" s="177">
        <f t="shared" si="177"/>
        <v>0</v>
      </c>
      <c r="L271" s="160"/>
      <c r="M271" s="161"/>
      <c r="N271" s="162"/>
      <c r="O271" s="162"/>
      <c r="P271" s="163"/>
      <c r="Q271" s="202"/>
      <c r="R271" s="204"/>
      <c r="S271" s="211"/>
      <c r="T271" s="211"/>
      <c r="U271" s="211"/>
      <c r="V271" s="211"/>
      <c r="W271" s="211"/>
      <c r="X271" s="154"/>
      <c r="Y271" s="173" t="str">
        <f t="shared" si="174"/>
        <v/>
      </c>
      <c r="Z271" s="83" t="str">
        <f t="shared" si="161"/>
        <v/>
      </c>
      <c r="AA271" s="84" t="str">
        <f t="shared" si="172"/>
        <v/>
      </c>
      <c r="AB271" s="84" t="str">
        <f t="shared" si="173"/>
        <v/>
      </c>
      <c r="AC271" s="84" t="str">
        <f t="shared" si="162"/>
        <v/>
      </c>
      <c r="AD271" s="84"/>
      <c r="AE271" s="84" t="str">
        <f t="shared" si="168"/>
        <v/>
      </c>
      <c r="AF271" s="84">
        <f t="shared" si="175"/>
        <v>0</v>
      </c>
      <c r="AG271" s="94" t="str">
        <f t="shared" si="169"/>
        <v/>
      </c>
      <c r="AH271" s="85" t="str">
        <f>IFERROR(VLOOKUP(A271,CUSTOMERS!$A:$E,4),"")</f>
        <v/>
      </c>
      <c r="AI271" s="86" t="str">
        <f t="shared" si="178"/>
        <v/>
      </c>
      <c r="AJ271" s="87" t="str">
        <f>IFERROR(VLOOKUP(A271,CUSTOMERS!$A:$F,5),"")</f>
        <v/>
      </c>
      <c r="AK271" s="98"/>
      <c r="AL271" s="98">
        <v>0</v>
      </c>
      <c r="AM271" s="99">
        <v>0</v>
      </c>
      <c r="AN271" s="99"/>
      <c r="AO271" s="99">
        <v>0</v>
      </c>
      <c r="AP271" s="103">
        <f t="shared" si="163"/>
        <v>0</v>
      </c>
      <c r="AQ271" s="103" t="str">
        <f t="shared" si="176"/>
        <v/>
      </c>
      <c r="AR271" s="68" t="str">
        <f>IFERROR(VLOOKUP(A271,CUSTOMERS!$A:$B,2),"")</f>
        <v/>
      </c>
      <c r="AS271" s="68" t="str">
        <f>IFERROR(VLOOKUP(A271,CUSTOMERS!$A:$D,3),"")</f>
        <v/>
      </c>
      <c r="AT271" s="68" t="str">
        <f>IFERROR(VLOOKUP(A271,CUSTOMERS!$A:$F,6),"")</f>
        <v/>
      </c>
      <c r="AU271" s="69" t="str">
        <f>IFERROR(VLOOKUP(A271,CUSTOMERS!$A:$E,4),"")</f>
        <v/>
      </c>
      <c r="AV271" s="68" t="str">
        <f t="shared" si="170"/>
        <v/>
      </c>
      <c r="AX271" s="71" t="str">
        <f t="shared" si="167"/>
        <v>reason271</v>
      </c>
    </row>
    <row r="272" spans="1:50" ht="50.25" customHeight="1" thickTop="1" thickBot="1">
      <c r="A272" s="188"/>
      <c r="B272" s="125" t="str">
        <f t="shared" si="180"/>
        <v/>
      </c>
      <c r="C272" s="125"/>
      <c r="D272" s="126"/>
      <c r="E272" s="126"/>
      <c r="F272" s="122" t="str">
        <f t="shared" si="179"/>
        <v/>
      </c>
      <c r="G272" s="186"/>
      <c r="H272" s="124"/>
      <c r="I272" s="239"/>
      <c r="J272" s="80" t="str">
        <f t="shared" si="160"/>
        <v/>
      </c>
      <c r="K272" s="177">
        <f t="shared" si="177"/>
        <v>0</v>
      </c>
      <c r="L272" s="160"/>
      <c r="M272" s="161"/>
      <c r="N272" s="162"/>
      <c r="O272" s="162"/>
      <c r="P272" s="163"/>
      <c r="Q272" s="202"/>
      <c r="R272" s="204"/>
      <c r="S272" s="211"/>
      <c r="T272" s="211"/>
      <c r="U272" s="211"/>
      <c r="V272" s="211"/>
      <c r="W272" s="211"/>
      <c r="X272" s="154"/>
      <c r="Y272" s="173" t="str">
        <f t="shared" si="174"/>
        <v/>
      </c>
      <c r="Z272" s="83" t="str">
        <f t="shared" si="161"/>
        <v/>
      </c>
      <c r="AA272" s="84" t="str">
        <f t="shared" si="172"/>
        <v/>
      </c>
      <c r="AB272" s="84" t="str">
        <f t="shared" si="173"/>
        <v/>
      </c>
      <c r="AC272" s="84" t="str">
        <f t="shared" si="162"/>
        <v/>
      </c>
      <c r="AD272" s="84"/>
      <c r="AE272" s="84" t="str">
        <f t="shared" si="168"/>
        <v/>
      </c>
      <c r="AF272" s="84">
        <f t="shared" si="175"/>
        <v>0</v>
      </c>
      <c r="AG272" s="94" t="str">
        <f t="shared" si="169"/>
        <v/>
      </c>
      <c r="AH272" s="85" t="str">
        <f>IFERROR(VLOOKUP(A272,CUSTOMERS!$A:$E,4),"")</f>
        <v/>
      </c>
      <c r="AI272" s="86" t="str">
        <f t="shared" si="178"/>
        <v/>
      </c>
      <c r="AJ272" s="87" t="str">
        <f>IFERROR(VLOOKUP(A272,CUSTOMERS!$A:$F,5),"")</f>
        <v/>
      </c>
      <c r="AK272" s="98"/>
      <c r="AL272" s="98">
        <v>0</v>
      </c>
      <c r="AM272" s="99">
        <v>0</v>
      </c>
      <c r="AN272" s="99"/>
      <c r="AO272" s="99">
        <v>0</v>
      </c>
      <c r="AP272" s="103">
        <f t="shared" si="163"/>
        <v>0</v>
      </c>
      <c r="AQ272" s="103" t="str">
        <f t="shared" si="176"/>
        <v/>
      </c>
      <c r="AR272" s="68" t="str">
        <f>IFERROR(VLOOKUP(A272,CUSTOMERS!$A:$B,2),"")</f>
        <v/>
      </c>
      <c r="AS272" s="68" t="str">
        <f>IFERROR(VLOOKUP(A272,CUSTOMERS!$A:$D,3),"")</f>
        <v/>
      </c>
      <c r="AT272" s="68" t="str">
        <f>IFERROR(VLOOKUP(A272,CUSTOMERS!$A:$F,6),"")</f>
        <v/>
      </c>
      <c r="AU272" s="69" t="str">
        <f>IFERROR(VLOOKUP(A272,CUSTOMERS!$A:$E,4),"")</f>
        <v/>
      </c>
      <c r="AV272" s="68" t="str">
        <f t="shared" si="170"/>
        <v/>
      </c>
      <c r="AX272" s="71" t="str">
        <f t="shared" si="167"/>
        <v>reason272</v>
      </c>
    </row>
    <row r="273" spans="1:50" ht="50.25" customHeight="1" thickTop="1" thickBot="1">
      <c r="A273" s="188"/>
      <c r="B273" s="125" t="str">
        <f t="shared" si="180"/>
        <v/>
      </c>
      <c r="C273" s="125"/>
      <c r="D273" s="126"/>
      <c r="E273" s="126"/>
      <c r="F273" s="122" t="str">
        <f t="shared" si="179"/>
        <v/>
      </c>
      <c r="G273" s="186"/>
      <c r="H273" s="124"/>
      <c r="I273" s="239"/>
      <c r="J273" s="80" t="str">
        <f t="shared" si="160"/>
        <v/>
      </c>
      <c r="K273" s="177">
        <f t="shared" si="177"/>
        <v>0</v>
      </c>
      <c r="L273" s="160"/>
      <c r="M273" s="161"/>
      <c r="N273" s="162"/>
      <c r="O273" s="162"/>
      <c r="P273" s="163"/>
      <c r="Q273" s="202"/>
      <c r="R273" s="204"/>
      <c r="S273" s="211"/>
      <c r="T273" s="211"/>
      <c r="U273" s="211"/>
      <c r="V273" s="211"/>
      <c r="W273" s="211"/>
      <c r="X273" s="154"/>
      <c r="Y273" s="173" t="str">
        <f t="shared" si="174"/>
        <v/>
      </c>
      <c r="Z273" s="83" t="str">
        <f t="shared" si="161"/>
        <v/>
      </c>
      <c r="AA273" s="84" t="str">
        <f t="shared" si="172"/>
        <v/>
      </c>
      <c r="AB273" s="84" t="str">
        <f t="shared" si="173"/>
        <v/>
      </c>
      <c r="AC273" s="84" t="str">
        <f t="shared" si="162"/>
        <v/>
      </c>
      <c r="AD273" s="84"/>
      <c r="AE273" s="84" t="str">
        <f t="shared" si="168"/>
        <v/>
      </c>
      <c r="AF273" s="84">
        <f t="shared" si="175"/>
        <v>0</v>
      </c>
      <c r="AG273" s="94" t="str">
        <f t="shared" si="169"/>
        <v/>
      </c>
      <c r="AH273" s="85" t="str">
        <f>IFERROR(VLOOKUP(A273,CUSTOMERS!$A:$E,4),"")</f>
        <v/>
      </c>
      <c r="AI273" s="86" t="str">
        <f t="shared" si="178"/>
        <v/>
      </c>
      <c r="AJ273" s="87" t="str">
        <f>IFERROR(VLOOKUP(A273,CUSTOMERS!$A:$F,5),"")</f>
        <v/>
      </c>
      <c r="AK273" s="98"/>
      <c r="AL273" s="98">
        <v>0</v>
      </c>
      <c r="AM273" s="99">
        <v>0</v>
      </c>
      <c r="AN273" s="99"/>
      <c r="AO273" s="99">
        <v>0</v>
      </c>
      <c r="AP273" s="103">
        <f t="shared" si="163"/>
        <v>0</v>
      </c>
      <c r="AQ273" s="103" t="str">
        <f t="shared" si="176"/>
        <v/>
      </c>
      <c r="AR273" s="68" t="str">
        <f>IFERROR(VLOOKUP(A273,CUSTOMERS!$A:$B,2),"")</f>
        <v/>
      </c>
      <c r="AS273" s="68" t="str">
        <f>IFERROR(VLOOKUP(A273,CUSTOMERS!$A:$D,3),"")</f>
        <v/>
      </c>
      <c r="AT273" s="68" t="str">
        <f>IFERROR(VLOOKUP(A273,CUSTOMERS!$A:$F,6),"")</f>
        <v/>
      </c>
      <c r="AU273" s="69" t="str">
        <f>IFERROR(VLOOKUP(A273,CUSTOMERS!$A:$E,4),"")</f>
        <v/>
      </c>
      <c r="AV273" s="68" t="str">
        <f t="shared" si="170"/>
        <v/>
      </c>
      <c r="AX273" s="71" t="str">
        <f t="shared" si="167"/>
        <v>reason273</v>
      </c>
    </row>
    <row r="274" spans="1:50" ht="50.25" customHeight="1" thickTop="1" thickBot="1">
      <c r="A274" s="188"/>
      <c r="B274" s="125" t="str">
        <f t="shared" si="180"/>
        <v/>
      </c>
      <c r="C274" s="125"/>
      <c r="D274" s="126"/>
      <c r="E274" s="126"/>
      <c r="F274" s="122" t="str">
        <f t="shared" si="179"/>
        <v/>
      </c>
      <c r="G274" s="186"/>
      <c r="H274" s="124"/>
      <c r="I274" s="239"/>
      <c r="J274" s="80" t="str">
        <f t="shared" si="160"/>
        <v/>
      </c>
      <c r="K274" s="177">
        <f t="shared" si="177"/>
        <v>0</v>
      </c>
      <c r="L274" s="160"/>
      <c r="M274" s="161"/>
      <c r="N274" s="162"/>
      <c r="O274" s="162"/>
      <c r="P274" s="163"/>
      <c r="Q274" s="202"/>
      <c r="R274" s="204"/>
      <c r="S274" s="211"/>
      <c r="T274" s="211"/>
      <c r="U274" s="211"/>
      <c r="V274" s="211"/>
      <c r="W274" s="211"/>
      <c r="X274" s="154"/>
      <c r="Y274" s="173" t="str">
        <f t="shared" si="174"/>
        <v/>
      </c>
      <c r="Z274" s="83" t="str">
        <f t="shared" si="161"/>
        <v/>
      </c>
      <c r="AA274" s="84" t="str">
        <f t="shared" si="172"/>
        <v/>
      </c>
      <c r="AB274" s="84" t="str">
        <f t="shared" si="173"/>
        <v/>
      </c>
      <c r="AC274" s="84" t="str">
        <f t="shared" si="162"/>
        <v/>
      </c>
      <c r="AD274" s="84"/>
      <c r="AE274" s="84" t="str">
        <f t="shared" si="168"/>
        <v/>
      </c>
      <c r="AF274" s="84">
        <f t="shared" ref="AF274:AF305" si="181">IFERROR(SUM(Z274:AE274),"")</f>
        <v>0</v>
      </c>
      <c r="AG274" s="94" t="str">
        <f t="shared" si="169"/>
        <v/>
      </c>
      <c r="AH274" s="85" t="str">
        <f>IFERROR(VLOOKUP(A274,CUSTOMERS!$A:$E,4),"")</f>
        <v/>
      </c>
      <c r="AI274" s="86" t="str">
        <f t="shared" si="178"/>
        <v/>
      </c>
      <c r="AJ274" s="87" t="str">
        <f>IFERROR(VLOOKUP(A274,CUSTOMERS!$A:$F,5),"")</f>
        <v/>
      </c>
      <c r="AK274" s="98"/>
      <c r="AL274" s="98">
        <v>0</v>
      </c>
      <c r="AM274" s="99">
        <v>0</v>
      </c>
      <c r="AN274" s="99"/>
      <c r="AO274" s="99">
        <v>0</v>
      </c>
      <c r="AP274" s="103">
        <f t="shared" si="163"/>
        <v>0</v>
      </c>
      <c r="AQ274" s="103" t="str">
        <f t="shared" si="176"/>
        <v/>
      </c>
      <c r="AR274" s="68" t="str">
        <f>IFERROR(VLOOKUP(A274,CUSTOMERS!$A:$B,2),"")</f>
        <v/>
      </c>
      <c r="AS274" s="68" t="str">
        <f>IFERROR(VLOOKUP(A274,CUSTOMERS!$A:$D,3),"")</f>
        <v/>
      </c>
      <c r="AT274" s="68" t="str">
        <f>IFERROR(VLOOKUP(A274,CUSTOMERS!$A:$F,6),"")</f>
        <v/>
      </c>
      <c r="AU274" s="69" t="str">
        <f>IFERROR(VLOOKUP(A274,CUSTOMERS!$A:$E,4),"")</f>
        <v/>
      </c>
      <c r="AV274" s="68" t="str">
        <f t="shared" si="170"/>
        <v/>
      </c>
      <c r="AX274" s="71" t="str">
        <f t="shared" si="167"/>
        <v>reason274</v>
      </c>
    </row>
    <row r="275" spans="1:50" ht="50.25" customHeight="1" thickTop="1" thickBot="1">
      <c r="A275" s="188"/>
      <c r="B275" s="125" t="str">
        <f t="shared" si="180"/>
        <v/>
      </c>
      <c r="C275" s="125"/>
      <c r="D275" s="126"/>
      <c r="E275" s="126"/>
      <c r="F275" s="122" t="str">
        <f t="shared" si="179"/>
        <v/>
      </c>
      <c r="G275" s="186"/>
      <c r="H275" s="124"/>
      <c r="I275" s="239"/>
      <c r="J275" s="80" t="str">
        <f t="shared" ref="J275:J318" si="182">Y275</f>
        <v/>
      </c>
      <c r="K275" s="177">
        <f t="shared" si="177"/>
        <v>0</v>
      </c>
      <c r="L275" s="160"/>
      <c r="M275" s="161"/>
      <c r="N275" s="162"/>
      <c r="O275" s="162"/>
      <c r="P275" s="163"/>
      <c r="Q275" s="202"/>
      <c r="R275" s="204"/>
      <c r="S275" s="211"/>
      <c r="T275" s="211"/>
      <c r="U275" s="211"/>
      <c r="V275" s="211"/>
      <c r="W275" s="211"/>
      <c r="X275" s="154"/>
      <c r="Y275" s="173" t="str">
        <f t="shared" si="174"/>
        <v/>
      </c>
      <c r="Z275" s="83" t="str">
        <f t="shared" ref="Z275:Z318" si="183">IFERROR((AK275*AH275)*7.5,"")</f>
        <v/>
      </c>
      <c r="AA275" s="84" t="str">
        <f t="shared" si="172"/>
        <v/>
      </c>
      <c r="AB275" s="84" t="str">
        <f t="shared" si="173"/>
        <v/>
      </c>
      <c r="AC275" s="84" t="str">
        <f t="shared" ref="AC275:AC318" si="184">IFERROR((AN275*AH275)*7.5,"")</f>
        <v/>
      </c>
      <c r="AD275" s="84"/>
      <c r="AE275" s="84" t="str">
        <f t="shared" si="168"/>
        <v/>
      </c>
      <c r="AF275" s="84">
        <f t="shared" si="181"/>
        <v>0</v>
      </c>
      <c r="AG275" s="94" t="str">
        <f t="shared" si="169"/>
        <v/>
      </c>
      <c r="AH275" s="85" t="str">
        <f>IFERROR(VLOOKUP(A275,CUSTOMERS!$A:$E,4),"")</f>
        <v/>
      </c>
      <c r="AI275" s="86" t="str">
        <f t="shared" si="178"/>
        <v/>
      </c>
      <c r="AJ275" s="87" t="str">
        <f>IFERROR(VLOOKUP(A275,CUSTOMERS!$A:$F,5),"")</f>
        <v/>
      </c>
      <c r="AK275" s="98"/>
      <c r="AL275" s="98">
        <v>0</v>
      </c>
      <c r="AM275" s="99">
        <v>0</v>
      </c>
      <c r="AN275" s="99"/>
      <c r="AO275" s="99">
        <v>0</v>
      </c>
      <c r="AP275" s="103">
        <f t="shared" ref="AP275:AP318" si="185">SUM(AK275:AO275)</f>
        <v>0</v>
      </c>
      <c r="AQ275" s="103" t="str">
        <f t="shared" si="176"/>
        <v/>
      </c>
      <c r="AR275" s="68" t="str">
        <f>IFERROR(VLOOKUP(A275,CUSTOMERS!$A:$B,2),"")</f>
        <v/>
      </c>
      <c r="AS275" s="68" t="str">
        <f>IFERROR(VLOOKUP(A275,CUSTOMERS!$A:$D,3),"")</f>
        <v/>
      </c>
      <c r="AT275" s="68" t="str">
        <f>IFERROR(VLOOKUP(A275,CUSTOMERS!$A:$F,6),"")</f>
        <v/>
      </c>
      <c r="AU275" s="69" t="str">
        <f>IFERROR(VLOOKUP(A275,CUSTOMERS!$A:$E,4),"")</f>
        <v/>
      </c>
      <c r="AV275" s="68" t="str">
        <f t="shared" si="170"/>
        <v/>
      </c>
      <c r="AX275" s="71" t="str">
        <f t="shared" si="167"/>
        <v>reason275</v>
      </c>
    </row>
    <row r="276" spans="1:50" thickTop="1" thickBot="1">
      <c r="A276" s="188"/>
      <c r="B276" s="125" t="str">
        <f t="shared" si="180"/>
        <v/>
      </c>
      <c r="C276" s="125"/>
      <c r="D276" s="126"/>
      <c r="E276" s="126"/>
      <c r="F276" s="122" t="str">
        <f t="shared" si="179"/>
        <v/>
      </c>
      <c r="G276" s="186"/>
      <c r="H276" s="124"/>
      <c r="I276" s="239"/>
      <c r="J276" s="80" t="str">
        <f t="shared" si="182"/>
        <v/>
      </c>
      <c r="K276" s="177">
        <f t="shared" si="177"/>
        <v>0</v>
      </c>
      <c r="L276" s="160"/>
      <c r="M276" s="161"/>
      <c r="N276" s="162"/>
      <c r="O276" s="162"/>
      <c r="P276" s="163"/>
      <c r="Q276" s="202"/>
      <c r="R276" s="204"/>
      <c r="S276" s="211"/>
      <c r="T276" s="211"/>
      <c r="U276" s="211"/>
      <c r="V276" s="211"/>
      <c r="W276" s="211"/>
      <c r="X276" s="154"/>
      <c r="Y276" s="173" t="str">
        <f t="shared" si="174"/>
        <v/>
      </c>
      <c r="Z276" s="83" t="str">
        <f t="shared" si="183"/>
        <v/>
      </c>
      <c r="AA276" s="84" t="str">
        <f t="shared" si="172"/>
        <v/>
      </c>
      <c r="AB276" s="84" t="str">
        <f t="shared" si="173"/>
        <v/>
      </c>
      <c r="AC276" s="84" t="str">
        <f t="shared" si="184"/>
        <v/>
      </c>
      <c r="AD276" s="84"/>
      <c r="AE276" s="84" t="str">
        <f t="shared" si="168"/>
        <v/>
      </c>
      <c r="AF276" s="84">
        <f t="shared" si="181"/>
        <v>0</v>
      </c>
      <c r="AG276" s="94" t="str">
        <f t="shared" si="169"/>
        <v/>
      </c>
      <c r="AH276" s="85" t="str">
        <f>IFERROR(VLOOKUP(A276,CUSTOMERS!$A:$E,4),"")</f>
        <v/>
      </c>
      <c r="AI276" s="86" t="str">
        <f t="shared" si="178"/>
        <v/>
      </c>
      <c r="AJ276" s="87" t="str">
        <f>IFERROR(VLOOKUP(A276,CUSTOMERS!$A:$F,5),"")</f>
        <v/>
      </c>
      <c r="AK276" s="98"/>
      <c r="AL276" s="98">
        <v>0</v>
      </c>
      <c r="AM276" s="99">
        <v>0</v>
      </c>
      <c r="AN276" s="99"/>
      <c r="AO276" s="99">
        <v>0</v>
      </c>
      <c r="AP276" s="103">
        <f t="shared" si="185"/>
        <v>0</v>
      </c>
      <c r="AQ276" s="103" t="str">
        <f t="shared" si="176"/>
        <v/>
      </c>
      <c r="AR276" s="68" t="str">
        <f>IFERROR(VLOOKUP(A276,CUSTOMERS!$A:$B,2),"")</f>
        <v/>
      </c>
      <c r="AS276" s="68" t="str">
        <f>IFERROR(VLOOKUP(A276,CUSTOMERS!$A:$D,3),"")</f>
        <v/>
      </c>
      <c r="AT276" s="68" t="str">
        <f>IFERROR(VLOOKUP(A276,CUSTOMERS!$A:$F,6),"")</f>
        <v/>
      </c>
      <c r="AU276" s="69" t="str">
        <f>IFERROR(VLOOKUP(A276,CUSTOMERS!$A:$E,4),"")</f>
        <v/>
      </c>
      <c r="AV276" s="68" t="str">
        <f t="shared" si="170"/>
        <v/>
      </c>
      <c r="AX276" s="71" t="str">
        <f t="shared" si="167"/>
        <v>reason276</v>
      </c>
    </row>
    <row r="277" spans="1:50" thickTop="1" thickBot="1">
      <c r="A277" s="188"/>
      <c r="B277" s="125" t="str">
        <f t="shared" si="180"/>
        <v/>
      </c>
      <c r="C277" s="125"/>
      <c r="D277" s="126"/>
      <c r="E277" s="126"/>
      <c r="F277" s="122" t="str">
        <f t="shared" si="179"/>
        <v/>
      </c>
      <c r="G277" s="186"/>
      <c r="H277" s="124"/>
      <c r="I277" s="239"/>
      <c r="J277" s="80" t="str">
        <f t="shared" si="182"/>
        <v/>
      </c>
      <c r="K277" s="177">
        <f t="shared" si="177"/>
        <v>0</v>
      </c>
      <c r="L277" s="160"/>
      <c r="M277" s="161"/>
      <c r="N277" s="162"/>
      <c r="O277" s="162"/>
      <c r="P277" s="163"/>
      <c r="Q277" s="202"/>
      <c r="R277" s="204"/>
      <c r="S277" s="211"/>
      <c r="T277" s="211"/>
      <c r="U277" s="211"/>
      <c r="V277" s="211"/>
      <c r="W277" s="211"/>
      <c r="X277" s="154"/>
      <c r="Y277" s="173" t="str">
        <f t="shared" si="174"/>
        <v/>
      </c>
      <c r="Z277" s="83" t="str">
        <f t="shared" si="183"/>
        <v/>
      </c>
      <c r="AA277" s="84" t="str">
        <f t="shared" si="172"/>
        <v/>
      </c>
      <c r="AB277" s="84" t="str">
        <f t="shared" si="173"/>
        <v/>
      </c>
      <c r="AC277" s="84" t="str">
        <f t="shared" si="184"/>
        <v/>
      </c>
      <c r="AD277" s="84"/>
      <c r="AE277" s="84" t="str">
        <f t="shared" si="168"/>
        <v/>
      </c>
      <c r="AF277" s="84">
        <f t="shared" si="181"/>
        <v>0</v>
      </c>
      <c r="AG277" s="94" t="str">
        <f t="shared" si="169"/>
        <v/>
      </c>
      <c r="AH277" s="85" t="str">
        <f>IFERROR(VLOOKUP(A277,CUSTOMERS!$A:$E,4),"")</f>
        <v/>
      </c>
      <c r="AI277" s="86" t="str">
        <f t="shared" si="178"/>
        <v/>
      </c>
      <c r="AJ277" s="87" t="str">
        <f>IFERROR(VLOOKUP(A277,CUSTOMERS!$A:$F,5),"")</f>
        <v/>
      </c>
      <c r="AK277" s="98"/>
      <c r="AL277" s="98">
        <v>0</v>
      </c>
      <c r="AM277" s="99">
        <v>0</v>
      </c>
      <c r="AN277" s="99"/>
      <c r="AO277" s="99">
        <v>0</v>
      </c>
      <c r="AP277" s="103">
        <f t="shared" si="185"/>
        <v>0</v>
      </c>
      <c r="AQ277" s="103" t="str">
        <f t="shared" si="176"/>
        <v/>
      </c>
      <c r="AR277" s="68" t="str">
        <f>IFERROR(VLOOKUP(A277,CUSTOMERS!$A:$B,2),"")</f>
        <v/>
      </c>
      <c r="AS277" s="68" t="str">
        <f>IFERROR(VLOOKUP(A277,CUSTOMERS!$A:$D,3),"")</f>
        <v/>
      </c>
      <c r="AT277" s="68" t="str">
        <f>IFERROR(VLOOKUP(A277,CUSTOMERS!$A:$F,6),"")</f>
        <v/>
      </c>
      <c r="AU277" s="69" t="str">
        <f>IFERROR(VLOOKUP(A277,CUSTOMERS!$A:$E,4),"")</f>
        <v/>
      </c>
      <c r="AV277" s="68" t="str">
        <f t="shared" si="170"/>
        <v/>
      </c>
      <c r="AX277" s="71" t="str">
        <f t="shared" si="167"/>
        <v>reason277</v>
      </c>
    </row>
    <row r="278" spans="1:50" thickTop="1" thickBot="1">
      <c r="A278" s="188"/>
      <c r="B278" s="125" t="str">
        <f t="shared" si="180"/>
        <v/>
      </c>
      <c r="C278" s="125"/>
      <c r="D278" s="126"/>
      <c r="E278" s="126"/>
      <c r="F278" s="122" t="str">
        <f t="shared" si="179"/>
        <v/>
      </c>
      <c r="G278" s="186"/>
      <c r="H278" s="124"/>
      <c r="I278" s="239"/>
      <c r="J278" s="80" t="str">
        <f t="shared" si="182"/>
        <v/>
      </c>
      <c r="K278" s="177">
        <f t="shared" si="177"/>
        <v>0</v>
      </c>
      <c r="L278" s="160"/>
      <c r="M278" s="161"/>
      <c r="N278" s="162"/>
      <c r="O278" s="162"/>
      <c r="P278" s="163"/>
      <c r="Q278" s="202"/>
      <c r="R278" s="204"/>
      <c r="S278" s="211"/>
      <c r="T278" s="211"/>
      <c r="U278" s="211"/>
      <c r="V278" s="211"/>
      <c r="W278" s="211"/>
      <c r="X278" s="154"/>
      <c r="Y278" s="173" t="str">
        <f t="shared" si="174"/>
        <v/>
      </c>
      <c r="Z278" s="83" t="str">
        <f t="shared" si="183"/>
        <v/>
      </c>
      <c r="AA278" s="84" t="str">
        <f t="shared" si="172"/>
        <v/>
      </c>
      <c r="AB278" s="84" t="str">
        <f t="shared" si="173"/>
        <v/>
      </c>
      <c r="AC278" s="84" t="str">
        <f t="shared" si="184"/>
        <v/>
      </c>
      <c r="AD278" s="84"/>
      <c r="AE278" s="84" t="str">
        <f t="shared" si="168"/>
        <v/>
      </c>
      <c r="AF278" s="84">
        <f t="shared" si="181"/>
        <v>0</v>
      </c>
      <c r="AG278" s="94" t="str">
        <f t="shared" si="169"/>
        <v/>
      </c>
      <c r="AH278" s="85" t="str">
        <f>IFERROR(VLOOKUP(A278,CUSTOMERS!$A:$E,4),"")</f>
        <v/>
      </c>
      <c r="AI278" s="86" t="str">
        <f t="shared" si="178"/>
        <v/>
      </c>
      <c r="AJ278" s="87" t="str">
        <f>IFERROR(VLOOKUP(A278,CUSTOMERS!$A:$F,5),"")</f>
        <v/>
      </c>
      <c r="AK278" s="98"/>
      <c r="AL278" s="98">
        <v>0</v>
      </c>
      <c r="AM278" s="99">
        <v>0</v>
      </c>
      <c r="AN278" s="99"/>
      <c r="AO278" s="99">
        <v>0</v>
      </c>
      <c r="AP278" s="103">
        <f t="shared" si="185"/>
        <v>0</v>
      </c>
      <c r="AQ278" s="103" t="str">
        <f t="shared" si="176"/>
        <v/>
      </c>
      <c r="AR278" s="68" t="str">
        <f>IFERROR(VLOOKUP(A278,CUSTOMERS!$A:$B,2),"")</f>
        <v/>
      </c>
      <c r="AS278" s="68" t="str">
        <f>IFERROR(VLOOKUP(A278,CUSTOMERS!$A:$D,3),"")</f>
        <v/>
      </c>
      <c r="AT278" s="68" t="str">
        <f>IFERROR(VLOOKUP(A278,CUSTOMERS!$A:$F,6),"")</f>
        <v/>
      </c>
      <c r="AU278" s="69" t="str">
        <f>IFERROR(VLOOKUP(A278,CUSTOMERS!$A:$E,4),"")</f>
        <v/>
      </c>
      <c r="AV278" s="68" t="str">
        <f t="shared" si="170"/>
        <v/>
      </c>
      <c r="AX278" s="71" t="str">
        <f t="shared" si="167"/>
        <v>reason278</v>
      </c>
    </row>
    <row r="279" spans="1:50" thickTop="1" thickBot="1">
      <c r="A279" s="188"/>
      <c r="B279" s="125" t="str">
        <f t="shared" si="180"/>
        <v/>
      </c>
      <c r="C279" s="125"/>
      <c r="D279" s="126"/>
      <c r="E279" s="126"/>
      <c r="F279" s="122" t="str">
        <f t="shared" si="179"/>
        <v/>
      </c>
      <c r="G279" s="186"/>
      <c r="H279" s="124"/>
      <c r="I279" s="239"/>
      <c r="J279" s="80" t="str">
        <f t="shared" si="182"/>
        <v/>
      </c>
      <c r="K279" s="177">
        <f t="shared" ref="K279:K310" si="186">MAX(L279:R279)</f>
        <v>0</v>
      </c>
      <c r="L279" s="160"/>
      <c r="M279" s="161"/>
      <c r="N279" s="162"/>
      <c r="O279" s="162"/>
      <c r="P279" s="163"/>
      <c r="Q279" s="202"/>
      <c r="R279" s="204"/>
      <c r="S279" s="211"/>
      <c r="T279" s="211"/>
      <c r="U279" s="211"/>
      <c r="V279" s="211"/>
      <c r="W279" s="211"/>
      <c r="X279" s="154"/>
      <c r="Y279" s="173" t="str">
        <f t="shared" si="174"/>
        <v/>
      </c>
      <c r="Z279" s="83" t="str">
        <f t="shared" si="183"/>
        <v/>
      </c>
      <c r="AA279" s="84" t="str">
        <f t="shared" si="172"/>
        <v/>
      </c>
      <c r="AB279" s="84" t="str">
        <f t="shared" si="173"/>
        <v/>
      </c>
      <c r="AC279" s="84" t="str">
        <f t="shared" si="184"/>
        <v/>
      </c>
      <c r="AD279" s="84"/>
      <c r="AE279" s="84" t="str">
        <f t="shared" si="168"/>
        <v/>
      </c>
      <c r="AF279" s="84">
        <f t="shared" si="181"/>
        <v>0</v>
      </c>
      <c r="AG279" s="94" t="str">
        <f t="shared" si="169"/>
        <v/>
      </c>
      <c r="AH279" s="85" t="str">
        <f>IFERROR(VLOOKUP(A279,CUSTOMERS!$A:$E,4),"")</f>
        <v/>
      </c>
      <c r="AI279" s="86" t="str">
        <f t="shared" si="178"/>
        <v/>
      </c>
      <c r="AJ279" s="87" t="str">
        <f>IFERROR(VLOOKUP(A279,CUSTOMERS!$A:$F,5),"")</f>
        <v/>
      </c>
      <c r="AK279" s="98"/>
      <c r="AL279" s="98">
        <v>0</v>
      </c>
      <c r="AM279" s="99">
        <v>0</v>
      </c>
      <c r="AN279" s="99"/>
      <c r="AO279" s="99">
        <v>0</v>
      </c>
      <c r="AP279" s="103">
        <f t="shared" si="185"/>
        <v>0</v>
      </c>
      <c r="AQ279" s="103" t="str">
        <f t="shared" si="176"/>
        <v/>
      </c>
      <c r="AR279" s="68" t="str">
        <f>IFERROR(VLOOKUP(A279,CUSTOMERS!$A:$B,2),"")</f>
        <v/>
      </c>
      <c r="AS279" s="68" t="str">
        <f>IFERROR(VLOOKUP(A279,CUSTOMERS!$A:$D,3),"")</f>
        <v/>
      </c>
      <c r="AT279" s="68" t="str">
        <f>IFERROR(VLOOKUP(A279,CUSTOMERS!$A:$F,6),"")</f>
        <v/>
      </c>
      <c r="AU279" s="69" t="str">
        <f>IFERROR(VLOOKUP(A279,CUSTOMERS!$A:$E,4),"")</f>
        <v/>
      </c>
      <c r="AV279" s="68" t="str">
        <f t="shared" si="170"/>
        <v/>
      </c>
      <c r="AX279" s="71" t="str">
        <f t="shared" si="167"/>
        <v>reason279</v>
      </c>
    </row>
    <row r="280" spans="1:50" thickTop="1" thickBot="1">
      <c r="A280" s="188"/>
      <c r="B280" s="125" t="str">
        <f t="shared" si="180"/>
        <v/>
      </c>
      <c r="C280" s="125"/>
      <c r="D280" s="126"/>
      <c r="E280" s="126"/>
      <c r="F280" s="122" t="str">
        <f t="shared" si="179"/>
        <v/>
      </c>
      <c r="G280" s="186"/>
      <c r="H280" s="124"/>
      <c r="I280" s="239"/>
      <c r="J280" s="80" t="str">
        <f t="shared" si="182"/>
        <v/>
      </c>
      <c r="K280" s="177">
        <f t="shared" si="186"/>
        <v>0</v>
      </c>
      <c r="L280" s="160"/>
      <c r="M280" s="161"/>
      <c r="N280" s="162"/>
      <c r="O280" s="162"/>
      <c r="P280" s="163"/>
      <c r="Q280" s="202"/>
      <c r="R280" s="204"/>
      <c r="S280" s="211"/>
      <c r="T280" s="211"/>
      <c r="U280" s="211"/>
      <c r="V280" s="211"/>
      <c r="W280" s="211"/>
      <c r="X280" s="154"/>
      <c r="Y280" s="173" t="str">
        <f t="shared" si="174"/>
        <v/>
      </c>
      <c r="Z280" s="83" t="str">
        <f t="shared" si="183"/>
        <v/>
      </c>
      <c r="AA280" s="84" t="str">
        <f t="shared" si="172"/>
        <v/>
      </c>
      <c r="AB280" s="84" t="str">
        <f t="shared" si="173"/>
        <v/>
      </c>
      <c r="AC280" s="84" t="str">
        <f t="shared" si="184"/>
        <v/>
      </c>
      <c r="AD280" s="84"/>
      <c r="AE280" s="84" t="str">
        <f t="shared" si="168"/>
        <v/>
      </c>
      <c r="AF280" s="84">
        <f t="shared" si="181"/>
        <v>0</v>
      </c>
      <c r="AG280" s="94" t="str">
        <f t="shared" si="169"/>
        <v/>
      </c>
      <c r="AH280" s="85" t="str">
        <f>IFERROR(VLOOKUP(A280,CUSTOMERS!$A:$E,4),"")</f>
        <v/>
      </c>
      <c r="AI280" s="86" t="str">
        <f t="shared" si="178"/>
        <v/>
      </c>
      <c r="AJ280" s="87" t="str">
        <f>IFERROR(VLOOKUP(A280,CUSTOMERS!$A:$F,5),"")</f>
        <v/>
      </c>
      <c r="AK280" s="98"/>
      <c r="AL280" s="98">
        <v>0</v>
      </c>
      <c r="AM280" s="99">
        <v>0</v>
      </c>
      <c r="AN280" s="99"/>
      <c r="AO280" s="99">
        <v>0</v>
      </c>
      <c r="AP280" s="103">
        <f t="shared" si="185"/>
        <v>0</v>
      </c>
      <c r="AQ280" s="103" t="str">
        <f t="shared" si="176"/>
        <v/>
      </c>
      <c r="AR280" s="68" t="str">
        <f>IFERROR(VLOOKUP(A280,CUSTOMERS!$A:$B,2),"")</f>
        <v/>
      </c>
      <c r="AS280" s="68" t="str">
        <f>IFERROR(VLOOKUP(A280,CUSTOMERS!$A:$D,3),"")</f>
        <v/>
      </c>
      <c r="AT280" s="68" t="str">
        <f>IFERROR(VLOOKUP(A280,CUSTOMERS!$A:$F,6),"")</f>
        <v/>
      </c>
      <c r="AU280" s="69" t="str">
        <f>IFERROR(VLOOKUP(A280,CUSTOMERS!$A:$E,4),"")</f>
        <v/>
      </c>
      <c r="AV280" s="68" t="str">
        <f t="shared" si="170"/>
        <v/>
      </c>
      <c r="AX280" s="71" t="str">
        <f t="shared" ref="AX280:AX318" si="187">"reason"&amp;ROW()</f>
        <v>reason280</v>
      </c>
    </row>
    <row r="281" spans="1:50" thickTop="1" thickBot="1">
      <c r="A281" s="188"/>
      <c r="B281" s="125" t="str">
        <f t="shared" si="180"/>
        <v/>
      </c>
      <c r="C281" s="125"/>
      <c r="D281" s="126"/>
      <c r="E281" s="126"/>
      <c r="F281" s="122" t="str">
        <f t="shared" si="179"/>
        <v/>
      </c>
      <c r="G281" s="186"/>
      <c r="H281" s="124"/>
      <c r="I281" s="239"/>
      <c r="J281" s="80" t="str">
        <f t="shared" si="182"/>
        <v/>
      </c>
      <c r="K281" s="177">
        <f t="shared" si="186"/>
        <v>0</v>
      </c>
      <c r="L281" s="160"/>
      <c r="M281" s="161"/>
      <c r="N281" s="162"/>
      <c r="O281" s="162"/>
      <c r="P281" s="163"/>
      <c r="Q281" s="202"/>
      <c r="R281" s="204"/>
      <c r="S281" s="211"/>
      <c r="T281" s="211"/>
      <c r="U281" s="211"/>
      <c r="V281" s="211"/>
      <c r="W281" s="211"/>
      <c r="X281" s="154"/>
      <c r="Y281" s="173" t="str">
        <f t="shared" si="174"/>
        <v/>
      </c>
      <c r="Z281" s="83" t="str">
        <f t="shared" si="183"/>
        <v/>
      </c>
      <c r="AA281" s="84" t="str">
        <f t="shared" si="172"/>
        <v/>
      </c>
      <c r="AB281" s="84" t="str">
        <f t="shared" si="173"/>
        <v/>
      </c>
      <c r="AC281" s="84" t="str">
        <f t="shared" si="184"/>
        <v/>
      </c>
      <c r="AD281" s="84"/>
      <c r="AE281" s="84" t="str">
        <f t="shared" si="168"/>
        <v/>
      </c>
      <c r="AF281" s="84">
        <f t="shared" si="181"/>
        <v>0</v>
      </c>
      <c r="AG281" s="94" t="str">
        <f t="shared" si="169"/>
        <v/>
      </c>
      <c r="AH281" s="85" t="str">
        <f>IFERROR(VLOOKUP(A281,CUSTOMERS!$A:$E,4),"")</f>
        <v/>
      </c>
      <c r="AI281" s="86" t="str">
        <f t="shared" si="178"/>
        <v/>
      </c>
      <c r="AJ281" s="87" t="str">
        <f>IFERROR(VLOOKUP(A281,CUSTOMERS!$A:$F,5),"")</f>
        <v/>
      </c>
      <c r="AK281" s="98"/>
      <c r="AL281" s="98">
        <v>0</v>
      </c>
      <c r="AM281" s="99">
        <v>0</v>
      </c>
      <c r="AN281" s="99"/>
      <c r="AO281" s="99">
        <v>0</v>
      </c>
      <c r="AP281" s="103">
        <f t="shared" si="185"/>
        <v>0</v>
      </c>
      <c r="AQ281" s="103" t="str">
        <f t="shared" si="176"/>
        <v/>
      </c>
      <c r="AR281" s="68" t="str">
        <f>IFERROR(VLOOKUP(A281,CUSTOMERS!$A:$B,2),"")</f>
        <v/>
      </c>
      <c r="AS281" s="68" t="str">
        <f>IFERROR(VLOOKUP(A281,CUSTOMERS!$A:$D,3),"")</f>
        <v/>
      </c>
      <c r="AT281" s="68" t="str">
        <f>IFERROR(VLOOKUP(A281,CUSTOMERS!$A:$F,6),"")</f>
        <v/>
      </c>
      <c r="AU281" s="69" t="str">
        <f>IFERROR(VLOOKUP(A281,CUSTOMERS!$A:$E,4),"")</f>
        <v/>
      </c>
      <c r="AV281" s="68" t="str">
        <f t="shared" si="170"/>
        <v/>
      </c>
      <c r="AX281" s="71" t="str">
        <f t="shared" si="187"/>
        <v>reason281</v>
      </c>
    </row>
    <row r="282" spans="1:50" thickTop="1" thickBot="1">
      <c r="A282" s="188"/>
      <c r="B282" s="125" t="str">
        <f t="shared" si="180"/>
        <v/>
      </c>
      <c r="C282" s="125"/>
      <c r="D282" s="126"/>
      <c r="E282" s="126"/>
      <c r="F282" s="122" t="str">
        <f t="shared" si="179"/>
        <v/>
      </c>
      <c r="G282" s="186"/>
      <c r="H282" s="124"/>
      <c r="I282" s="239"/>
      <c r="J282" s="80" t="str">
        <f t="shared" si="182"/>
        <v/>
      </c>
      <c r="K282" s="177">
        <f t="shared" si="186"/>
        <v>0</v>
      </c>
      <c r="L282" s="160"/>
      <c r="M282" s="161"/>
      <c r="N282" s="162"/>
      <c r="O282" s="162"/>
      <c r="P282" s="163"/>
      <c r="Q282" s="202"/>
      <c r="R282" s="204"/>
      <c r="S282" s="211"/>
      <c r="T282" s="211"/>
      <c r="U282" s="211"/>
      <c r="V282" s="211"/>
      <c r="W282" s="211"/>
      <c r="X282" s="154"/>
      <c r="Y282" s="173" t="str">
        <f t="shared" si="174"/>
        <v/>
      </c>
      <c r="Z282" s="83" t="str">
        <f t="shared" si="183"/>
        <v/>
      </c>
      <c r="AA282" s="84" t="str">
        <f t="shared" si="172"/>
        <v/>
      </c>
      <c r="AB282" s="84" t="str">
        <f t="shared" si="173"/>
        <v/>
      </c>
      <c r="AC282" s="84" t="str">
        <f t="shared" si="184"/>
        <v/>
      </c>
      <c r="AD282" s="84"/>
      <c r="AE282" s="84" t="str">
        <f t="shared" si="168"/>
        <v/>
      </c>
      <c r="AF282" s="84">
        <f t="shared" si="181"/>
        <v>0</v>
      </c>
      <c r="AG282" s="94" t="str">
        <f t="shared" si="169"/>
        <v/>
      </c>
      <c r="AH282" s="85" t="str">
        <f>IFERROR(VLOOKUP(A282,CUSTOMERS!$A:$E,4),"")</f>
        <v/>
      </c>
      <c r="AI282" s="86" t="str">
        <f t="shared" si="178"/>
        <v/>
      </c>
      <c r="AJ282" s="87" t="str">
        <f>IFERROR(VLOOKUP(A282,CUSTOMERS!$A:$F,5),"")</f>
        <v/>
      </c>
      <c r="AK282" s="98"/>
      <c r="AL282" s="98">
        <v>0</v>
      </c>
      <c r="AM282" s="99">
        <v>0</v>
      </c>
      <c r="AN282" s="99"/>
      <c r="AO282" s="99">
        <v>0</v>
      </c>
      <c r="AP282" s="103">
        <f t="shared" si="185"/>
        <v>0</v>
      </c>
      <c r="AQ282" s="103" t="str">
        <f t="shared" si="176"/>
        <v/>
      </c>
      <c r="AR282" s="68" t="str">
        <f>IFERROR(VLOOKUP(A282,CUSTOMERS!$A:$B,2),"")</f>
        <v/>
      </c>
      <c r="AS282" s="68" t="str">
        <f>IFERROR(VLOOKUP(A282,CUSTOMERS!$A:$D,3),"")</f>
        <v/>
      </c>
      <c r="AT282" s="68" t="str">
        <f>IFERROR(VLOOKUP(A282,CUSTOMERS!$A:$F,6),"")</f>
        <v/>
      </c>
      <c r="AU282" s="69" t="str">
        <f>IFERROR(VLOOKUP(A282,CUSTOMERS!$A:$E,4),"")</f>
        <v/>
      </c>
      <c r="AV282" s="68" t="str">
        <f t="shared" si="170"/>
        <v/>
      </c>
      <c r="AX282" s="71" t="str">
        <f t="shared" si="187"/>
        <v>reason282</v>
      </c>
    </row>
    <row r="283" spans="1:50" thickTop="1" thickBot="1">
      <c r="A283" s="188"/>
      <c r="B283" s="125" t="str">
        <f t="shared" si="180"/>
        <v/>
      </c>
      <c r="C283" s="125"/>
      <c r="D283" s="126"/>
      <c r="E283" s="126"/>
      <c r="F283" s="122" t="str">
        <f t="shared" si="179"/>
        <v/>
      </c>
      <c r="G283" s="186"/>
      <c r="H283" s="124"/>
      <c r="I283" s="239"/>
      <c r="J283" s="80" t="str">
        <f t="shared" si="182"/>
        <v/>
      </c>
      <c r="K283" s="177">
        <f t="shared" si="186"/>
        <v>0</v>
      </c>
      <c r="L283" s="160"/>
      <c r="M283" s="161"/>
      <c r="N283" s="162"/>
      <c r="O283" s="162"/>
      <c r="P283" s="163"/>
      <c r="Q283" s="202"/>
      <c r="R283" s="204"/>
      <c r="S283" s="211"/>
      <c r="T283" s="211"/>
      <c r="U283" s="211"/>
      <c r="V283" s="211"/>
      <c r="W283" s="211"/>
      <c r="X283" s="154"/>
      <c r="Y283" s="173" t="str">
        <f t="shared" si="174"/>
        <v/>
      </c>
      <c r="Z283" s="83" t="str">
        <f t="shared" si="183"/>
        <v/>
      </c>
      <c r="AA283" s="84" t="str">
        <f t="shared" si="172"/>
        <v/>
      </c>
      <c r="AB283" s="84" t="str">
        <f t="shared" si="173"/>
        <v/>
      </c>
      <c r="AC283" s="84" t="str">
        <f t="shared" si="184"/>
        <v/>
      </c>
      <c r="AD283" s="84"/>
      <c r="AE283" s="84" t="str">
        <f t="shared" si="168"/>
        <v/>
      </c>
      <c r="AF283" s="84">
        <f t="shared" si="181"/>
        <v>0</v>
      </c>
      <c r="AG283" s="94" t="str">
        <f t="shared" si="169"/>
        <v/>
      </c>
      <c r="AH283" s="85" t="str">
        <f>IFERROR(VLOOKUP(A283,CUSTOMERS!$A:$E,4),"")</f>
        <v/>
      </c>
      <c r="AI283" s="86" t="str">
        <f t="shared" si="178"/>
        <v/>
      </c>
      <c r="AJ283" s="87" t="str">
        <f>IFERROR(VLOOKUP(A283,CUSTOMERS!$A:$F,5),"")</f>
        <v/>
      </c>
      <c r="AK283" s="98"/>
      <c r="AL283" s="98">
        <v>0</v>
      </c>
      <c r="AM283" s="99">
        <v>0</v>
      </c>
      <c r="AN283" s="99"/>
      <c r="AO283" s="99">
        <v>0</v>
      </c>
      <c r="AP283" s="103">
        <f t="shared" si="185"/>
        <v>0</v>
      </c>
      <c r="AQ283" s="103" t="str">
        <f t="shared" si="176"/>
        <v/>
      </c>
      <c r="AR283" s="68" t="str">
        <f>IFERROR(VLOOKUP(A283,CUSTOMERS!$A:$B,2),"")</f>
        <v/>
      </c>
      <c r="AS283" s="68" t="str">
        <f>IFERROR(VLOOKUP(A283,CUSTOMERS!$A:$D,3),"")</f>
        <v/>
      </c>
      <c r="AT283" s="68" t="str">
        <f>IFERROR(VLOOKUP(A283,CUSTOMERS!$A:$F,6),"")</f>
        <v/>
      </c>
      <c r="AU283" s="69" t="str">
        <f>IFERROR(VLOOKUP(A283,CUSTOMERS!$A:$E,4),"")</f>
        <v/>
      </c>
      <c r="AV283" s="68" t="str">
        <f t="shared" si="170"/>
        <v/>
      </c>
      <c r="AX283" s="71" t="str">
        <f t="shared" si="187"/>
        <v>reason283</v>
      </c>
    </row>
    <row r="284" spans="1:50" thickTop="1" thickBot="1">
      <c r="A284" s="188"/>
      <c r="B284" s="125" t="str">
        <f t="shared" si="180"/>
        <v/>
      </c>
      <c r="C284" s="125"/>
      <c r="D284" s="126"/>
      <c r="E284" s="126"/>
      <c r="F284" s="122" t="str">
        <f t="shared" si="179"/>
        <v/>
      </c>
      <c r="G284" s="186"/>
      <c r="H284" s="124"/>
      <c r="I284" s="239"/>
      <c r="J284" s="80" t="str">
        <f t="shared" si="182"/>
        <v/>
      </c>
      <c r="K284" s="177">
        <f t="shared" si="186"/>
        <v>0</v>
      </c>
      <c r="L284" s="160"/>
      <c r="M284" s="161"/>
      <c r="N284" s="162"/>
      <c r="O284" s="162"/>
      <c r="P284" s="163"/>
      <c r="Q284" s="202"/>
      <c r="R284" s="204"/>
      <c r="S284" s="211"/>
      <c r="T284" s="211"/>
      <c r="U284" s="211"/>
      <c r="V284" s="211"/>
      <c r="W284" s="211"/>
      <c r="X284" s="154"/>
      <c r="Y284" s="173" t="str">
        <f t="shared" si="174"/>
        <v/>
      </c>
      <c r="Z284" s="83" t="str">
        <f t="shared" si="183"/>
        <v/>
      </c>
      <c r="AA284" s="84" t="str">
        <f t="shared" si="172"/>
        <v/>
      </c>
      <c r="AB284" s="84" t="str">
        <f t="shared" si="173"/>
        <v/>
      </c>
      <c r="AC284" s="84" t="str">
        <f t="shared" si="184"/>
        <v/>
      </c>
      <c r="AD284" s="84"/>
      <c r="AE284" s="84" t="str">
        <f t="shared" si="168"/>
        <v/>
      </c>
      <c r="AF284" s="84">
        <f t="shared" si="181"/>
        <v>0</v>
      </c>
      <c r="AG284" s="94" t="str">
        <f t="shared" si="169"/>
        <v/>
      </c>
      <c r="AH284" s="85" t="str">
        <f>IFERROR(VLOOKUP(A284,CUSTOMERS!$A:$E,4),"")</f>
        <v/>
      </c>
      <c r="AI284" s="86" t="str">
        <f t="shared" si="178"/>
        <v/>
      </c>
      <c r="AJ284" s="87" t="str">
        <f>IFERROR(VLOOKUP(A284,CUSTOMERS!$A:$F,5),"")</f>
        <v/>
      </c>
      <c r="AK284" s="98"/>
      <c r="AL284" s="98">
        <v>0</v>
      </c>
      <c r="AM284" s="99">
        <v>0</v>
      </c>
      <c r="AN284" s="99"/>
      <c r="AO284" s="99">
        <v>0</v>
      </c>
      <c r="AP284" s="103">
        <f t="shared" si="185"/>
        <v>0</v>
      </c>
      <c r="AQ284" s="103" t="str">
        <f t="shared" si="176"/>
        <v/>
      </c>
      <c r="AR284" s="68" t="str">
        <f>IFERROR(VLOOKUP(A284,CUSTOMERS!$A:$B,2),"")</f>
        <v/>
      </c>
      <c r="AS284" s="68" t="str">
        <f>IFERROR(VLOOKUP(A284,CUSTOMERS!$A:$D,3),"")</f>
        <v/>
      </c>
      <c r="AT284" s="68" t="str">
        <f>IFERROR(VLOOKUP(A284,CUSTOMERS!$A:$F,6),"")</f>
        <v/>
      </c>
      <c r="AU284" s="69" t="str">
        <f>IFERROR(VLOOKUP(A284,CUSTOMERS!$A:$E,4),"")</f>
        <v/>
      </c>
      <c r="AV284" s="68" t="str">
        <f t="shared" si="170"/>
        <v/>
      </c>
      <c r="AX284" s="71" t="str">
        <f t="shared" si="187"/>
        <v>reason284</v>
      </c>
    </row>
    <row r="285" spans="1:50" thickTop="1" thickBot="1">
      <c r="A285" s="188"/>
      <c r="B285" s="125" t="str">
        <f t="shared" si="180"/>
        <v/>
      </c>
      <c r="C285" s="125"/>
      <c r="D285" s="126"/>
      <c r="E285" s="126"/>
      <c r="F285" s="122" t="str">
        <f t="shared" si="179"/>
        <v/>
      </c>
      <c r="G285" s="186"/>
      <c r="H285" s="124"/>
      <c r="I285" s="239"/>
      <c r="J285" s="80" t="str">
        <f t="shared" si="182"/>
        <v/>
      </c>
      <c r="K285" s="177">
        <f t="shared" si="186"/>
        <v>0</v>
      </c>
      <c r="L285" s="160"/>
      <c r="M285" s="161"/>
      <c r="N285" s="162"/>
      <c r="O285" s="162"/>
      <c r="P285" s="163"/>
      <c r="Q285" s="202"/>
      <c r="R285" s="204"/>
      <c r="S285" s="211"/>
      <c r="T285" s="211"/>
      <c r="U285" s="211"/>
      <c r="V285" s="211"/>
      <c r="W285" s="211"/>
      <c r="X285" s="154"/>
      <c r="Y285" s="173" t="str">
        <f t="shared" si="174"/>
        <v/>
      </c>
      <c r="Z285" s="83" t="str">
        <f t="shared" si="183"/>
        <v/>
      </c>
      <c r="AA285" s="84" t="str">
        <f t="shared" si="172"/>
        <v/>
      </c>
      <c r="AB285" s="84" t="str">
        <f t="shared" si="173"/>
        <v/>
      </c>
      <c r="AC285" s="84" t="str">
        <f t="shared" si="184"/>
        <v/>
      </c>
      <c r="AD285" s="84"/>
      <c r="AE285" s="84" t="str">
        <f t="shared" si="168"/>
        <v/>
      </c>
      <c r="AF285" s="84">
        <f t="shared" si="181"/>
        <v>0</v>
      </c>
      <c r="AG285" s="94" t="str">
        <f t="shared" si="169"/>
        <v/>
      </c>
      <c r="AH285" s="85" t="str">
        <f>IFERROR(VLOOKUP(A285,CUSTOMERS!$A:$E,4),"")</f>
        <v/>
      </c>
      <c r="AI285" s="86" t="str">
        <f t="shared" si="178"/>
        <v/>
      </c>
      <c r="AJ285" s="87" t="str">
        <f>IFERROR(VLOOKUP(A285,CUSTOMERS!$A:$F,5),"")</f>
        <v/>
      </c>
      <c r="AK285" s="98"/>
      <c r="AL285" s="98">
        <v>0</v>
      </c>
      <c r="AM285" s="99">
        <v>0</v>
      </c>
      <c r="AN285" s="99"/>
      <c r="AO285" s="99">
        <v>0</v>
      </c>
      <c r="AP285" s="103">
        <f t="shared" si="185"/>
        <v>0</v>
      </c>
      <c r="AQ285" s="103" t="str">
        <f t="shared" si="176"/>
        <v/>
      </c>
      <c r="AR285" s="68" t="str">
        <f>IFERROR(VLOOKUP(A285,CUSTOMERS!$A:$B,2),"")</f>
        <v/>
      </c>
      <c r="AS285" s="68" t="str">
        <f>IFERROR(VLOOKUP(A285,CUSTOMERS!$A:$D,3),"")</f>
        <v/>
      </c>
      <c r="AT285" s="68" t="str">
        <f>IFERROR(VLOOKUP(A285,CUSTOMERS!$A:$F,6),"")</f>
        <v/>
      </c>
      <c r="AU285" s="69" t="str">
        <f>IFERROR(VLOOKUP(A285,CUSTOMERS!$A:$E,4),"")</f>
        <v/>
      </c>
      <c r="AV285" s="68" t="str">
        <f t="shared" si="170"/>
        <v/>
      </c>
      <c r="AX285" s="71" t="str">
        <f t="shared" si="187"/>
        <v>reason285</v>
      </c>
    </row>
    <row r="286" spans="1:50" thickTop="1" thickBot="1">
      <c r="A286" s="188"/>
      <c r="B286" s="125" t="str">
        <f t="shared" si="180"/>
        <v/>
      </c>
      <c r="C286" s="125"/>
      <c r="D286" s="126"/>
      <c r="E286" s="126"/>
      <c r="F286" s="122" t="str">
        <f t="shared" si="179"/>
        <v/>
      </c>
      <c r="G286" s="186"/>
      <c r="H286" s="124"/>
      <c r="I286" s="239"/>
      <c r="J286" s="80" t="str">
        <f t="shared" si="182"/>
        <v/>
      </c>
      <c r="K286" s="177">
        <f t="shared" si="186"/>
        <v>0</v>
      </c>
      <c r="L286" s="160"/>
      <c r="M286" s="161"/>
      <c r="N286" s="162"/>
      <c r="O286" s="162"/>
      <c r="P286" s="163"/>
      <c r="Q286" s="202"/>
      <c r="R286" s="204"/>
      <c r="S286" s="211"/>
      <c r="T286" s="211"/>
      <c r="U286" s="211"/>
      <c r="V286" s="211"/>
      <c r="W286" s="211"/>
      <c r="X286" s="154"/>
      <c r="Y286" s="173" t="str">
        <f t="shared" si="174"/>
        <v/>
      </c>
      <c r="Z286" s="83" t="str">
        <f t="shared" si="183"/>
        <v/>
      </c>
      <c r="AA286" s="84" t="str">
        <f t="shared" si="172"/>
        <v/>
      </c>
      <c r="AB286" s="84" t="str">
        <f t="shared" si="173"/>
        <v/>
      </c>
      <c r="AC286" s="84" t="str">
        <f t="shared" si="184"/>
        <v/>
      </c>
      <c r="AD286" s="84"/>
      <c r="AE286" s="84" t="str">
        <f t="shared" si="168"/>
        <v/>
      </c>
      <c r="AF286" s="84">
        <f t="shared" si="181"/>
        <v>0</v>
      </c>
      <c r="AG286" s="94" t="str">
        <f t="shared" si="169"/>
        <v/>
      </c>
      <c r="AH286" s="85" t="str">
        <f>IFERROR(VLOOKUP(A286,CUSTOMERS!$A:$E,4),"")</f>
        <v/>
      </c>
      <c r="AI286" s="86" t="str">
        <f t="shared" si="178"/>
        <v/>
      </c>
      <c r="AJ286" s="87" t="str">
        <f>IFERROR(VLOOKUP(A286,CUSTOMERS!$A:$F,5),"")</f>
        <v/>
      </c>
      <c r="AK286" s="98"/>
      <c r="AL286" s="98">
        <v>0</v>
      </c>
      <c r="AM286" s="99">
        <v>0</v>
      </c>
      <c r="AN286" s="99"/>
      <c r="AO286" s="99">
        <v>0</v>
      </c>
      <c r="AP286" s="103">
        <f t="shared" si="185"/>
        <v>0</v>
      </c>
      <c r="AQ286" s="103" t="str">
        <f t="shared" si="176"/>
        <v/>
      </c>
      <c r="AR286" s="68" t="str">
        <f>IFERROR(VLOOKUP(A286,CUSTOMERS!$A:$B,2),"")</f>
        <v/>
      </c>
      <c r="AS286" s="68" t="str">
        <f>IFERROR(VLOOKUP(A286,CUSTOMERS!$A:$D,3),"")</f>
        <v/>
      </c>
      <c r="AT286" s="68" t="str">
        <f>IFERROR(VLOOKUP(A286,CUSTOMERS!$A:$F,6),"")</f>
        <v/>
      </c>
      <c r="AU286" s="69" t="str">
        <f>IFERROR(VLOOKUP(A286,CUSTOMERS!$A:$E,4),"")</f>
        <v/>
      </c>
      <c r="AV286" s="68" t="str">
        <f t="shared" si="170"/>
        <v/>
      </c>
      <c r="AX286" s="71" t="str">
        <f t="shared" si="187"/>
        <v>reason286</v>
      </c>
    </row>
    <row r="287" spans="1:50" thickTop="1" thickBot="1">
      <c r="A287" s="188"/>
      <c r="B287" s="125" t="str">
        <f t="shared" si="180"/>
        <v/>
      </c>
      <c r="C287" s="125"/>
      <c r="D287" s="126"/>
      <c r="E287" s="126"/>
      <c r="F287" s="122" t="str">
        <f t="shared" si="179"/>
        <v/>
      </c>
      <c r="G287" s="186"/>
      <c r="H287" s="124"/>
      <c r="I287" s="239"/>
      <c r="J287" s="80" t="str">
        <f t="shared" si="182"/>
        <v/>
      </c>
      <c r="K287" s="177">
        <f t="shared" si="186"/>
        <v>0</v>
      </c>
      <c r="L287" s="160"/>
      <c r="M287" s="161"/>
      <c r="N287" s="162"/>
      <c r="O287" s="162"/>
      <c r="P287" s="163"/>
      <c r="Q287" s="202"/>
      <c r="R287" s="204"/>
      <c r="S287" s="211"/>
      <c r="T287" s="211"/>
      <c r="U287" s="211"/>
      <c r="V287" s="211"/>
      <c r="W287" s="211"/>
      <c r="X287" s="154"/>
      <c r="Y287" s="173" t="str">
        <f t="shared" si="174"/>
        <v/>
      </c>
      <c r="Z287" s="83" t="str">
        <f t="shared" si="183"/>
        <v/>
      </c>
      <c r="AA287" s="84" t="str">
        <f t="shared" si="172"/>
        <v/>
      </c>
      <c r="AB287" s="84" t="str">
        <f t="shared" si="173"/>
        <v/>
      </c>
      <c r="AC287" s="84" t="str">
        <f t="shared" si="184"/>
        <v/>
      </c>
      <c r="AD287" s="84"/>
      <c r="AE287" s="84" t="str">
        <f t="shared" si="168"/>
        <v/>
      </c>
      <c r="AF287" s="84">
        <f t="shared" si="181"/>
        <v>0</v>
      </c>
      <c r="AG287" s="94" t="str">
        <f t="shared" si="169"/>
        <v/>
      </c>
      <c r="AH287" s="85" t="str">
        <f>IFERROR(VLOOKUP(A287,CUSTOMERS!$A:$E,4),"")</f>
        <v/>
      </c>
      <c r="AI287" s="86" t="str">
        <f t="shared" si="178"/>
        <v/>
      </c>
      <c r="AJ287" s="87" t="str">
        <f>IFERROR(VLOOKUP(A287,CUSTOMERS!$A:$F,5),"")</f>
        <v/>
      </c>
      <c r="AK287" s="98"/>
      <c r="AL287" s="98">
        <v>0</v>
      </c>
      <c r="AM287" s="99">
        <v>0</v>
      </c>
      <c r="AN287" s="99"/>
      <c r="AO287" s="99">
        <v>0</v>
      </c>
      <c r="AP287" s="103">
        <f t="shared" si="185"/>
        <v>0</v>
      </c>
      <c r="AQ287" s="103" t="str">
        <f t="shared" si="176"/>
        <v/>
      </c>
      <c r="AR287" s="68" t="str">
        <f>IFERROR(VLOOKUP(A287,CUSTOMERS!$A:$B,2),"")</f>
        <v/>
      </c>
      <c r="AS287" s="68" t="str">
        <f>IFERROR(VLOOKUP(A287,CUSTOMERS!$A:$D,3),"")</f>
        <v/>
      </c>
      <c r="AT287" s="68" t="str">
        <f>IFERROR(VLOOKUP(A287,CUSTOMERS!$A:$F,6),"")</f>
        <v/>
      </c>
      <c r="AU287" s="69" t="str">
        <f>IFERROR(VLOOKUP(A287,CUSTOMERS!$A:$E,4),"")</f>
        <v/>
      </c>
      <c r="AV287" s="68" t="str">
        <f t="shared" si="170"/>
        <v/>
      </c>
      <c r="AX287" s="71" t="str">
        <f t="shared" si="187"/>
        <v>reason287</v>
      </c>
    </row>
    <row r="288" spans="1:50" thickTop="1" thickBot="1">
      <c r="A288" s="188"/>
      <c r="B288" s="125" t="str">
        <f t="shared" si="180"/>
        <v/>
      </c>
      <c r="C288" s="125"/>
      <c r="D288" s="126"/>
      <c r="E288" s="126"/>
      <c r="F288" s="122" t="str">
        <f t="shared" si="179"/>
        <v/>
      </c>
      <c r="G288" s="186"/>
      <c r="H288" s="124"/>
      <c r="I288" s="239"/>
      <c r="J288" s="80" t="str">
        <f t="shared" si="182"/>
        <v/>
      </c>
      <c r="K288" s="177">
        <f t="shared" si="186"/>
        <v>0</v>
      </c>
      <c r="L288" s="160"/>
      <c r="M288" s="161"/>
      <c r="N288" s="162"/>
      <c r="O288" s="162"/>
      <c r="P288" s="163"/>
      <c r="Q288" s="202"/>
      <c r="R288" s="204"/>
      <c r="S288" s="211"/>
      <c r="T288" s="211"/>
      <c r="U288" s="211"/>
      <c r="V288" s="211"/>
      <c r="W288" s="211"/>
      <c r="X288" s="154"/>
      <c r="Y288" s="173" t="str">
        <f t="shared" si="174"/>
        <v/>
      </c>
      <c r="Z288" s="83" t="str">
        <f t="shared" si="183"/>
        <v/>
      </c>
      <c r="AA288" s="84" t="str">
        <f t="shared" si="172"/>
        <v/>
      </c>
      <c r="AB288" s="84" t="str">
        <f t="shared" si="173"/>
        <v/>
      </c>
      <c r="AC288" s="84" t="str">
        <f t="shared" si="184"/>
        <v/>
      </c>
      <c r="AD288" s="84"/>
      <c r="AE288" s="84" t="str">
        <f t="shared" si="168"/>
        <v/>
      </c>
      <c r="AF288" s="84">
        <f t="shared" si="181"/>
        <v>0</v>
      </c>
      <c r="AG288" s="94" t="str">
        <f t="shared" si="169"/>
        <v/>
      </c>
      <c r="AH288" s="85" t="str">
        <f>IFERROR(VLOOKUP(A288,CUSTOMERS!$A:$E,4),"")</f>
        <v/>
      </c>
      <c r="AI288" s="86" t="str">
        <f t="shared" si="178"/>
        <v/>
      </c>
      <c r="AJ288" s="87" t="str">
        <f>IFERROR(VLOOKUP(A288,CUSTOMERS!$A:$F,5),"")</f>
        <v/>
      </c>
      <c r="AK288" s="98"/>
      <c r="AL288" s="98">
        <v>0</v>
      </c>
      <c r="AM288" s="99">
        <v>0</v>
      </c>
      <c r="AN288" s="99"/>
      <c r="AO288" s="99">
        <v>0</v>
      </c>
      <c r="AP288" s="103">
        <f t="shared" si="185"/>
        <v>0</v>
      </c>
      <c r="AQ288" s="103" t="str">
        <f t="shared" si="176"/>
        <v/>
      </c>
      <c r="AR288" s="68" t="str">
        <f>IFERROR(VLOOKUP(A288,CUSTOMERS!$A:$B,2),"")</f>
        <v/>
      </c>
      <c r="AS288" s="68" t="str">
        <f>IFERROR(VLOOKUP(A288,CUSTOMERS!$A:$D,3),"")</f>
        <v/>
      </c>
      <c r="AT288" s="68" t="str">
        <f>IFERROR(VLOOKUP(A288,CUSTOMERS!$A:$F,6),"")</f>
        <v/>
      </c>
      <c r="AU288" s="69" t="str">
        <f>IFERROR(VLOOKUP(A288,CUSTOMERS!$A:$E,4),"")</f>
        <v/>
      </c>
      <c r="AV288" s="68" t="str">
        <f t="shared" si="170"/>
        <v/>
      </c>
      <c r="AX288" s="71" t="str">
        <f t="shared" si="187"/>
        <v>reason288</v>
      </c>
    </row>
    <row r="289" spans="1:50" thickTop="1" thickBot="1">
      <c r="A289" s="188"/>
      <c r="B289" s="125" t="str">
        <f t="shared" si="180"/>
        <v/>
      </c>
      <c r="C289" s="125"/>
      <c r="D289" s="126"/>
      <c r="E289" s="126"/>
      <c r="F289" s="122" t="str">
        <f t="shared" si="179"/>
        <v/>
      </c>
      <c r="G289" s="186"/>
      <c r="H289" s="124"/>
      <c r="I289" s="239"/>
      <c r="J289" s="80" t="str">
        <f t="shared" si="182"/>
        <v/>
      </c>
      <c r="K289" s="177">
        <f t="shared" si="186"/>
        <v>0</v>
      </c>
      <c r="L289" s="160"/>
      <c r="M289" s="161"/>
      <c r="N289" s="162"/>
      <c r="O289" s="162"/>
      <c r="P289" s="163"/>
      <c r="Q289" s="202"/>
      <c r="R289" s="204"/>
      <c r="S289" s="211"/>
      <c r="T289" s="211"/>
      <c r="U289" s="211"/>
      <c r="V289" s="211"/>
      <c r="W289" s="211"/>
      <c r="X289" s="154"/>
      <c r="Y289" s="173" t="str">
        <f t="shared" si="174"/>
        <v/>
      </c>
      <c r="Z289" s="83" t="str">
        <f t="shared" si="183"/>
        <v/>
      </c>
      <c r="AA289" s="84" t="str">
        <f t="shared" si="172"/>
        <v/>
      </c>
      <c r="AB289" s="84" t="str">
        <f t="shared" si="173"/>
        <v/>
      </c>
      <c r="AC289" s="84" t="str">
        <f t="shared" si="184"/>
        <v/>
      </c>
      <c r="AD289" s="84"/>
      <c r="AE289" s="84" t="str">
        <f t="shared" si="168"/>
        <v/>
      </c>
      <c r="AF289" s="84">
        <f t="shared" si="181"/>
        <v>0</v>
      </c>
      <c r="AG289" s="94" t="str">
        <f t="shared" si="169"/>
        <v/>
      </c>
      <c r="AH289" s="85" t="str">
        <f>IFERROR(VLOOKUP(A289,CUSTOMERS!$A:$E,4),"")</f>
        <v/>
      </c>
      <c r="AI289" s="86" t="str">
        <f t="shared" si="178"/>
        <v/>
      </c>
      <c r="AJ289" s="87" t="str">
        <f>IFERROR(VLOOKUP(A289,CUSTOMERS!$A:$F,5),"")</f>
        <v/>
      </c>
      <c r="AK289" s="98"/>
      <c r="AL289" s="98">
        <v>0</v>
      </c>
      <c r="AM289" s="99">
        <v>0</v>
      </c>
      <c r="AN289" s="99"/>
      <c r="AO289" s="99">
        <v>0</v>
      </c>
      <c r="AP289" s="103">
        <f t="shared" si="185"/>
        <v>0</v>
      </c>
      <c r="AQ289" s="103" t="str">
        <f t="shared" si="176"/>
        <v/>
      </c>
      <c r="AR289" s="68" t="str">
        <f>IFERROR(VLOOKUP(A289,CUSTOMERS!$A:$B,2),"")</f>
        <v/>
      </c>
      <c r="AS289" s="68" t="str">
        <f>IFERROR(VLOOKUP(A289,CUSTOMERS!$A:$D,3),"")</f>
        <v/>
      </c>
      <c r="AT289" s="68" t="str">
        <f>IFERROR(VLOOKUP(A289,CUSTOMERS!$A:$F,6),"")</f>
        <v/>
      </c>
      <c r="AU289" s="69" t="str">
        <f>IFERROR(VLOOKUP(A289,CUSTOMERS!$A:$E,4),"")</f>
        <v/>
      </c>
      <c r="AV289" s="68" t="str">
        <f t="shared" si="170"/>
        <v/>
      </c>
      <c r="AX289" s="71" t="str">
        <f t="shared" si="187"/>
        <v>reason289</v>
      </c>
    </row>
    <row r="290" spans="1:50" thickTop="1" thickBot="1">
      <c r="A290" s="188"/>
      <c r="B290" s="125" t="str">
        <f t="shared" si="180"/>
        <v/>
      </c>
      <c r="C290" s="125"/>
      <c r="D290" s="126"/>
      <c r="E290" s="126"/>
      <c r="F290" s="122" t="str">
        <f t="shared" si="179"/>
        <v/>
      </c>
      <c r="G290" s="186"/>
      <c r="H290" s="124"/>
      <c r="I290" s="239"/>
      <c r="J290" s="80" t="str">
        <f t="shared" si="182"/>
        <v/>
      </c>
      <c r="K290" s="177">
        <f t="shared" si="186"/>
        <v>0</v>
      </c>
      <c r="L290" s="160"/>
      <c r="M290" s="161"/>
      <c r="N290" s="162"/>
      <c r="O290" s="162"/>
      <c r="P290" s="163"/>
      <c r="Q290" s="202"/>
      <c r="R290" s="204"/>
      <c r="S290" s="211"/>
      <c r="T290" s="211"/>
      <c r="U290" s="211"/>
      <c r="V290" s="211"/>
      <c r="W290" s="211"/>
      <c r="X290" s="154"/>
      <c r="Y290" s="173" t="str">
        <f t="shared" si="174"/>
        <v/>
      </c>
      <c r="Z290" s="83" t="str">
        <f t="shared" si="183"/>
        <v/>
      </c>
      <c r="AA290" s="84" t="str">
        <f t="shared" si="172"/>
        <v/>
      </c>
      <c r="AB290" s="84" t="str">
        <f t="shared" si="173"/>
        <v/>
      </c>
      <c r="AC290" s="84" t="str">
        <f t="shared" si="184"/>
        <v/>
      </c>
      <c r="AD290" s="84"/>
      <c r="AE290" s="84" t="str">
        <f t="shared" si="168"/>
        <v/>
      </c>
      <c r="AF290" s="84">
        <f t="shared" si="181"/>
        <v>0</v>
      </c>
      <c r="AG290" s="94" t="str">
        <f t="shared" si="169"/>
        <v/>
      </c>
      <c r="AH290" s="85" t="str">
        <f>IFERROR(VLOOKUP(A290,CUSTOMERS!$A:$E,4),"")</f>
        <v/>
      </c>
      <c r="AI290" s="86" t="str">
        <f t="shared" si="178"/>
        <v/>
      </c>
      <c r="AJ290" s="87" t="str">
        <f>IFERROR(VLOOKUP(A290,CUSTOMERS!$A:$F,5),"")</f>
        <v/>
      </c>
      <c r="AK290" s="98"/>
      <c r="AL290" s="98">
        <v>0</v>
      </c>
      <c r="AM290" s="99">
        <v>0</v>
      </c>
      <c r="AN290" s="99"/>
      <c r="AO290" s="99">
        <v>0</v>
      </c>
      <c r="AP290" s="103">
        <f t="shared" si="185"/>
        <v>0</v>
      </c>
      <c r="AQ290" s="103" t="str">
        <f t="shared" si="176"/>
        <v/>
      </c>
      <c r="AR290" s="68" t="str">
        <f>IFERROR(VLOOKUP(A290,CUSTOMERS!$A:$B,2),"")</f>
        <v/>
      </c>
      <c r="AS290" s="68" t="str">
        <f>IFERROR(VLOOKUP(A290,CUSTOMERS!$A:$D,3),"")</f>
        <v/>
      </c>
      <c r="AT290" s="68" t="str">
        <f>IFERROR(VLOOKUP(A290,CUSTOMERS!$A:$F,6),"")</f>
        <v/>
      </c>
      <c r="AU290" s="69" t="str">
        <f>IFERROR(VLOOKUP(A290,CUSTOMERS!$A:$E,4),"")</f>
        <v/>
      </c>
      <c r="AV290" s="68" t="str">
        <f t="shared" si="170"/>
        <v/>
      </c>
      <c r="AX290" s="71" t="str">
        <f t="shared" si="187"/>
        <v>reason290</v>
      </c>
    </row>
    <row r="291" spans="1:50" thickTop="1" thickBot="1">
      <c r="A291" s="188"/>
      <c r="B291" s="125" t="str">
        <f t="shared" si="180"/>
        <v/>
      </c>
      <c r="C291" s="125"/>
      <c r="D291" s="126"/>
      <c r="E291" s="126"/>
      <c r="F291" s="122" t="str">
        <f t="shared" si="179"/>
        <v/>
      </c>
      <c r="G291" s="186"/>
      <c r="H291" s="124"/>
      <c r="I291" s="239"/>
      <c r="J291" s="80" t="str">
        <f t="shared" si="182"/>
        <v/>
      </c>
      <c r="K291" s="177">
        <f t="shared" si="186"/>
        <v>0</v>
      </c>
      <c r="L291" s="160"/>
      <c r="M291" s="161"/>
      <c r="N291" s="162"/>
      <c r="O291" s="162"/>
      <c r="P291" s="163"/>
      <c r="Q291" s="202"/>
      <c r="R291" s="204"/>
      <c r="S291" s="211"/>
      <c r="T291" s="211"/>
      <c r="U291" s="211"/>
      <c r="V291" s="211"/>
      <c r="W291" s="211"/>
      <c r="X291" s="154"/>
      <c r="Y291" s="173" t="str">
        <f t="shared" si="174"/>
        <v/>
      </c>
      <c r="Z291" s="83" t="str">
        <f t="shared" si="183"/>
        <v/>
      </c>
      <c r="AA291" s="84" t="str">
        <f t="shared" si="172"/>
        <v/>
      </c>
      <c r="AB291" s="84" t="str">
        <f t="shared" si="173"/>
        <v/>
      </c>
      <c r="AC291" s="84" t="str">
        <f t="shared" si="184"/>
        <v/>
      </c>
      <c r="AD291" s="84"/>
      <c r="AE291" s="84" t="str">
        <f t="shared" ref="AE291:AE318" si="188">IFERROR((AO291*AH291)*7.5,"")</f>
        <v/>
      </c>
      <c r="AF291" s="84">
        <f t="shared" si="181"/>
        <v>0</v>
      </c>
      <c r="AG291" s="94" t="str">
        <f t="shared" ref="AG291:AG318" si="189">IFERROR((AQ291*AH291)*7.5,"")</f>
        <v/>
      </c>
      <c r="AH291" s="85" t="str">
        <f>IFERROR(VLOOKUP(A291,CUSTOMERS!$A:$E,4),"")</f>
        <v/>
      </c>
      <c r="AI291" s="86" t="str">
        <f t="shared" si="178"/>
        <v/>
      </c>
      <c r="AJ291" s="87" t="str">
        <f>IFERROR(VLOOKUP(A291,CUSTOMERS!$A:$F,5),"")</f>
        <v/>
      </c>
      <c r="AK291" s="98"/>
      <c r="AL291" s="98">
        <v>0</v>
      </c>
      <c r="AM291" s="99">
        <v>0</v>
      </c>
      <c r="AN291" s="99"/>
      <c r="AO291" s="99">
        <v>0</v>
      </c>
      <c r="AP291" s="103">
        <f t="shared" si="185"/>
        <v>0</v>
      </c>
      <c r="AQ291" s="103" t="str">
        <f t="shared" si="176"/>
        <v/>
      </c>
      <c r="AR291" s="68" t="str">
        <f>IFERROR(VLOOKUP(A291,CUSTOMERS!$A:$B,2),"")</f>
        <v/>
      </c>
      <c r="AS291" s="68" t="str">
        <f>IFERROR(VLOOKUP(A291,CUSTOMERS!$A:$D,3),"")</f>
        <v/>
      </c>
      <c r="AT291" s="68" t="str">
        <f>IFERROR(VLOOKUP(A291,CUSTOMERS!$A:$F,6),"")</f>
        <v/>
      </c>
      <c r="AU291" s="69" t="str">
        <f>IFERROR(VLOOKUP(A291,CUSTOMERS!$A:$E,4),"")</f>
        <v/>
      </c>
      <c r="AV291" s="68" t="str">
        <f t="shared" si="170"/>
        <v/>
      </c>
      <c r="AX291" s="71" t="str">
        <f t="shared" si="187"/>
        <v>reason291</v>
      </c>
    </row>
    <row r="292" spans="1:50" thickTop="1" thickBot="1">
      <c r="A292" s="188"/>
      <c r="B292" s="125" t="str">
        <f t="shared" si="180"/>
        <v/>
      </c>
      <c r="C292" s="125"/>
      <c r="D292" s="126"/>
      <c r="E292" s="126"/>
      <c r="F292" s="122" t="str">
        <f t="shared" si="179"/>
        <v/>
      </c>
      <c r="G292" s="186"/>
      <c r="H292" s="124"/>
      <c r="I292" s="239"/>
      <c r="J292" s="80" t="str">
        <f t="shared" si="182"/>
        <v/>
      </c>
      <c r="K292" s="177">
        <f t="shared" si="186"/>
        <v>0</v>
      </c>
      <c r="L292" s="160"/>
      <c r="M292" s="161"/>
      <c r="N292" s="162"/>
      <c r="O292" s="162"/>
      <c r="P292" s="163"/>
      <c r="Q292" s="202"/>
      <c r="R292" s="204"/>
      <c r="S292" s="211"/>
      <c r="T292" s="211"/>
      <c r="U292" s="211"/>
      <c r="V292" s="211"/>
      <c r="W292" s="211"/>
      <c r="X292" s="154"/>
      <c r="Y292" s="173" t="str">
        <f t="shared" si="174"/>
        <v/>
      </c>
      <c r="Z292" s="83" t="str">
        <f t="shared" si="183"/>
        <v/>
      </c>
      <c r="AA292" s="84" t="str">
        <f t="shared" si="172"/>
        <v/>
      </c>
      <c r="AB292" s="84" t="str">
        <f t="shared" si="173"/>
        <v/>
      </c>
      <c r="AC292" s="84" t="str">
        <f t="shared" si="184"/>
        <v/>
      </c>
      <c r="AD292" s="84"/>
      <c r="AE292" s="84" t="str">
        <f t="shared" si="188"/>
        <v/>
      </c>
      <c r="AF292" s="84">
        <f t="shared" si="181"/>
        <v>0</v>
      </c>
      <c r="AG292" s="94" t="str">
        <f t="shared" si="189"/>
        <v/>
      </c>
      <c r="AH292" s="85" t="str">
        <f>IFERROR(VLOOKUP(A292,CUSTOMERS!$A:$E,4),"")</f>
        <v/>
      </c>
      <c r="AI292" s="86" t="str">
        <f t="shared" si="178"/>
        <v/>
      </c>
      <c r="AJ292" s="87" t="str">
        <f>IFERROR(VLOOKUP(A292,CUSTOMERS!$A:$F,5),"")</f>
        <v/>
      </c>
      <c r="AK292" s="98"/>
      <c r="AL292" s="98">
        <v>0</v>
      </c>
      <c r="AM292" s="99">
        <v>0</v>
      </c>
      <c r="AN292" s="99"/>
      <c r="AO292" s="99">
        <v>0</v>
      </c>
      <c r="AP292" s="103">
        <f t="shared" si="185"/>
        <v>0</v>
      </c>
      <c r="AQ292" s="103" t="str">
        <f t="shared" si="176"/>
        <v/>
      </c>
      <c r="AR292" s="68" t="str">
        <f>IFERROR(VLOOKUP(A292,CUSTOMERS!$A:$B,2),"")</f>
        <v/>
      </c>
      <c r="AS292" s="68" t="str">
        <f>IFERROR(VLOOKUP(A292,CUSTOMERS!$A:$D,3),"")</f>
        <v/>
      </c>
      <c r="AT292" s="68" t="str">
        <f>IFERROR(VLOOKUP(A292,CUSTOMERS!$A:$F,6),"")</f>
        <v/>
      </c>
      <c r="AU292" s="69" t="str">
        <f>IFERROR(VLOOKUP(A292,CUSTOMERS!$A:$E,4),"")</f>
        <v/>
      </c>
      <c r="AV292" s="68" t="str">
        <f t="shared" si="170"/>
        <v/>
      </c>
      <c r="AX292" s="71" t="str">
        <f t="shared" si="187"/>
        <v>reason292</v>
      </c>
    </row>
    <row r="293" spans="1:50" thickTop="1" thickBot="1">
      <c r="A293" s="188"/>
      <c r="B293" s="125" t="str">
        <f t="shared" si="180"/>
        <v/>
      </c>
      <c r="C293" s="125"/>
      <c r="D293" s="126"/>
      <c r="E293" s="126"/>
      <c r="F293" s="122" t="str">
        <f t="shared" si="179"/>
        <v/>
      </c>
      <c r="G293" s="186"/>
      <c r="H293" s="124"/>
      <c r="I293" s="239"/>
      <c r="J293" s="80" t="str">
        <f t="shared" si="182"/>
        <v/>
      </c>
      <c r="K293" s="177">
        <f t="shared" si="186"/>
        <v>0</v>
      </c>
      <c r="L293" s="160"/>
      <c r="M293" s="161"/>
      <c r="N293" s="162"/>
      <c r="O293" s="162"/>
      <c r="P293" s="163"/>
      <c r="Q293" s="202"/>
      <c r="R293" s="204"/>
      <c r="S293" s="211"/>
      <c r="T293" s="211"/>
      <c r="U293" s="211"/>
      <c r="V293" s="211"/>
      <c r="W293" s="211"/>
      <c r="X293" s="154"/>
      <c r="Y293" s="173" t="str">
        <f t="shared" si="174"/>
        <v/>
      </c>
      <c r="Z293" s="83" t="str">
        <f t="shared" si="183"/>
        <v/>
      </c>
      <c r="AA293" s="84" t="str">
        <f t="shared" si="172"/>
        <v/>
      </c>
      <c r="AB293" s="84" t="str">
        <f t="shared" si="173"/>
        <v/>
      </c>
      <c r="AC293" s="84" t="str">
        <f t="shared" si="184"/>
        <v/>
      </c>
      <c r="AD293" s="84"/>
      <c r="AE293" s="84" t="str">
        <f t="shared" si="188"/>
        <v/>
      </c>
      <c r="AF293" s="84">
        <f t="shared" si="181"/>
        <v>0</v>
      </c>
      <c r="AG293" s="94" t="str">
        <f t="shared" si="189"/>
        <v/>
      </c>
      <c r="AH293" s="85" t="str">
        <f>IFERROR(VLOOKUP(A293,CUSTOMERS!$A:$E,4),"")</f>
        <v/>
      </c>
      <c r="AI293" s="86" t="str">
        <f t="shared" si="178"/>
        <v/>
      </c>
      <c r="AJ293" s="87" t="str">
        <f>IFERROR(VLOOKUP(A293,CUSTOMERS!$A:$F,5),"")</f>
        <v/>
      </c>
      <c r="AK293" s="98"/>
      <c r="AL293" s="98">
        <v>0</v>
      </c>
      <c r="AM293" s="99">
        <v>0</v>
      </c>
      <c r="AN293" s="99"/>
      <c r="AO293" s="99">
        <v>0</v>
      </c>
      <c r="AP293" s="103">
        <f t="shared" si="185"/>
        <v>0</v>
      </c>
      <c r="AQ293" s="103" t="str">
        <f t="shared" si="176"/>
        <v/>
      </c>
      <c r="AR293" s="68" t="str">
        <f>IFERROR(VLOOKUP(A293,CUSTOMERS!$A:$B,2),"")</f>
        <v/>
      </c>
      <c r="AS293" s="68" t="str">
        <f>IFERROR(VLOOKUP(A293,CUSTOMERS!$A:$D,3),"")</f>
        <v/>
      </c>
      <c r="AT293" s="68" t="str">
        <f>IFERROR(VLOOKUP(A293,CUSTOMERS!$A:$F,6),"")</f>
        <v/>
      </c>
      <c r="AU293" s="69" t="str">
        <f>IFERROR(VLOOKUP(A293,CUSTOMERS!$A:$E,4),"")</f>
        <v/>
      </c>
      <c r="AV293" s="68" t="str">
        <f t="shared" si="170"/>
        <v/>
      </c>
      <c r="AX293" s="71" t="str">
        <f t="shared" si="187"/>
        <v>reason293</v>
      </c>
    </row>
    <row r="294" spans="1:50" thickTop="1" thickBot="1">
      <c r="A294" s="188"/>
      <c r="B294" s="125" t="str">
        <f t="shared" si="180"/>
        <v/>
      </c>
      <c r="C294" s="125"/>
      <c r="D294" s="126"/>
      <c r="E294" s="126"/>
      <c r="F294" s="122" t="str">
        <f t="shared" si="179"/>
        <v/>
      </c>
      <c r="G294" s="186"/>
      <c r="H294" s="124"/>
      <c r="I294" s="239"/>
      <c r="J294" s="80" t="str">
        <f t="shared" si="182"/>
        <v/>
      </c>
      <c r="K294" s="177">
        <f t="shared" si="186"/>
        <v>0</v>
      </c>
      <c r="L294" s="160"/>
      <c r="M294" s="161"/>
      <c r="N294" s="162"/>
      <c r="O294" s="162"/>
      <c r="P294" s="163"/>
      <c r="Q294" s="202"/>
      <c r="R294" s="204"/>
      <c r="S294" s="211"/>
      <c r="T294" s="211"/>
      <c r="U294" s="211"/>
      <c r="V294" s="211"/>
      <c r="W294" s="211"/>
      <c r="X294" s="154"/>
      <c r="Y294" s="173" t="str">
        <f t="shared" si="174"/>
        <v/>
      </c>
      <c r="Z294" s="83" t="str">
        <f t="shared" si="183"/>
        <v/>
      </c>
      <c r="AA294" s="84" t="str">
        <f t="shared" si="172"/>
        <v/>
      </c>
      <c r="AB294" s="84" t="str">
        <f t="shared" si="173"/>
        <v/>
      </c>
      <c r="AC294" s="84" t="str">
        <f t="shared" si="184"/>
        <v/>
      </c>
      <c r="AD294" s="84"/>
      <c r="AE294" s="84" t="str">
        <f t="shared" si="188"/>
        <v/>
      </c>
      <c r="AF294" s="84">
        <f t="shared" si="181"/>
        <v>0</v>
      </c>
      <c r="AG294" s="94" t="str">
        <f t="shared" si="189"/>
        <v/>
      </c>
      <c r="AH294" s="85" t="str">
        <f>IFERROR(VLOOKUP(A294,CUSTOMERS!$A:$E,4),"")</f>
        <v/>
      </c>
      <c r="AI294" s="86" t="str">
        <f t="shared" si="178"/>
        <v/>
      </c>
      <c r="AJ294" s="87" t="str">
        <f>IFERROR(VLOOKUP(A294,CUSTOMERS!$A:$F,5),"")</f>
        <v/>
      </c>
      <c r="AK294" s="98"/>
      <c r="AL294" s="98">
        <v>0</v>
      </c>
      <c r="AM294" s="99">
        <v>0</v>
      </c>
      <c r="AN294" s="99"/>
      <c r="AO294" s="99">
        <v>0</v>
      </c>
      <c r="AP294" s="103">
        <f t="shared" si="185"/>
        <v>0</v>
      </c>
      <c r="AQ294" s="103" t="str">
        <f t="shared" si="176"/>
        <v/>
      </c>
      <c r="AR294" s="68" t="str">
        <f>IFERROR(VLOOKUP(A294,CUSTOMERS!$A:$B,2),"")</f>
        <v/>
      </c>
      <c r="AS294" s="68" t="str">
        <f>IFERROR(VLOOKUP(A294,CUSTOMERS!$A:$D,3),"")</f>
        <v/>
      </c>
      <c r="AT294" s="68" t="str">
        <f>IFERROR(VLOOKUP(A294,CUSTOMERS!$A:$F,6),"")</f>
        <v/>
      </c>
      <c r="AU294" s="69" t="str">
        <f>IFERROR(VLOOKUP(A294,CUSTOMERS!$A:$E,4),"")</f>
        <v/>
      </c>
      <c r="AV294" s="68" t="str">
        <f t="shared" si="170"/>
        <v/>
      </c>
      <c r="AX294" s="71" t="str">
        <f t="shared" si="187"/>
        <v>reason294</v>
      </c>
    </row>
    <row r="295" spans="1:50" thickTop="1" thickBot="1">
      <c r="A295" s="188"/>
      <c r="B295" s="125" t="str">
        <f t="shared" si="180"/>
        <v/>
      </c>
      <c r="C295" s="125"/>
      <c r="D295" s="126"/>
      <c r="E295" s="126"/>
      <c r="F295" s="122" t="str">
        <f t="shared" si="179"/>
        <v/>
      </c>
      <c r="G295" s="186"/>
      <c r="H295" s="124"/>
      <c r="I295" s="239"/>
      <c r="J295" s="80" t="str">
        <f t="shared" si="182"/>
        <v/>
      </c>
      <c r="K295" s="177">
        <f t="shared" si="186"/>
        <v>0</v>
      </c>
      <c r="L295" s="160"/>
      <c r="M295" s="161"/>
      <c r="N295" s="162"/>
      <c r="O295" s="162"/>
      <c r="P295" s="163"/>
      <c r="Q295" s="202"/>
      <c r="R295" s="204"/>
      <c r="S295" s="211"/>
      <c r="T295" s="211"/>
      <c r="U295" s="211"/>
      <c r="V295" s="211"/>
      <c r="W295" s="211"/>
      <c r="X295" s="154"/>
      <c r="Y295" s="173" t="str">
        <f t="shared" si="174"/>
        <v/>
      </c>
      <c r="Z295" s="83" t="str">
        <f t="shared" si="183"/>
        <v/>
      </c>
      <c r="AA295" s="84" t="str">
        <f t="shared" si="172"/>
        <v/>
      </c>
      <c r="AB295" s="84" t="str">
        <f t="shared" si="173"/>
        <v/>
      </c>
      <c r="AC295" s="84" t="str">
        <f t="shared" si="184"/>
        <v/>
      </c>
      <c r="AD295" s="84"/>
      <c r="AE295" s="84" t="str">
        <f t="shared" si="188"/>
        <v/>
      </c>
      <c r="AF295" s="84">
        <f t="shared" si="181"/>
        <v>0</v>
      </c>
      <c r="AG295" s="94" t="str">
        <f t="shared" si="189"/>
        <v/>
      </c>
      <c r="AH295" s="85" t="str">
        <f>IFERROR(VLOOKUP(A295,CUSTOMERS!$A:$E,4),"")</f>
        <v/>
      </c>
      <c r="AI295" s="86" t="str">
        <f t="shared" si="178"/>
        <v/>
      </c>
      <c r="AJ295" s="87" t="str">
        <f>IFERROR(VLOOKUP(A295,CUSTOMERS!$A:$F,5),"")</f>
        <v/>
      </c>
      <c r="AK295" s="98"/>
      <c r="AL295" s="98">
        <v>0</v>
      </c>
      <c r="AM295" s="99">
        <v>0</v>
      </c>
      <c r="AN295" s="99"/>
      <c r="AO295" s="99">
        <v>0</v>
      </c>
      <c r="AP295" s="103">
        <f t="shared" si="185"/>
        <v>0</v>
      </c>
      <c r="AQ295" s="103" t="str">
        <f t="shared" si="176"/>
        <v/>
      </c>
      <c r="AR295" s="68" t="str">
        <f>IFERROR(VLOOKUP(A295,CUSTOMERS!$A:$B,2),"")</f>
        <v/>
      </c>
      <c r="AS295" s="68" t="str">
        <f>IFERROR(VLOOKUP(A295,CUSTOMERS!$A:$D,3),"")</f>
        <v/>
      </c>
      <c r="AT295" s="68" t="str">
        <f>IFERROR(VLOOKUP(A295,CUSTOMERS!$A:$F,6),"")</f>
        <v/>
      </c>
      <c r="AU295" s="69" t="str">
        <f>IFERROR(VLOOKUP(A295,CUSTOMERS!$A:$E,4),"")</f>
        <v/>
      </c>
      <c r="AV295" s="68" t="str">
        <f t="shared" si="170"/>
        <v/>
      </c>
      <c r="AX295" s="71" t="str">
        <f t="shared" si="187"/>
        <v>reason295</v>
      </c>
    </row>
    <row r="296" spans="1:50" thickTop="1" thickBot="1">
      <c r="A296" s="188"/>
      <c r="B296" s="125" t="str">
        <f t="shared" si="180"/>
        <v/>
      </c>
      <c r="C296" s="125"/>
      <c r="D296" s="126"/>
      <c r="E296" s="126"/>
      <c r="F296" s="122" t="str">
        <f t="shared" si="179"/>
        <v/>
      </c>
      <c r="G296" s="186"/>
      <c r="H296" s="124"/>
      <c r="I296" s="239"/>
      <c r="J296" s="80" t="str">
        <f t="shared" si="182"/>
        <v/>
      </c>
      <c r="K296" s="177">
        <f t="shared" si="186"/>
        <v>0</v>
      </c>
      <c r="L296" s="160"/>
      <c r="M296" s="161"/>
      <c r="N296" s="162"/>
      <c r="O296" s="162"/>
      <c r="P296" s="163"/>
      <c r="Q296" s="202"/>
      <c r="R296" s="204"/>
      <c r="S296" s="211"/>
      <c r="T296" s="211"/>
      <c r="U296" s="211"/>
      <c r="V296" s="211"/>
      <c r="W296" s="211"/>
      <c r="X296" s="154"/>
      <c r="Y296" s="173" t="str">
        <f t="shared" si="174"/>
        <v/>
      </c>
      <c r="Z296" s="83" t="str">
        <f t="shared" si="183"/>
        <v/>
      </c>
      <c r="AA296" s="84" t="str">
        <f t="shared" si="172"/>
        <v/>
      </c>
      <c r="AB296" s="84" t="str">
        <f t="shared" si="173"/>
        <v/>
      </c>
      <c r="AC296" s="84" t="str">
        <f t="shared" si="184"/>
        <v/>
      </c>
      <c r="AD296" s="84"/>
      <c r="AE296" s="84" t="str">
        <f t="shared" si="188"/>
        <v/>
      </c>
      <c r="AF296" s="84">
        <f t="shared" si="181"/>
        <v>0</v>
      </c>
      <c r="AG296" s="94" t="str">
        <f t="shared" si="189"/>
        <v/>
      </c>
      <c r="AH296" s="85" t="str">
        <f>IFERROR(VLOOKUP(A296,CUSTOMERS!$A:$E,4),"")</f>
        <v/>
      </c>
      <c r="AI296" s="86" t="str">
        <f t="shared" si="178"/>
        <v/>
      </c>
      <c r="AJ296" s="87" t="str">
        <f>IFERROR(VLOOKUP(A296,CUSTOMERS!$A:$F,5),"")</f>
        <v/>
      </c>
      <c r="AK296" s="98"/>
      <c r="AL296" s="98">
        <v>0</v>
      </c>
      <c r="AM296" s="99">
        <v>0</v>
      </c>
      <c r="AN296" s="99"/>
      <c r="AO296" s="99">
        <v>0</v>
      </c>
      <c r="AP296" s="103">
        <f t="shared" si="185"/>
        <v>0</v>
      </c>
      <c r="AQ296" s="103" t="str">
        <f t="shared" si="176"/>
        <v/>
      </c>
      <c r="AR296" s="68" t="str">
        <f>IFERROR(VLOOKUP(A296,CUSTOMERS!$A:$B,2),"")</f>
        <v/>
      </c>
      <c r="AS296" s="68" t="str">
        <f>IFERROR(VLOOKUP(A296,CUSTOMERS!$A:$D,3),"")</f>
        <v/>
      </c>
      <c r="AT296" s="68" t="str">
        <f>IFERROR(VLOOKUP(A296,CUSTOMERS!$A:$F,6),"")</f>
        <v/>
      </c>
      <c r="AU296" s="69" t="str">
        <f>IFERROR(VLOOKUP(A296,CUSTOMERS!$A:$E,4),"")</f>
        <v/>
      </c>
      <c r="AV296" s="68" t="str">
        <f t="shared" si="170"/>
        <v/>
      </c>
      <c r="AX296" s="71" t="str">
        <f t="shared" si="187"/>
        <v>reason296</v>
      </c>
    </row>
    <row r="297" spans="1:50" thickTop="1" thickBot="1">
      <c r="A297" s="188"/>
      <c r="B297" s="125" t="str">
        <f t="shared" si="180"/>
        <v/>
      </c>
      <c r="C297" s="125"/>
      <c r="D297" s="126"/>
      <c r="E297" s="126"/>
      <c r="F297" s="122" t="str">
        <f t="shared" si="179"/>
        <v/>
      </c>
      <c r="G297" s="186"/>
      <c r="H297" s="124"/>
      <c r="I297" s="239"/>
      <c r="J297" s="80" t="str">
        <f t="shared" si="182"/>
        <v/>
      </c>
      <c r="K297" s="177">
        <f t="shared" si="186"/>
        <v>0</v>
      </c>
      <c r="L297" s="160"/>
      <c r="M297" s="161"/>
      <c r="N297" s="162"/>
      <c r="O297" s="162"/>
      <c r="P297" s="163"/>
      <c r="Q297" s="202"/>
      <c r="R297" s="204"/>
      <c r="S297" s="211"/>
      <c r="T297" s="211"/>
      <c r="U297" s="211"/>
      <c r="V297" s="211"/>
      <c r="W297" s="211"/>
      <c r="X297" s="154"/>
      <c r="Y297" s="173" t="str">
        <f t="shared" si="174"/>
        <v/>
      </c>
      <c r="Z297" s="83" t="str">
        <f t="shared" si="183"/>
        <v/>
      </c>
      <c r="AA297" s="84" t="str">
        <f t="shared" si="172"/>
        <v/>
      </c>
      <c r="AB297" s="84" t="str">
        <f t="shared" si="173"/>
        <v/>
      </c>
      <c r="AC297" s="84" t="str">
        <f t="shared" si="184"/>
        <v/>
      </c>
      <c r="AD297" s="84"/>
      <c r="AE297" s="84" t="str">
        <f t="shared" si="188"/>
        <v/>
      </c>
      <c r="AF297" s="84">
        <f t="shared" si="181"/>
        <v>0</v>
      </c>
      <c r="AG297" s="94" t="str">
        <f t="shared" si="189"/>
        <v/>
      </c>
      <c r="AH297" s="85" t="str">
        <f>IFERROR(VLOOKUP(A297,CUSTOMERS!$A:$E,4),"")</f>
        <v/>
      </c>
      <c r="AI297" s="86" t="str">
        <f t="shared" si="178"/>
        <v/>
      </c>
      <c r="AJ297" s="87" t="str">
        <f>IFERROR(VLOOKUP(A297,CUSTOMERS!$A:$F,5),"")</f>
        <v/>
      </c>
      <c r="AK297" s="98"/>
      <c r="AL297" s="98">
        <v>0</v>
      </c>
      <c r="AM297" s="99">
        <v>0</v>
      </c>
      <c r="AN297" s="99"/>
      <c r="AO297" s="99">
        <v>0</v>
      </c>
      <c r="AP297" s="103">
        <f t="shared" si="185"/>
        <v>0</v>
      </c>
      <c r="AQ297" s="103" t="str">
        <f t="shared" si="176"/>
        <v/>
      </c>
      <c r="AR297" s="68" t="str">
        <f>IFERROR(VLOOKUP(A297,CUSTOMERS!$A:$B,2),"")</f>
        <v/>
      </c>
      <c r="AS297" s="68" t="str">
        <f>IFERROR(VLOOKUP(A297,CUSTOMERS!$A:$D,3),"")</f>
        <v/>
      </c>
      <c r="AT297" s="68" t="str">
        <f>IFERROR(VLOOKUP(A297,CUSTOMERS!$A:$F,6),"")</f>
        <v/>
      </c>
      <c r="AU297" s="69" t="str">
        <f>IFERROR(VLOOKUP(A297,CUSTOMERS!$A:$E,4),"")</f>
        <v/>
      </c>
      <c r="AV297" s="68" t="str">
        <f t="shared" si="170"/>
        <v/>
      </c>
      <c r="AX297" s="71" t="str">
        <f t="shared" si="187"/>
        <v>reason297</v>
      </c>
    </row>
    <row r="298" spans="1:50" thickTop="1" thickBot="1">
      <c r="A298" s="188"/>
      <c r="B298" s="125" t="str">
        <f t="shared" si="180"/>
        <v/>
      </c>
      <c r="C298" s="125"/>
      <c r="D298" s="126"/>
      <c r="E298" s="126"/>
      <c r="F298" s="122" t="str">
        <f t="shared" si="179"/>
        <v/>
      </c>
      <c r="G298" s="186"/>
      <c r="H298" s="124"/>
      <c r="I298" s="239"/>
      <c r="J298" s="80" t="str">
        <f t="shared" si="182"/>
        <v/>
      </c>
      <c r="K298" s="177">
        <f t="shared" si="186"/>
        <v>0</v>
      </c>
      <c r="L298" s="160"/>
      <c r="M298" s="161"/>
      <c r="N298" s="162"/>
      <c r="O298" s="162"/>
      <c r="P298" s="163"/>
      <c r="Q298" s="202"/>
      <c r="R298" s="204"/>
      <c r="S298" s="211"/>
      <c r="T298" s="211"/>
      <c r="U298" s="211"/>
      <c r="V298" s="211"/>
      <c r="W298" s="211"/>
      <c r="X298" s="154"/>
      <c r="Y298" s="173" t="str">
        <f t="shared" si="174"/>
        <v/>
      </c>
      <c r="Z298" s="83" t="str">
        <f t="shared" si="183"/>
        <v/>
      </c>
      <c r="AA298" s="84" t="str">
        <f t="shared" si="172"/>
        <v/>
      </c>
      <c r="AB298" s="84" t="str">
        <f t="shared" si="173"/>
        <v/>
      </c>
      <c r="AC298" s="84" t="str">
        <f t="shared" si="184"/>
        <v/>
      </c>
      <c r="AD298" s="84"/>
      <c r="AE298" s="84" t="str">
        <f t="shared" si="188"/>
        <v/>
      </c>
      <c r="AF298" s="84">
        <f t="shared" si="181"/>
        <v>0</v>
      </c>
      <c r="AG298" s="94" t="str">
        <f t="shared" si="189"/>
        <v/>
      </c>
      <c r="AH298" s="85" t="str">
        <f>IFERROR(VLOOKUP(A298,CUSTOMERS!$A:$E,4),"")</f>
        <v/>
      </c>
      <c r="AI298" s="86" t="str">
        <f t="shared" si="178"/>
        <v/>
      </c>
      <c r="AJ298" s="87" t="str">
        <f>IFERROR(VLOOKUP(A298,CUSTOMERS!$A:$F,5),"")</f>
        <v/>
      </c>
      <c r="AK298" s="98"/>
      <c r="AL298" s="98">
        <v>0</v>
      </c>
      <c r="AM298" s="99">
        <v>0</v>
      </c>
      <c r="AN298" s="99"/>
      <c r="AO298" s="99">
        <v>0</v>
      </c>
      <c r="AP298" s="103">
        <f t="shared" si="185"/>
        <v>0</v>
      </c>
      <c r="AQ298" s="103" t="str">
        <f t="shared" si="176"/>
        <v/>
      </c>
      <c r="AR298" s="68" t="str">
        <f>IFERROR(VLOOKUP(A298,CUSTOMERS!$A:$B,2),"")</f>
        <v/>
      </c>
      <c r="AS298" s="68" t="str">
        <f>IFERROR(VLOOKUP(A298,CUSTOMERS!$A:$D,3),"")</f>
        <v/>
      </c>
      <c r="AT298" s="68" t="str">
        <f>IFERROR(VLOOKUP(A298,CUSTOMERS!$A:$F,6),"")</f>
        <v/>
      </c>
      <c r="AU298" s="69" t="str">
        <f>IFERROR(VLOOKUP(A298,CUSTOMERS!$A:$E,4),"")</f>
        <v/>
      </c>
      <c r="AV298" s="68" t="str">
        <f t="shared" ref="AV298:AV318" si="190">IF(AH298&lt;&gt;AU298,"Y","")</f>
        <v/>
      </c>
      <c r="AX298" s="71" t="str">
        <f t="shared" si="187"/>
        <v>reason298</v>
      </c>
    </row>
    <row r="299" spans="1:50" thickTop="1" thickBot="1">
      <c r="A299" s="188"/>
      <c r="B299" s="125" t="str">
        <f t="shared" si="180"/>
        <v/>
      </c>
      <c r="C299" s="125"/>
      <c r="D299" s="126"/>
      <c r="E299" s="126"/>
      <c r="F299" s="122" t="str">
        <f t="shared" si="179"/>
        <v/>
      </c>
      <c r="G299" s="186"/>
      <c r="H299" s="124"/>
      <c r="I299" s="239"/>
      <c r="J299" s="80" t="str">
        <f t="shared" si="182"/>
        <v/>
      </c>
      <c r="K299" s="177">
        <f t="shared" si="186"/>
        <v>0</v>
      </c>
      <c r="L299" s="160"/>
      <c r="M299" s="161"/>
      <c r="N299" s="162"/>
      <c r="O299" s="162"/>
      <c r="P299" s="163"/>
      <c r="Q299" s="202"/>
      <c r="R299" s="204"/>
      <c r="S299" s="211"/>
      <c r="T299" s="211"/>
      <c r="U299" s="211"/>
      <c r="V299" s="211"/>
      <c r="W299" s="211"/>
      <c r="X299" s="154"/>
      <c r="Y299" s="173" t="str">
        <f t="shared" si="174"/>
        <v/>
      </c>
      <c r="Z299" s="83" t="str">
        <f t="shared" si="183"/>
        <v/>
      </c>
      <c r="AA299" s="84" t="str">
        <f t="shared" si="172"/>
        <v/>
      </c>
      <c r="AB299" s="84" t="str">
        <f t="shared" si="173"/>
        <v/>
      </c>
      <c r="AC299" s="84" t="str">
        <f t="shared" si="184"/>
        <v/>
      </c>
      <c r="AD299" s="84"/>
      <c r="AE299" s="84" t="str">
        <f t="shared" si="188"/>
        <v/>
      </c>
      <c r="AF299" s="84">
        <f t="shared" si="181"/>
        <v>0</v>
      </c>
      <c r="AG299" s="94" t="str">
        <f t="shared" si="189"/>
        <v/>
      </c>
      <c r="AH299" s="85" t="str">
        <f>IFERROR(VLOOKUP(A299,CUSTOMERS!$A:$E,4),"")</f>
        <v/>
      </c>
      <c r="AI299" s="86" t="str">
        <f t="shared" si="178"/>
        <v/>
      </c>
      <c r="AJ299" s="87" t="str">
        <f>IFERROR(VLOOKUP(A299,CUSTOMERS!$A:$F,5),"")</f>
        <v/>
      </c>
      <c r="AK299" s="98"/>
      <c r="AL299" s="98">
        <v>0</v>
      </c>
      <c r="AM299" s="99">
        <v>0</v>
      </c>
      <c r="AN299" s="99"/>
      <c r="AO299" s="99">
        <v>0</v>
      </c>
      <c r="AP299" s="103">
        <f t="shared" si="185"/>
        <v>0</v>
      </c>
      <c r="AQ299" s="103" t="str">
        <f t="shared" si="176"/>
        <v/>
      </c>
      <c r="AR299" s="68" t="str">
        <f>IFERROR(VLOOKUP(A299,CUSTOMERS!$A:$B,2),"")</f>
        <v/>
      </c>
      <c r="AS299" s="68" t="str">
        <f>IFERROR(VLOOKUP(A299,CUSTOMERS!$A:$D,3),"")</f>
        <v/>
      </c>
      <c r="AT299" s="68" t="str">
        <f>IFERROR(VLOOKUP(A299,CUSTOMERS!$A:$F,6),"")</f>
        <v/>
      </c>
      <c r="AU299" s="69" t="str">
        <f>IFERROR(VLOOKUP(A299,CUSTOMERS!$A:$E,4),"")</f>
        <v/>
      </c>
      <c r="AV299" s="68" t="str">
        <f t="shared" si="190"/>
        <v/>
      </c>
      <c r="AX299" s="71" t="str">
        <f t="shared" si="187"/>
        <v>reason299</v>
      </c>
    </row>
    <row r="300" spans="1:50" thickTop="1" thickBot="1">
      <c r="A300" s="188"/>
      <c r="B300" s="125" t="str">
        <f t="shared" si="180"/>
        <v/>
      </c>
      <c r="C300" s="125"/>
      <c r="D300" s="126"/>
      <c r="E300" s="126"/>
      <c r="F300" s="122" t="str">
        <f t="shared" si="179"/>
        <v/>
      </c>
      <c r="G300" s="186"/>
      <c r="H300" s="124"/>
      <c r="I300" s="239"/>
      <c r="J300" s="80" t="str">
        <f t="shared" si="182"/>
        <v/>
      </c>
      <c r="K300" s="177">
        <f t="shared" si="186"/>
        <v>0</v>
      </c>
      <c r="L300" s="160"/>
      <c r="M300" s="161"/>
      <c r="N300" s="162"/>
      <c r="O300" s="162"/>
      <c r="P300" s="163"/>
      <c r="Q300" s="202"/>
      <c r="R300" s="204"/>
      <c r="S300" s="211"/>
      <c r="T300" s="211"/>
      <c r="U300" s="211"/>
      <c r="V300" s="211"/>
      <c r="W300" s="211"/>
      <c r="X300" s="154"/>
      <c r="Y300" s="173" t="str">
        <f t="shared" si="174"/>
        <v/>
      </c>
      <c r="Z300" s="83" t="str">
        <f t="shared" si="183"/>
        <v/>
      </c>
      <c r="AA300" s="84" t="str">
        <f t="shared" si="172"/>
        <v/>
      </c>
      <c r="AB300" s="84" t="str">
        <f t="shared" si="173"/>
        <v/>
      </c>
      <c r="AC300" s="84" t="str">
        <f t="shared" si="184"/>
        <v/>
      </c>
      <c r="AD300" s="84"/>
      <c r="AE300" s="84" t="str">
        <f t="shared" si="188"/>
        <v/>
      </c>
      <c r="AF300" s="84">
        <f t="shared" si="181"/>
        <v>0</v>
      </c>
      <c r="AG300" s="94" t="str">
        <f t="shared" si="189"/>
        <v/>
      </c>
      <c r="AH300" s="85" t="str">
        <f>IFERROR(VLOOKUP(A300,CUSTOMERS!$A:$E,4),"")</f>
        <v/>
      </c>
      <c r="AI300" s="86" t="str">
        <f t="shared" si="178"/>
        <v/>
      </c>
      <c r="AJ300" s="87" t="str">
        <f>IFERROR(VLOOKUP(A300,CUSTOMERS!$A:$F,5),"")</f>
        <v/>
      </c>
      <c r="AK300" s="98"/>
      <c r="AL300" s="98">
        <v>0</v>
      </c>
      <c r="AM300" s="99">
        <v>0</v>
      </c>
      <c r="AN300" s="99"/>
      <c r="AO300" s="99">
        <v>0</v>
      </c>
      <c r="AP300" s="103">
        <f t="shared" si="185"/>
        <v>0</v>
      </c>
      <c r="AQ300" s="103" t="str">
        <f t="shared" si="176"/>
        <v/>
      </c>
      <c r="AR300" s="68" t="str">
        <f>IFERROR(VLOOKUP(A300,CUSTOMERS!$A:$B,2),"")</f>
        <v/>
      </c>
      <c r="AS300" s="68" t="str">
        <f>IFERROR(VLOOKUP(A300,CUSTOMERS!$A:$D,3),"")</f>
        <v/>
      </c>
      <c r="AT300" s="68" t="str">
        <f>IFERROR(VLOOKUP(A300,CUSTOMERS!$A:$F,6),"")</f>
        <v/>
      </c>
      <c r="AU300" s="69" t="str">
        <f>IFERROR(VLOOKUP(A300,CUSTOMERS!$A:$E,4),"")</f>
        <v/>
      </c>
      <c r="AV300" s="68" t="str">
        <f t="shared" si="190"/>
        <v/>
      </c>
      <c r="AX300" s="71" t="str">
        <f t="shared" si="187"/>
        <v>reason300</v>
      </c>
    </row>
    <row r="301" spans="1:50" thickTop="1" thickBot="1">
      <c r="A301" s="188"/>
      <c r="B301" s="125" t="str">
        <f t="shared" si="180"/>
        <v/>
      </c>
      <c r="C301" s="125"/>
      <c r="D301" s="126"/>
      <c r="E301" s="126"/>
      <c r="F301" s="122" t="str">
        <f t="shared" si="179"/>
        <v/>
      </c>
      <c r="G301" s="186"/>
      <c r="H301" s="124"/>
      <c r="I301" s="239"/>
      <c r="J301" s="80" t="str">
        <f t="shared" si="182"/>
        <v/>
      </c>
      <c r="K301" s="177">
        <f t="shared" si="186"/>
        <v>0</v>
      </c>
      <c r="L301" s="160"/>
      <c r="M301" s="161"/>
      <c r="N301" s="162"/>
      <c r="O301" s="162"/>
      <c r="P301" s="163"/>
      <c r="Q301" s="202"/>
      <c r="R301" s="204"/>
      <c r="S301" s="211"/>
      <c r="T301" s="211"/>
      <c r="U301" s="211"/>
      <c r="V301" s="211"/>
      <c r="W301" s="211"/>
      <c r="X301" s="154"/>
      <c r="Y301" s="173" t="str">
        <f t="shared" si="174"/>
        <v/>
      </c>
      <c r="Z301" s="83" t="str">
        <f t="shared" si="183"/>
        <v/>
      </c>
      <c r="AA301" s="84" t="str">
        <f t="shared" si="172"/>
        <v/>
      </c>
      <c r="AB301" s="84" t="str">
        <f t="shared" si="173"/>
        <v/>
      </c>
      <c r="AC301" s="84" t="str">
        <f t="shared" si="184"/>
        <v/>
      </c>
      <c r="AD301" s="84"/>
      <c r="AE301" s="84" t="str">
        <f t="shared" si="188"/>
        <v/>
      </c>
      <c r="AF301" s="84">
        <f t="shared" si="181"/>
        <v>0</v>
      </c>
      <c r="AG301" s="94" t="str">
        <f t="shared" si="189"/>
        <v/>
      </c>
      <c r="AH301" s="85" t="str">
        <f>IFERROR(VLOOKUP(A301,CUSTOMERS!$A:$E,4),"")</f>
        <v/>
      </c>
      <c r="AI301" s="86" t="str">
        <f t="shared" si="178"/>
        <v/>
      </c>
      <c r="AJ301" s="87" t="str">
        <f>IFERROR(VLOOKUP(A301,CUSTOMERS!$A:$F,5),"")</f>
        <v/>
      </c>
      <c r="AK301" s="98"/>
      <c r="AL301" s="98">
        <v>0</v>
      </c>
      <c r="AM301" s="99">
        <v>0</v>
      </c>
      <c r="AN301" s="99"/>
      <c r="AO301" s="99">
        <v>0</v>
      </c>
      <c r="AP301" s="103">
        <f t="shared" si="185"/>
        <v>0</v>
      </c>
      <c r="AQ301" s="103" t="str">
        <f t="shared" si="176"/>
        <v/>
      </c>
      <c r="AR301" s="68" t="str">
        <f>IFERROR(VLOOKUP(A301,CUSTOMERS!$A:$B,2),"")</f>
        <v/>
      </c>
      <c r="AS301" s="68" t="str">
        <f>IFERROR(VLOOKUP(A301,CUSTOMERS!$A:$D,3),"")</f>
        <v/>
      </c>
      <c r="AT301" s="68" t="str">
        <f>IFERROR(VLOOKUP(A301,CUSTOMERS!$A:$F,6),"")</f>
        <v/>
      </c>
      <c r="AU301" s="69" t="str">
        <f>IFERROR(VLOOKUP(A301,CUSTOMERS!$A:$E,4),"")</f>
        <v/>
      </c>
      <c r="AV301" s="68" t="str">
        <f t="shared" si="190"/>
        <v/>
      </c>
      <c r="AX301" s="71" t="str">
        <f t="shared" si="187"/>
        <v>reason301</v>
      </c>
    </row>
    <row r="302" spans="1:50" thickTop="1" thickBot="1">
      <c r="A302" s="188"/>
      <c r="B302" s="125" t="str">
        <f t="shared" ref="B302:B318" si="191">AT302</f>
        <v/>
      </c>
      <c r="C302" s="125"/>
      <c r="D302" s="126"/>
      <c r="E302" s="126"/>
      <c r="F302" s="122" t="str">
        <f t="shared" si="179"/>
        <v/>
      </c>
      <c r="G302" s="186"/>
      <c r="H302" s="124"/>
      <c r="I302" s="239"/>
      <c r="J302" s="80" t="str">
        <f t="shared" si="182"/>
        <v/>
      </c>
      <c r="K302" s="177">
        <f t="shared" si="186"/>
        <v>0</v>
      </c>
      <c r="L302" s="160"/>
      <c r="M302" s="161"/>
      <c r="N302" s="162"/>
      <c r="O302" s="162"/>
      <c r="P302" s="163"/>
      <c r="Q302" s="202"/>
      <c r="R302" s="204"/>
      <c r="S302" s="211"/>
      <c r="T302" s="211"/>
      <c r="U302" s="211"/>
      <c r="V302" s="211"/>
      <c r="W302" s="211"/>
      <c r="X302" s="154"/>
      <c r="Y302" s="173" t="str">
        <f t="shared" si="174"/>
        <v/>
      </c>
      <c r="Z302" s="83" t="str">
        <f t="shared" si="183"/>
        <v/>
      </c>
      <c r="AA302" s="84" t="str">
        <f t="shared" si="172"/>
        <v/>
      </c>
      <c r="AB302" s="84" t="str">
        <f t="shared" si="173"/>
        <v/>
      </c>
      <c r="AC302" s="84" t="str">
        <f t="shared" si="184"/>
        <v/>
      </c>
      <c r="AD302" s="84"/>
      <c r="AE302" s="84" t="str">
        <f t="shared" si="188"/>
        <v/>
      </c>
      <c r="AF302" s="84">
        <f t="shared" si="181"/>
        <v>0</v>
      </c>
      <c r="AG302" s="94" t="str">
        <f t="shared" si="189"/>
        <v/>
      </c>
      <c r="AH302" s="85" t="str">
        <f>IFERROR(VLOOKUP(A302,CUSTOMERS!$A:$E,4),"")</f>
        <v/>
      </c>
      <c r="AI302" s="86" t="str">
        <f t="shared" si="178"/>
        <v/>
      </c>
      <c r="AJ302" s="87" t="str">
        <f>IFERROR(VLOOKUP(A302,CUSTOMERS!$A:$F,5),"")</f>
        <v/>
      </c>
      <c r="AK302" s="98"/>
      <c r="AL302" s="98">
        <v>0</v>
      </c>
      <c r="AM302" s="99">
        <v>0</v>
      </c>
      <c r="AN302" s="99"/>
      <c r="AO302" s="99">
        <v>0</v>
      </c>
      <c r="AP302" s="103">
        <f t="shared" si="185"/>
        <v>0</v>
      </c>
      <c r="AQ302" s="103" t="str">
        <f t="shared" si="176"/>
        <v/>
      </c>
      <c r="AR302" s="68" t="str">
        <f>IFERROR(VLOOKUP(A302,CUSTOMERS!$A:$B,2),"")</f>
        <v/>
      </c>
      <c r="AS302" s="68" t="str">
        <f>IFERROR(VLOOKUP(A302,CUSTOMERS!$A:$D,3),"")</f>
        <v/>
      </c>
      <c r="AT302" s="68" t="str">
        <f>IFERROR(VLOOKUP(A302,CUSTOMERS!$A:$F,6),"")</f>
        <v/>
      </c>
      <c r="AU302" s="69" t="str">
        <f>IFERROR(VLOOKUP(A302,CUSTOMERS!$A:$E,4),"")</f>
        <v/>
      </c>
      <c r="AV302" s="68" t="str">
        <f t="shared" si="190"/>
        <v/>
      </c>
      <c r="AX302" s="71" t="str">
        <f t="shared" si="187"/>
        <v>reason302</v>
      </c>
    </row>
    <row r="303" spans="1:50" thickTop="1" thickBot="1">
      <c r="A303" s="188"/>
      <c r="B303" s="125" t="str">
        <f t="shared" si="191"/>
        <v/>
      </c>
      <c r="C303" s="125"/>
      <c r="D303" s="126"/>
      <c r="E303" s="126"/>
      <c r="F303" s="122" t="str">
        <f t="shared" si="179"/>
        <v/>
      </c>
      <c r="G303" s="186"/>
      <c r="H303" s="124"/>
      <c r="I303" s="239"/>
      <c r="J303" s="80" t="str">
        <f t="shared" si="182"/>
        <v/>
      </c>
      <c r="K303" s="177">
        <f t="shared" si="186"/>
        <v>0</v>
      </c>
      <c r="L303" s="160"/>
      <c r="M303" s="161"/>
      <c r="N303" s="162"/>
      <c r="O303" s="162"/>
      <c r="P303" s="163"/>
      <c r="Q303" s="202"/>
      <c r="R303" s="204"/>
      <c r="S303" s="211"/>
      <c r="T303" s="211"/>
      <c r="U303" s="211"/>
      <c r="V303" s="211"/>
      <c r="W303" s="211"/>
      <c r="X303" s="154"/>
      <c r="Y303" s="173" t="str">
        <f t="shared" si="174"/>
        <v/>
      </c>
      <c r="Z303" s="83" t="str">
        <f t="shared" si="183"/>
        <v/>
      </c>
      <c r="AA303" s="84" t="str">
        <f t="shared" ref="AA303:AA318" si="192">IFERROR((AL303*AH303)*7.5,"")</f>
        <v/>
      </c>
      <c r="AB303" s="84" t="str">
        <f t="shared" ref="AB303:AB318" si="193">IFERROR((AM303*AH303)*7.5,"")</f>
        <v/>
      </c>
      <c r="AC303" s="84" t="str">
        <f t="shared" si="184"/>
        <v/>
      </c>
      <c r="AD303" s="84"/>
      <c r="AE303" s="84" t="str">
        <f t="shared" si="188"/>
        <v/>
      </c>
      <c r="AF303" s="84">
        <f t="shared" si="181"/>
        <v>0</v>
      </c>
      <c r="AG303" s="94" t="str">
        <f t="shared" si="189"/>
        <v/>
      </c>
      <c r="AH303" s="85" t="str">
        <f>IFERROR(VLOOKUP(A303,CUSTOMERS!$A:$E,4),"")</f>
        <v/>
      </c>
      <c r="AI303" s="86" t="str">
        <f t="shared" si="178"/>
        <v/>
      </c>
      <c r="AJ303" s="87" t="str">
        <f>IFERROR(VLOOKUP(A303,CUSTOMERS!$A:$F,5),"")</f>
        <v/>
      </c>
      <c r="AK303" s="98"/>
      <c r="AL303" s="98">
        <v>0</v>
      </c>
      <c r="AM303" s="99">
        <v>0</v>
      </c>
      <c r="AN303" s="99"/>
      <c r="AO303" s="99">
        <v>0</v>
      </c>
      <c r="AP303" s="103">
        <f t="shared" si="185"/>
        <v>0</v>
      </c>
      <c r="AQ303" s="103" t="str">
        <f t="shared" si="176"/>
        <v/>
      </c>
      <c r="AR303" s="68" t="str">
        <f>IFERROR(VLOOKUP(A303,CUSTOMERS!$A:$B,2),"")</f>
        <v/>
      </c>
      <c r="AS303" s="68" t="str">
        <f>IFERROR(VLOOKUP(A303,CUSTOMERS!$A:$D,3),"")</f>
        <v/>
      </c>
      <c r="AT303" s="68" t="str">
        <f>IFERROR(VLOOKUP(A303,CUSTOMERS!$A:$F,6),"")</f>
        <v/>
      </c>
      <c r="AU303" s="69" t="str">
        <f>IFERROR(VLOOKUP(A303,CUSTOMERS!$A:$E,4),"")</f>
        <v/>
      </c>
      <c r="AV303" s="68" t="str">
        <f t="shared" si="190"/>
        <v/>
      </c>
      <c r="AX303" s="71" t="str">
        <f t="shared" si="187"/>
        <v>reason303</v>
      </c>
    </row>
    <row r="304" spans="1:50" thickTop="1" thickBot="1">
      <c r="A304" s="188"/>
      <c r="B304" s="125" t="str">
        <f t="shared" si="191"/>
        <v/>
      </c>
      <c r="C304" s="125"/>
      <c r="D304" s="126"/>
      <c r="E304" s="126"/>
      <c r="F304" s="122" t="str">
        <f t="shared" si="179"/>
        <v/>
      </c>
      <c r="G304" s="186"/>
      <c r="H304" s="124"/>
      <c r="I304" s="239"/>
      <c r="J304" s="80" t="str">
        <f t="shared" si="182"/>
        <v/>
      </c>
      <c r="K304" s="177">
        <f t="shared" si="186"/>
        <v>0</v>
      </c>
      <c r="L304" s="160"/>
      <c r="M304" s="161"/>
      <c r="N304" s="162"/>
      <c r="O304" s="162"/>
      <c r="P304" s="163"/>
      <c r="Q304" s="202"/>
      <c r="R304" s="204"/>
      <c r="S304" s="211"/>
      <c r="T304" s="211"/>
      <c r="U304" s="211"/>
      <c r="V304" s="211"/>
      <c r="W304" s="211"/>
      <c r="X304" s="154"/>
      <c r="Y304" s="173" t="str">
        <f t="shared" ref="Y304:Y318" si="194">IFERROR(AF304+AG304,"")</f>
        <v/>
      </c>
      <c r="Z304" s="83" t="str">
        <f t="shared" si="183"/>
        <v/>
      </c>
      <c r="AA304" s="84" t="str">
        <f t="shared" si="192"/>
        <v/>
      </c>
      <c r="AB304" s="84" t="str">
        <f t="shared" si="193"/>
        <v/>
      </c>
      <c r="AC304" s="84" t="str">
        <f t="shared" si="184"/>
        <v/>
      </c>
      <c r="AD304" s="84"/>
      <c r="AE304" s="84" t="str">
        <f t="shared" si="188"/>
        <v/>
      </c>
      <c r="AF304" s="84">
        <f t="shared" si="181"/>
        <v>0</v>
      </c>
      <c r="AG304" s="94" t="str">
        <f t="shared" si="189"/>
        <v/>
      </c>
      <c r="AH304" s="85" t="str">
        <f>IFERROR(VLOOKUP(A304,CUSTOMERS!$A:$E,4),"")</f>
        <v/>
      </c>
      <c r="AI304" s="86" t="str">
        <f t="shared" si="178"/>
        <v/>
      </c>
      <c r="AJ304" s="87" t="str">
        <f>IFERROR(VLOOKUP(A304,CUSTOMERS!$A:$F,5),"")</f>
        <v/>
      </c>
      <c r="AK304" s="98"/>
      <c r="AL304" s="98">
        <v>0</v>
      </c>
      <c r="AM304" s="99">
        <v>0</v>
      </c>
      <c r="AN304" s="99"/>
      <c r="AO304" s="99">
        <v>0</v>
      </c>
      <c r="AP304" s="103">
        <f t="shared" si="185"/>
        <v>0</v>
      </c>
      <c r="AQ304" s="103" t="str">
        <f t="shared" si="176"/>
        <v/>
      </c>
      <c r="AR304" s="68" t="str">
        <f>IFERROR(VLOOKUP(A304,CUSTOMERS!$A:$B,2),"")</f>
        <v/>
      </c>
      <c r="AS304" s="68" t="str">
        <f>IFERROR(VLOOKUP(A304,CUSTOMERS!$A:$D,3),"")</f>
        <v/>
      </c>
      <c r="AT304" s="68" t="str">
        <f>IFERROR(VLOOKUP(A304,CUSTOMERS!$A:$F,6),"")</f>
        <v/>
      </c>
      <c r="AU304" s="69" t="str">
        <f>IFERROR(VLOOKUP(A304,CUSTOMERS!$A:$E,4),"")</f>
        <v/>
      </c>
      <c r="AV304" s="68" t="str">
        <f t="shared" si="190"/>
        <v/>
      </c>
      <c r="AX304" s="71" t="str">
        <f t="shared" si="187"/>
        <v>reason304</v>
      </c>
    </row>
    <row r="305" spans="1:50" thickTop="1" thickBot="1">
      <c r="A305" s="188"/>
      <c r="B305" s="125" t="str">
        <f t="shared" si="191"/>
        <v/>
      </c>
      <c r="C305" s="125"/>
      <c r="D305" s="126"/>
      <c r="E305" s="126"/>
      <c r="F305" s="122" t="str">
        <f t="shared" si="179"/>
        <v/>
      </c>
      <c r="G305" s="186"/>
      <c r="H305" s="124"/>
      <c r="I305" s="239"/>
      <c r="J305" s="80" t="str">
        <f t="shared" si="182"/>
        <v/>
      </c>
      <c r="K305" s="177">
        <f t="shared" si="186"/>
        <v>0</v>
      </c>
      <c r="L305" s="160"/>
      <c r="M305" s="161"/>
      <c r="N305" s="162"/>
      <c r="O305" s="162"/>
      <c r="P305" s="163"/>
      <c r="Q305" s="202"/>
      <c r="R305" s="204"/>
      <c r="S305" s="211"/>
      <c r="T305" s="211"/>
      <c r="U305" s="211"/>
      <c r="V305" s="211"/>
      <c r="W305" s="211"/>
      <c r="X305" s="154"/>
      <c r="Y305" s="173" t="str">
        <f t="shared" si="194"/>
        <v/>
      </c>
      <c r="Z305" s="83" t="str">
        <f t="shared" si="183"/>
        <v/>
      </c>
      <c r="AA305" s="84" t="str">
        <f t="shared" si="192"/>
        <v/>
      </c>
      <c r="AB305" s="84" t="str">
        <f t="shared" si="193"/>
        <v/>
      </c>
      <c r="AC305" s="84" t="str">
        <f t="shared" si="184"/>
        <v/>
      </c>
      <c r="AD305" s="84"/>
      <c r="AE305" s="84" t="str">
        <f t="shared" si="188"/>
        <v/>
      </c>
      <c r="AF305" s="84">
        <f t="shared" si="181"/>
        <v>0</v>
      </c>
      <c r="AG305" s="94" t="str">
        <f t="shared" si="189"/>
        <v/>
      </c>
      <c r="AH305" s="85" t="str">
        <f>IFERROR(VLOOKUP(A305,CUSTOMERS!$A:$E,4),"")</f>
        <v/>
      </c>
      <c r="AI305" s="86" t="str">
        <f t="shared" si="178"/>
        <v/>
      </c>
      <c r="AJ305" s="87" t="str">
        <f>IFERROR(VLOOKUP(A305,CUSTOMERS!$A:$F,5),"")</f>
        <v/>
      </c>
      <c r="AK305" s="98"/>
      <c r="AL305" s="98">
        <v>0</v>
      </c>
      <c r="AM305" s="99">
        <v>0</v>
      </c>
      <c r="AN305" s="99"/>
      <c r="AO305" s="99">
        <v>0</v>
      </c>
      <c r="AP305" s="103">
        <f t="shared" si="185"/>
        <v>0</v>
      </c>
      <c r="AQ305" s="103" t="str">
        <f t="shared" si="176"/>
        <v/>
      </c>
      <c r="AR305" s="68" t="str">
        <f>IFERROR(VLOOKUP(A305,CUSTOMERS!$A:$B,2),"")</f>
        <v/>
      </c>
      <c r="AS305" s="68" t="str">
        <f>IFERROR(VLOOKUP(A305,CUSTOMERS!$A:$D,3),"")</f>
        <v/>
      </c>
      <c r="AT305" s="68" t="str">
        <f>IFERROR(VLOOKUP(A305,CUSTOMERS!$A:$F,6),"")</f>
        <v/>
      </c>
      <c r="AU305" s="69" t="str">
        <f>IFERROR(VLOOKUP(A305,CUSTOMERS!$A:$E,4),"")</f>
        <v/>
      </c>
      <c r="AV305" s="68" t="str">
        <f t="shared" si="190"/>
        <v/>
      </c>
      <c r="AX305" s="71" t="str">
        <f t="shared" si="187"/>
        <v>reason305</v>
      </c>
    </row>
    <row r="306" spans="1:50" thickTop="1" thickBot="1">
      <c r="A306" s="188"/>
      <c r="B306" s="125" t="str">
        <f t="shared" si="191"/>
        <v/>
      </c>
      <c r="C306" s="125"/>
      <c r="D306" s="126"/>
      <c r="E306" s="126"/>
      <c r="F306" s="122" t="str">
        <f t="shared" si="179"/>
        <v/>
      </c>
      <c r="G306" s="186"/>
      <c r="H306" s="124"/>
      <c r="I306" s="239"/>
      <c r="J306" s="80" t="str">
        <f t="shared" si="182"/>
        <v/>
      </c>
      <c r="K306" s="177">
        <f t="shared" si="186"/>
        <v>0</v>
      </c>
      <c r="L306" s="160"/>
      <c r="M306" s="161"/>
      <c r="N306" s="162"/>
      <c r="O306" s="162"/>
      <c r="P306" s="163"/>
      <c r="Q306" s="202"/>
      <c r="R306" s="204"/>
      <c r="S306" s="211"/>
      <c r="T306" s="211"/>
      <c r="U306" s="211"/>
      <c r="V306" s="211"/>
      <c r="W306" s="211"/>
      <c r="X306" s="154"/>
      <c r="Y306" s="173" t="str">
        <f t="shared" si="194"/>
        <v/>
      </c>
      <c r="Z306" s="83" t="str">
        <f t="shared" si="183"/>
        <v/>
      </c>
      <c r="AA306" s="84" t="str">
        <f t="shared" si="192"/>
        <v/>
      </c>
      <c r="AB306" s="84" t="str">
        <f t="shared" si="193"/>
        <v/>
      </c>
      <c r="AC306" s="84" t="str">
        <f t="shared" si="184"/>
        <v/>
      </c>
      <c r="AD306" s="84"/>
      <c r="AE306" s="84" t="str">
        <f t="shared" si="188"/>
        <v/>
      </c>
      <c r="AF306" s="84">
        <f t="shared" ref="AF306:AF318" si="195">IFERROR(SUM(Z306:AE306),"")</f>
        <v>0</v>
      </c>
      <c r="AG306" s="94" t="str">
        <f t="shared" si="189"/>
        <v/>
      </c>
      <c r="AH306" s="85" t="str">
        <f>IFERROR(VLOOKUP(A306,CUSTOMERS!$A:$E,4),"")</f>
        <v/>
      </c>
      <c r="AI306" s="86" t="str">
        <f t="shared" si="178"/>
        <v/>
      </c>
      <c r="AJ306" s="87" t="str">
        <f>IFERROR(VLOOKUP(A306,CUSTOMERS!$A:$F,5),"")</f>
        <v/>
      </c>
      <c r="AK306" s="98"/>
      <c r="AL306" s="98">
        <v>0</v>
      </c>
      <c r="AM306" s="99">
        <v>0</v>
      </c>
      <c r="AN306" s="99"/>
      <c r="AO306" s="99">
        <v>0</v>
      </c>
      <c r="AP306" s="103">
        <f t="shared" si="185"/>
        <v>0</v>
      </c>
      <c r="AQ306" s="103" t="str">
        <f t="shared" si="176"/>
        <v/>
      </c>
      <c r="AR306" s="68" t="str">
        <f>IFERROR(VLOOKUP(A306,CUSTOMERS!$A:$B,2),"")</f>
        <v/>
      </c>
      <c r="AS306" s="68" t="str">
        <f>IFERROR(VLOOKUP(A306,CUSTOMERS!$A:$D,3),"")</f>
        <v/>
      </c>
      <c r="AT306" s="68" t="str">
        <f>IFERROR(VLOOKUP(A306,CUSTOMERS!$A:$F,6),"")</f>
        <v/>
      </c>
      <c r="AU306" s="69" t="str">
        <f>IFERROR(VLOOKUP(A306,CUSTOMERS!$A:$E,4),"")</f>
        <v/>
      </c>
      <c r="AV306" s="68" t="str">
        <f t="shared" si="190"/>
        <v/>
      </c>
      <c r="AX306" s="71" t="str">
        <f t="shared" si="187"/>
        <v>reason306</v>
      </c>
    </row>
    <row r="307" spans="1:50" thickTop="1" thickBot="1">
      <c r="A307" s="188"/>
      <c r="B307" s="125" t="str">
        <f t="shared" si="191"/>
        <v/>
      </c>
      <c r="C307" s="125"/>
      <c r="D307" s="126"/>
      <c r="E307" s="126"/>
      <c r="F307" s="122" t="str">
        <f t="shared" si="179"/>
        <v/>
      </c>
      <c r="G307" s="186"/>
      <c r="H307" s="124"/>
      <c r="I307" s="239"/>
      <c r="J307" s="80" t="str">
        <f t="shared" si="182"/>
        <v/>
      </c>
      <c r="K307" s="177">
        <f t="shared" si="186"/>
        <v>0</v>
      </c>
      <c r="L307" s="160"/>
      <c r="M307" s="161"/>
      <c r="N307" s="162"/>
      <c r="O307" s="162"/>
      <c r="P307" s="163"/>
      <c r="Q307" s="202"/>
      <c r="R307" s="204"/>
      <c r="S307" s="211"/>
      <c r="T307" s="211"/>
      <c r="U307" s="211"/>
      <c r="V307" s="211"/>
      <c r="W307" s="211"/>
      <c r="X307" s="154"/>
      <c r="Y307" s="173" t="str">
        <f t="shared" si="194"/>
        <v/>
      </c>
      <c r="Z307" s="83" t="str">
        <f t="shared" si="183"/>
        <v/>
      </c>
      <c r="AA307" s="84" t="str">
        <f t="shared" si="192"/>
        <v/>
      </c>
      <c r="AB307" s="84" t="str">
        <f t="shared" si="193"/>
        <v/>
      </c>
      <c r="AC307" s="84" t="str">
        <f t="shared" si="184"/>
        <v/>
      </c>
      <c r="AD307" s="84"/>
      <c r="AE307" s="84" t="str">
        <f t="shared" si="188"/>
        <v/>
      </c>
      <c r="AF307" s="84">
        <f t="shared" si="195"/>
        <v>0</v>
      </c>
      <c r="AG307" s="94" t="str">
        <f t="shared" si="189"/>
        <v/>
      </c>
      <c r="AH307" s="85" t="str">
        <f>IFERROR(VLOOKUP(A307,CUSTOMERS!$A:$E,4),"")</f>
        <v/>
      </c>
      <c r="AI307" s="86" t="str">
        <f t="shared" si="178"/>
        <v/>
      </c>
      <c r="AJ307" s="87" t="str">
        <f>IFERROR(VLOOKUP(A307,CUSTOMERS!$A:$F,5),"")</f>
        <v/>
      </c>
      <c r="AK307" s="98"/>
      <c r="AL307" s="98">
        <v>0</v>
      </c>
      <c r="AM307" s="99">
        <v>0</v>
      </c>
      <c r="AN307" s="99"/>
      <c r="AO307" s="99">
        <v>0</v>
      </c>
      <c r="AP307" s="103">
        <f t="shared" si="185"/>
        <v>0</v>
      </c>
      <c r="AQ307" s="103" t="str">
        <f t="shared" si="176"/>
        <v/>
      </c>
      <c r="AR307" s="68" t="str">
        <f>IFERROR(VLOOKUP(A307,CUSTOMERS!$A:$B,2),"")</f>
        <v/>
      </c>
      <c r="AS307" s="68" t="str">
        <f>IFERROR(VLOOKUP(A307,CUSTOMERS!$A:$D,3),"")</f>
        <v/>
      </c>
      <c r="AT307" s="68" t="str">
        <f>IFERROR(VLOOKUP(A307,CUSTOMERS!$A:$F,6),"")</f>
        <v/>
      </c>
      <c r="AU307" s="69" t="str">
        <f>IFERROR(VLOOKUP(A307,CUSTOMERS!$A:$E,4),"")</f>
        <v/>
      </c>
      <c r="AV307" s="68" t="str">
        <f t="shared" si="190"/>
        <v/>
      </c>
      <c r="AX307" s="71" t="str">
        <f t="shared" si="187"/>
        <v>reason307</v>
      </c>
    </row>
    <row r="308" spans="1:50" thickTop="1" thickBot="1">
      <c r="A308" s="188"/>
      <c r="B308" s="125" t="str">
        <f t="shared" si="191"/>
        <v/>
      </c>
      <c r="C308" s="125"/>
      <c r="D308" s="126"/>
      <c r="E308" s="126"/>
      <c r="F308" s="122" t="str">
        <f t="shared" si="179"/>
        <v/>
      </c>
      <c r="G308" s="186"/>
      <c r="H308" s="124"/>
      <c r="I308" s="239"/>
      <c r="J308" s="80" t="str">
        <f t="shared" si="182"/>
        <v/>
      </c>
      <c r="K308" s="177">
        <f t="shared" si="186"/>
        <v>0</v>
      </c>
      <c r="L308" s="160"/>
      <c r="M308" s="161"/>
      <c r="N308" s="162"/>
      <c r="O308" s="162"/>
      <c r="P308" s="163"/>
      <c r="Q308" s="202"/>
      <c r="R308" s="204"/>
      <c r="S308" s="211"/>
      <c r="T308" s="211"/>
      <c r="U308" s="211"/>
      <c r="V308" s="211"/>
      <c r="W308" s="211"/>
      <c r="X308" s="154"/>
      <c r="Y308" s="173" t="str">
        <f t="shared" si="194"/>
        <v/>
      </c>
      <c r="Z308" s="83" t="str">
        <f t="shared" si="183"/>
        <v/>
      </c>
      <c r="AA308" s="84" t="str">
        <f t="shared" si="192"/>
        <v/>
      </c>
      <c r="AB308" s="84" t="str">
        <f t="shared" si="193"/>
        <v/>
      </c>
      <c r="AC308" s="84" t="str">
        <f t="shared" si="184"/>
        <v/>
      </c>
      <c r="AD308" s="84"/>
      <c r="AE308" s="84" t="str">
        <f t="shared" si="188"/>
        <v/>
      </c>
      <c r="AF308" s="84">
        <f t="shared" si="195"/>
        <v>0</v>
      </c>
      <c r="AG308" s="94" t="str">
        <f t="shared" si="189"/>
        <v/>
      </c>
      <c r="AH308" s="85" t="str">
        <f>IFERROR(VLOOKUP(A308,CUSTOMERS!$A:$E,4),"")</f>
        <v/>
      </c>
      <c r="AI308" s="86" t="str">
        <f t="shared" si="178"/>
        <v/>
      </c>
      <c r="AJ308" s="87" t="str">
        <f>IFERROR(VLOOKUP(A308,CUSTOMERS!$A:$F,5),"")</f>
        <v/>
      </c>
      <c r="AK308" s="98"/>
      <c r="AL308" s="98">
        <v>0</v>
      </c>
      <c r="AM308" s="99">
        <v>0</v>
      </c>
      <c r="AN308" s="99"/>
      <c r="AO308" s="99">
        <v>0</v>
      </c>
      <c r="AP308" s="103">
        <f t="shared" si="185"/>
        <v>0</v>
      </c>
      <c r="AQ308" s="103" t="str">
        <f t="shared" si="176"/>
        <v/>
      </c>
      <c r="AR308" s="68" t="str">
        <f>IFERROR(VLOOKUP(A308,CUSTOMERS!$A:$B,2),"")</f>
        <v/>
      </c>
      <c r="AS308" s="68" t="str">
        <f>IFERROR(VLOOKUP(A308,CUSTOMERS!$A:$D,3),"")</f>
        <v/>
      </c>
      <c r="AT308" s="68" t="str">
        <f>IFERROR(VLOOKUP(A308,CUSTOMERS!$A:$F,6),"")</f>
        <v/>
      </c>
      <c r="AU308" s="69" t="str">
        <f>IFERROR(VLOOKUP(A308,CUSTOMERS!$A:$E,4),"")</f>
        <v/>
      </c>
      <c r="AV308" s="68" t="str">
        <f t="shared" si="190"/>
        <v/>
      </c>
      <c r="AX308" s="71" t="str">
        <f t="shared" si="187"/>
        <v>reason308</v>
      </c>
    </row>
    <row r="309" spans="1:50" thickTop="1" thickBot="1">
      <c r="A309" s="188"/>
      <c r="B309" s="125" t="str">
        <f t="shared" si="191"/>
        <v/>
      </c>
      <c r="C309" s="125"/>
      <c r="D309" s="126"/>
      <c r="E309" s="126"/>
      <c r="F309" s="122" t="str">
        <f t="shared" si="179"/>
        <v/>
      </c>
      <c r="G309" s="186"/>
      <c r="H309" s="124"/>
      <c r="I309" s="239"/>
      <c r="J309" s="80" t="str">
        <f t="shared" si="182"/>
        <v/>
      </c>
      <c r="K309" s="177">
        <f t="shared" si="186"/>
        <v>0</v>
      </c>
      <c r="L309" s="160"/>
      <c r="M309" s="161"/>
      <c r="N309" s="162"/>
      <c r="O309" s="162"/>
      <c r="P309" s="163"/>
      <c r="Q309" s="202"/>
      <c r="R309" s="204"/>
      <c r="S309" s="211"/>
      <c r="T309" s="211"/>
      <c r="U309" s="211"/>
      <c r="V309" s="211"/>
      <c r="W309" s="211"/>
      <c r="X309" s="154"/>
      <c r="Y309" s="173" t="str">
        <f t="shared" si="194"/>
        <v/>
      </c>
      <c r="Z309" s="83" t="str">
        <f t="shared" si="183"/>
        <v/>
      </c>
      <c r="AA309" s="84" t="str">
        <f t="shared" si="192"/>
        <v/>
      </c>
      <c r="AB309" s="84" t="str">
        <f t="shared" si="193"/>
        <v/>
      </c>
      <c r="AC309" s="84" t="str">
        <f t="shared" si="184"/>
        <v/>
      </c>
      <c r="AD309" s="84"/>
      <c r="AE309" s="84" t="str">
        <f t="shared" si="188"/>
        <v/>
      </c>
      <c r="AF309" s="84">
        <f t="shared" si="195"/>
        <v>0</v>
      </c>
      <c r="AG309" s="94" t="str">
        <f t="shared" si="189"/>
        <v/>
      </c>
      <c r="AH309" s="85" t="str">
        <f>IFERROR(VLOOKUP(A309,CUSTOMERS!$A:$E,4),"")</f>
        <v/>
      </c>
      <c r="AI309" s="86" t="str">
        <f t="shared" si="178"/>
        <v/>
      </c>
      <c r="AJ309" s="87" t="str">
        <f>IFERROR(VLOOKUP(A309,CUSTOMERS!$A:$F,5),"")</f>
        <v/>
      </c>
      <c r="AK309" s="98"/>
      <c r="AL309" s="98">
        <v>0</v>
      </c>
      <c r="AM309" s="99">
        <v>0</v>
      </c>
      <c r="AN309" s="99"/>
      <c r="AO309" s="99">
        <v>0</v>
      </c>
      <c r="AP309" s="103">
        <f t="shared" si="185"/>
        <v>0</v>
      </c>
      <c r="AQ309" s="103" t="str">
        <f t="shared" ref="AQ309:AQ318" si="196">IFERROR(AP309*AJ309,"")</f>
        <v/>
      </c>
      <c r="AR309" s="68" t="str">
        <f>IFERROR(VLOOKUP(A309,CUSTOMERS!$A:$B,2),"")</f>
        <v/>
      </c>
      <c r="AS309" s="68" t="str">
        <f>IFERROR(VLOOKUP(A309,CUSTOMERS!$A:$D,3),"")</f>
        <v/>
      </c>
      <c r="AT309" s="68" t="str">
        <f>IFERROR(VLOOKUP(A309,CUSTOMERS!$A:$F,6),"")</f>
        <v/>
      </c>
      <c r="AU309" s="69" t="str">
        <f>IFERROR(VLOOKUP(A309,CUSTOMERS!$A:$E,4),"")</f>
        <v/>
      </c>
      <c r="AV309" s="68" t="str">
        <f t="shared" si="190"/>
        <v/>
      </c>
      <c r="AX309" s="71" t="str">
        <f t="shared" si="187"/>
        <v>reason309</v>
      </c>
    </row>
    <row r="310" spans="1:50" thickTop="1" thickBot="1">
      <c r="A310" s="188"/>
      <c r="B310" s="125" t="str">
        <f t="shared" si="191"/>
        <v/>
      </c>
      <c r="C310" s="125"/>
      <c r="D310" s="126"/>
      <c r="E310" s="126"/>
      <c r="F310" s="122" t="str">
        <f t="shared" si="179"/>
        <v/>
      </c>
      <c r="G310" s="186"/>
      <c r="H310" s="124"/>
      <c r="I310" s="239"/>
      <c r="J310" s="80" t="str">
        <f t="shared" si="182"/>
        <v/>
      </c>
      <c r="K310" s="177">
        <f t="shared" si="186"/>
        <v>0</v>
      </c>
      <c r="L310" s="160"/>
      <c r="M310" s="161"/>
      <c r="N310" s="162"/>
      <c r="O310" s="162"/>
      <c r="P310" s="163"/>
      <c r="Q310" s="202"/>
      <c r="R310" s="204"/>
      <c r="S310" s="211"/>
      <c r="T310" s="211"/>
      <c r="U310" s="211"/>
      <c r="V310" s="211"/>
      <c r="W310" s="211"/>
      <c r="X310" s="154"/>
      <c r="Y310" s="173" t="str">
        <f t="shared" si="194"/>
        <v/>
      </c>
      <c r="Z310" s="83" t="str">
        <f t="shared" si="183"/>
        <v/>
      </c>
      <c r="AA310" s="84" t="str">
        <f t="shared" si="192"/>
        <v/>
      </c>
      <c r="AB310" s="84" t="str">
        <f t="shared" si="193"/>
        <v/>
      </c>
      <c r="AC310" s="84" t="str">
        <f t="shared" si="184"/>
        <v/>
      </c>
      <c r="AD310" s="84"/>
      <c r="AE310" s="84" t="str">
        <f t="shared" si="188"/>
        <v/>
      </c>
      <c r="AF310" s="84">
        <f t="shared" si="195"/>
        <v>0</v>
      </c>
      <c r="AG310" s="94" t="str">
        <f t="shared" si="189"/>
        <v/>
      </c>
      <c r="AH310" s="85" t="str">
        <f>IFERROR(VLOOKUP(A310,CUSTOMERS!$A:$E,4),"")</f>
        <v/>
      </c>
      <c r="AI310" s="86" t="str">
        <f t="shared" si="178"/>
        <v/>
      </c>
      <c r="AJ310" s="87" t="str">
        <f>IFERROR(VLOOKUP(A310,CUSTOMERS!$A:$F,5),"")</f>
        <v/>
      </c>
      <c r="AK310" s="98"/>
      <c r="AL310" s="98">
        <v>0</v>
      </c>
      <c r="AM310" s="99">
        <v>0</v>
      </c>
      <c r="AN310" s="99"/>
      <c r="AO310" s="99">
        <v>0</v>
      </c>
      <c r="AP310" s="103">
        <f t="shared" si="185"/>
        <v>0</v>
      </c>
      <c r="AQ310" s="103" t="str">
        <f t="shared" si="196"/>
        <v/>
      </c>
      <c r="AR310" s="68" t="str">
        <f>IFERROR(VLOOKUP(A310,CUSTOMERS!$A:$B,2),"")</f>
        <v/>
      </c>
      <c r="AS310" s="68" t="str">
        <f>IFERROR(VLOOKUP(A310,CUSTOMERS!$A:$D,3),"")</f>
        <v/>
      </c>
      <c r="AT310" s="68" t="str">
        <f>IFERROR(VLOOKUP(A310,CUSTOMERS!$A:$F,6),"")</f>
        <v/>
      </c>
      <c r="AU310" s="69" t="str">
        <f>IFERROR(VLOOKUP(A310,CUSTOMERS!$A:$E,4),"")</f>
        <v/>
      </c>
      <c r="AV310" s="68" t="str">
        <f t="shared" si="190"/>
        <v/>
      </c>
      <c r="AX310" s="71" t="str">
        <f t="shared" si="187"/>
        <v>reason310</v>
      </c>
    </row>
    <row r="311" spans="1:50" thickTop="1" thickBot="1">
      <c r="A311" s="188"/>
      <c r="B311" s="125" t="str">
        <f t="shared" si="191"/>
        <v/>
      </c>
      <c r="C311" s="125"/>
      <c r="D311" s="126"/>
      <c r="E311" s="126"/>
      <c r="F311" s="122" t="str">
        <f t="shared" si="179"/>
        <v/>
      </c>
      <c r="G311" s="186"/>
      <c r="H311" s="124"/>
      <c r="I311" s="239"/>
      <c r="J311" s="80" t="str">
        <f t="shared" si="182"/>
        <v/>
      </c>
      <c r="K311" s="177">
        <f t="shared" ref="K311:K318" si="197">MAX(L311:R311)</f>
        <v>0</v>
      </c>
      <c r="L311" s="160"/>
      <c r="M311" s="161"/>
      <c r="N311" s="162"/>
      <c r="O311" s="162"/>
      <c r="P311" s="163"/>
      <c r="Q311" s="202"/>
      <c r="R311" s="204"/>
      <c r="S311" s="211"/>
      <c r="T311" s="211"/>
      <c r="U311" s="211"/>
      <c r="V311" s="211"/>
      <c r="W311" s="211"/>
      <c r="X311" s="154"/>
      <c r="Y311" s="173" t="str">
        <f t="shared" si="194"/>
        <v/>
      </c>
      <c r="Z311" s="83" t="str">
        <f t="shared" si="183"/>
        <v/>
      </c>
      <c r="AA311" s="84" t="str">
        <f t="shared" si="192"/>
        <v/>
      </c>
      <c r="AB311" s="84" t="str">
        <f t="shared" si="193"/>
        <v/>
      </c>
      <c r="AC311" s="84" t="str">
        <f t="shared" si="184"/>
        <v/>
      </c>
      <c r="AD311" s="84"/>
      <c r="AE311" s="84" t="str">
        <f t="shared" si="188"/>
        <v/>
      </c>
      <c r="AF311" s="84">
        <f t="shared" si="195"/>
        <v>0</v>
      </c>
      <c r="AG311" s="94" t="str">
        <f t="shared" si="189"/>
        <v/>
      </c>
      <c r="AH311" s="85" t="str">
        <f>IFERROR(VLOOKUP(A311,CUSTOMERS!$A:$E,4),"")</f>
        <v/>
      </c>
      <c r="AI311" s="86" t="str">
        <f t="shared" si="178"/>
        <v/>
      </c>
      <c r="AJ311" s="87" t="str">
        <f>IFERROR(VLOOKUP(A311,CUSTOMERS!$A:$F,5),"")</f>
        <v/>
      </c>
      <c r="AK311" s="98"/>
      <c r="AL311" s="98">
        <v>0</v>
      </c>
      <c r="AM311" s="99">
        <v>0</v>
      </c>
      <c r="AN311" s="99"/>
      <c r="AO311" s="99">
        <v>0</v>
      </c>
      <c r="AP311" s="103">
        <f t="shared" si="185"/>
        <v>0</v>
      </c>
      <c r="AQ311" s="103" t="str">
        <f t="shared" si="196"/>
        <v/>
      </c>
      <c r="AR311" s="68" t="str">
        <f>IFERROR(VLOOKUP(A311,CUSTOMERS!$A:$B,2),"")</f>
        <v/>
      </c>
      <c r="AS311" s="68" t="str">
        <f>IFERROR(VLOOKUP(A311,CUSTOMERS!$A:$D,3),"")</f>
        <v/>
      </c>
      <c r="AT311" s="68" t="str">
        <f>IFERROR(VLOOKUP(A311,CUSTOMERS!$A:$F,6),"")</f>
        <v/>
      </c>
      <c r="AU311" s="69" t="str">
        <f>IFERROR(VLOOKUP(A311,CUSTOMERS!$A:$E,4),"")</f>
        <v/>
      </c>
      <c r="AV311" s="68" t="str">
        <f t="shared" si="190"/>
        <v/>
      </c>
      <c r="AX311" s="71" t="str">
        <f t="shared" si="187"/>
        <v>reason311</v>
      </c>
    </row>
    <row r="312" spans="1:50" thickTop="1" thickBot="1">
      <c r="A312" s="188"/>
      <c r="B312" s="125" t="str">
        <f t="shared" si="191"/>
        <v/>
      </c>
      <c r="C312" s="125"/>
      <c r="D312" s="126"/>
      <c r="E312" s="126"/>
      <c r="F312" s="122" t="str">
        <f t="shared" si="179"/>
        <v/>
      </c>
      <c r="G312" s="186"/>
      <c r="H312" s="124"/>
      <c r="I312" s="239"/>
      <c r="J312" s="80" t="str">
        <f t="shared" si="182"/>
        <v/>
      </c>
      <c r="K312" s="177">
        <f t="shared" si="197"/>
        <v>0</v>
      </c>
      <c r="L312" s="160"/>
      <c r="M312" s="161"/>
      <c r="N312" s="162"/>
      <c r="O312" s="162"/>
      <c r="P312" s="163"/>
      <c r="Q312" s="202"/>
      <c r="R312" s="204"/>
      <c r="S312" s="211"/>
      <c r="T312" s="211"/>
      <c r="U312" s="211"/>
      <c r="V312" s="211"/>
      <c r="W312" s="211"/>
      <c r="X312" s="154"/>
      <c r="Y312" s="173" t="str">
        <f t="shared" si="194"/>
        <v/>
      </c>
      <c r="Z312" s="83" t="str">
        <f t="shared" si="183"/>
        <v/>
      </c>
      <c r="AA312" s="84" t="str">
        <f t="shared" si="192"/>
        <v/>
      </c>
      <c r="AB312" s="84" t="str">
        <f t="shared" si="193"/>
        <v/>
      </c>
      <c r="AC312" s="84" t="str">
        <f t="shared" si="184"/>
        <v/>
      </c>
      <c r="AD312" s="84"/>
      <c r="AE312" s="84" t="str">
        <f t="shared" si="188"/>
        <v/>
      </c>
      <c r="AF312" s="84">
        <f t="shared" si="195"/>
        <v>0</v>
      </c>
      <c r="AG312" s="94" t="str">
        <f t="shared" si="189"/>
        <v/>
      </c>
      <c r="AH312" s="85" t="str">
        <f>IFERROR(VLOOKUP(A312,CUSTOMERS!$A:$E,4),"")</f>
        <v/>
      </c>
      <c r="AI312" s="86" t="str">
        <f t="shared" ref="AI312:AI318" si="198">AV312</f>
        <v/>
      </c>
      <c r="AJ312" s="87" t="str">
        <f>IFERROR(VLOOKUP(A312,CUSTOMERS!$A:$F,5),"")</f>
        <v/>
      </c>
      <c r="AK312" s="98"/>
      <c r="AL312" s="98">
        <v>0</v>
      </c>
      <c r="AM312" s="99">
        <v>0</v>
      </c>
      <c r="AN312" s="99"/>
      <c r="AO312" s="99">
        <v>0</v>
      </c>
      <c r="AP312" s="103">
        <f t="shared" si="185"/>
        <v>0</v>
      </c>
      <c r="AQ312" s="103" t="str">
        <f t="shared" si="196"/>
        <v/>
      </c>
      <c r="AR312" s="68" t="str">
        <f>IFERROR(VLOOKUP(A312,CUSTOMERS!$A:$B,2),"")</f>
        <v/>
      </c>
      <c r="AS312" s="68" t="str">
        <f>IFERROR(VLOOKUP(A312,CUSTOMERS!$A:$D,3),"")</f>
        <v/>
      </c>
      <c r="AT312" s="68" t="str">
        <f>IFERROR(VLOOKUP(A312,CUSTOMERS!$A:$F,6),"")</f>
        <v/>
      </c>
      <c r="AU312" s="69" t="str">
        <f>IFERROR(VLOOKUP(A312,CUSTOMERS!$A:$E,4),"")</f>
        <v/>
      </c>
      <c r="AV312" s="68" t="str">
        <f t="shared" si="190"/>
        <v/>
      </c>
      <c r="AX312" s="71" t="str">
        <f t="shared" si="187"/>
        <v>reason312</v>
      </c>
    </row>
    <row r="313" spans="1:50" thickTop="1" thickBot="1">
      <c r="A313" s="188"/>
      <c r="B313" s="125" t="str">
        <f t="shared" si="191"/>
        <v/>
      </c>
      <c r="C313" s="125"/>
      <c r="D313" s="126"/>
      <c r="E313" s="126"/>
      <c r="F313" s="122" t="str">
        <f t="shared" si="179"/>
        <v/>
      </c>
      <c r="G313" s="186"/>
      <c r="H313" s="124"/>
      <c r="I313" s="239"/>
      <c r="J313" s="80" t="str">
        <f t="shared" si="182"/>
        <v/>
      </c>
      <c r="K313" s="177">
        <f t="shared" si="197"/>
        <v>0</v>
      </c>
      <c r="L313" s="160"/>
      <c r="M313" s="161"/>
      <c r="N313" s="162"/>
      <c r="O313" s="162"/>
      <c r="P313" s="163"/>
      <c r="Q313" s="202"/>
      <c r="R313" s="204"/>
      <c r="S313" s="211"/>
      <c r="T313" s="211"/>
      <c r="U313" s="211"/>
      <c r="V313" s="211"/>
      <c r="W313" s="211"/>
      <c r="X313" s="154"/>
      <c r="Y313" s="173" t="str">
        <f t="shared" si="194"/>
        <v/>
      </c>
      <c r="Z313" s="83" t="str">
        <f t="shared" si="183"/>
        <v/>
      </c>
      <c r="AA313" s="84" t="str">
        <f t="shared" si="192"/>
        <v/>
      </c>
      <c r="AB313" s="84" t="str">
        <f t="shared" si="193"/>
        <v/>
      </c>
      <c r="AC313" s="84" t="str">
        <f t="shared" si="184"/>
        <v/>
      </c>
      <c r="AD313" s="84"/>
      <c r="AE313" s="84" t="str">
        <f t="shared" si="188"/>
        <v/>
      </c>
      <c r="AF313" s="84">
        <f t="shared" si="195"/>
        <v>0</v>
      </c>
      <c r="AG313" s="94" t="str">
        <f t="shared" si="189"/>
        <v/>
      </c>
      <c r="AH313" s="85" t="str">
        <f>IFERROR(VLOOKUP(A313,CUSTOMERS!$A:$E,4),"")</f>
        <v/>
      </c>
      <c r="AI313" s="86" t="str">
        <f t="shared" si="198"/>
        <v/>
      </c>
      <c r="AJ313" s="87" t="str">
        <f>IFERROR(VLOOKUP(A313,CUSTOMERS!$A:$F,5),"")</f>
        <v/>
      </c>
      <c r="AK313" s="98"/>
      <c r="AL313" s="98">
        <v>0</v>
      </c>
      <c r="AM313" s="99">
        <v>0</v>
      </c>
      <c r="AN313" s="99"/>
      <c r="AO313" s="99">
        <v>0</v>
      </c>
      <c r="AP313" s="103">
        <f t="shared" si="185"/>
        <v>0</v>
      </c>
      <c r="AQ313" s="103" t="str">
        <f t="shared" si="196"/>
        <v/>
      </c>
      <c r="AR313" s="68" t="str">
        <f>IFERROR(VLOOKUP(A313,CUSTOMERS!$A:$B,2),"")</f>
        <v/>
      </c>
      <c r="AS313" s="68" t="str">
        <f>IFERROR(VLOOKUP(A313,CUSTOMERS!$A:$D,3),"")</f>
        <v/>
      </c>
      <c r="AT313" s="68" t="str">
        <f>IFERROR(VLOOKUP(A313,CUSTOMERS!$A:$F,6),"")</f>
        <v/>
      </c>
      <c r="AU313" s="69" t="str">
        <f>IFERROR(VLOOKUP(A313,CUSTOMERS!$A:$E,4),"")</f>
        <v/>
      </c>
      <c r="AV313" s="68" t="str">
        <f t="shared" si="190"/>
        <v/>
      </c>
      <c r="AX313" s="71" t="str">
        <f t="shared" si="187"/>
        <v>reason313</v>
      </c>
    </row>
    <row r="314" spans="1:50" thickTop="1" thickBot="1">
      <c r="A314" s="188"/>
      <c r="B314" s="125" t="str">
        <f t="shared" si="191"/>
        <v/>
      </c>
      <c r="C314" s="125"/>
      <c r="D314" s="126"/>
      <c r="E314" s="126"/>
      <c r="F314" s="122" t="str">
        <f t="shared" si="179"/>
        <v/>
      </c>
      <c r="G314" s="186"/>
      <c r="H314" s="124"/>
      <c r="I314" s="239"/>
      <c r="J314" s="80" t="str">
        <f t="shared" si="182"/>
        <v/>
      </c>
      <c r="K314" s="177">
        <f t="shared" si="197"/>
        <v>0</v>
      </c>
      <c r="L314" s="160"/>
      <c r="M314" s="161"/>
      <c r="N314" s="162"/>
      <c r="O314" s="162"/>
      <c r="P314" s="163"/>
      <c r="Q314" s="202"/>
      <c r="R314" s="204"/>
      <c r="S314" s="211"/>
      <c r="T314" s="211"/>
      <c r="U314" s="211"/>
      <c r="V314" s="211"/>
      <c r="W314" s="211"/>
      <c r="X314" s="154"/>
      <c r="Y314" s="173" t="str">
        <f t="shared" si="194"/>
        <v/>
      </c>
      <c r="Z314" s="83" t="str">
        <f t="shared" si="183"/>
        <v/>
      </c>
      <c r="AA314" s="84" t="str">
        <f t="shared" si="192"/>
        <v/>
      </c>
      <c r="AB314" s="84" t="str">
        <f t="shared" si="193"/>
        <v/>
      </c>
      <c r="AC314" s="84" t="str">
        <f t="shared" si="184"/>
        <v/>
      </c>
      <c r="AD314" s="84"/>
      <c r="AE314" s="84" t="str">
        <f t="shared" si="188"/>
        <v/>
      </c>
      <c r="AF314" s="84">
        <f t="shared" si="195"/>
        <v>0</v>
      </c>
      <c r="AG314" s="94" t="str">
        <f t="shared" si="189"/>
        <v/>
      </c>
      <c r="AH314" s="85" t="str">
        <f>IFERROR(VLOOKUP(A314,CUSTOMERS!$A:$E,4),"")</f>
        <v/>
      </c>
      <c r="AI314" s="86" t="str">
        <f t="shared" si="198"/>
        <v/>
      </c>
      <c r="AJ314" s="87" t="str">
        <f>IFERROR(VLOOKUP(A314,CUSTOMERS!$A:$F,5),"")</f>
        <v/>
      </c>
      <c r="AK314" s="98"/>
      <c r="AL314" s="98">
        <v>0</v>
      </c>
      <c r="AM314" s="99">
        <v>0</v>
      </c>
      <c r="AN314" s="99"/>
      <c r="AO314" s="99">
        <v>0</v>
      </c>
      <c r="AP314" s="103">
        <f t="shared" si="185"/>
        <v>0</v>
      </c>
      <c r="AQ314" s="103" t="str">
        <f t="shared" si="196"/>
        <v/>
      </c>
      <c r="AR314" s="68" t="str">
        <f>IFERROR(VLOOKUP(A314,CUSTOMERS!$A:$B,2),"")</f>
        <v/>
      </c>
      <c r="AS314" s="68" t="str">
        <f>IFERROR(VLOOKUP(A314,CUSTOMERS!$A:$D,3),"")</f>
        <v/>
      </c>
      <c r="AT314" s="68" t="str">
        <f>IFERROR(VLOOKUP(A314,CUSTOMERS!$A:$F,6),"")</f>
        <v/>
      </c>
      <c r="AU314" s="69" t="str">
        <f>IFERROR(VLOOKUP(A314,CUSTOMERS!$A:$E,4),"")</f>
        <v/>
      </c>
      <c r="AV314" s="68" t="str">
        <f t="shared" si="190"/>
        <v/>
      </c>
      <c r="AX314" s="71" t="str">
        <f t="shared" si="187"/>
        <v>reason314</v>
      </c>
    </row>
    <row r="315" spans="1:50" thickTop="1" thickBot="1">
      <c r="A315" s="188"/>
      <c r="B315" s="125" t="str">
        <f t="shared" si="191"/>
        <v/>
      </c>
      <c r="C315" s="125"/>
      <c r="D315" s="126"/>
      <c r="E315" s="126"/>
      <c r="F315" s="122" t="str">
        <f t="shared" si="179"/>
        <v/>
      </c>
      <c r="G315" s="186"/>
      <c r="H315" s="124"/>
      <c r="I315" s="239"/>
      <c r="J315" s="80" t="str">
        <f t="shared" si="182"/>
        <v/>
      </c>
      <c r="K315" s="177">
        <f t="shared" si="197"/>
        <v>0</v>
      </c>
      <c r="L315" s="160"/>
      <c r="M315" s="161"/>
      <c r="N315" s="162"/>
      <c r="O315" s="162"/>
      <c r="P315" s="163"/>
      <c r="Q315" s="202"/>
      <c r="R315" s="204"/>
      <c r="S315" s="211"/>
      <c r="T315" s="211"/>
      <c r="U315" s="211"/>
      <c r="V315" s="211"/>
      <c r="W315" s="211"/>
      <c r="X315" s="154"/>
      <c r="Y315" s="173" t="str">
        <f t="shared" si="194"/>
        <v/>
      </c>
      <c r="Z315" s="83" t="str">
        <f t="shared" si="183"/>
        <v/>
      </c>
      <c r="AA315" s="84" t="str">
        <f t="shared" si="192"/>
        <v/>
      </c>
      <c r="AB315" s="84" t="str">
        <f t="shared" si="193"/>
        <v/>
      </c>
      <c r="AC315" s="84" t="str">
        <f t="shared" si="184"/>
        <v/>
      </c>
      <c r="AD315" s="84"/>
      <c r="AE315" s="84" t="str">
        <f t="shared" si="188"/>
        <v/>
      </c>
      <c r="AF315" s="84">
        <f t="shared" si="195"/>
        <v>0</v>
      </c>
      <c r="AG315" s="94" t="str">
        <f t="shared" si="189"/>
        <v/>
      </c>
      <c r="AH315" s="85" t="str">
        <f>IFERROR(VLOOKUP(A315,CUSTOMERS!$A:$E,4),"")</f>
        <v/>
      </c>
      <c r="AI315" s="86" t="str">
        <f t="shared" si="198"/>
        <v/>
      </c>
      <c r="AJ315" s="87" t="str">
        <f>IFERROR(VLOOKUP(A315,CUSTOMERS!$A:$F,5),"")</f>
        <v/>
      </c>
      <c r="AK315" s="98"/>
      <c r="AL315" s="98">
        <v>0</v>
      </c>
      <c r="AM315" s="99">
        <v>0</v>
      </c>
      <c r="AN315" s="99"/>
      <c r="AO315" s="99">
        <v>0</v>
      </c>
      <c r="AP315" s="103">
        <f t="shared" si="185"/>
        <v>0</v>
      </c>
      <c r="AQ315" s="103" t="str">
        <f t="shared" si="196"/>
        <v/>
      </c>
      <c r="AR315" s="68" t="str">
        <f>IFERROR(VLOOKUP(A315,CUSTOMERS!$A:$B,2),"")</f>
        <v/>
      </c>
      <c r="AS315" s="68" t="str">
        <f>IFERROR(VLOOKUP(A315,CUSTOMERS!$A:$D,3),"")</f>
        <v/>
      </c>
      <c r="AT315" s="68" t="str">
        <f>IFERROR(VLOOKUP(A315,CUSTOMERS!$A:$F,6),"")</f>
        <v/>
      </c>
      <c r="AU315" s="69" t="str">
        <f>IFERROR(VLOOKUP(A315,CUSTOMERS!$A:$E,4),"")</f>
        <v/>
      </c>
      <c r="AV315" s="68" t="str">
        <f t="shared" si="190"/>
        <v/>
      </c>
      <c r="AX315" s="71" t="str">
        <f t="shared" si="187"/>
        <v>reason315</v>
      </c>
    </row>
    <row r="316" spans="1:50" thickTop="1" thickBot="1">
      <c r="A316" s="188"/>
      <c r="B316" s="125" t="str">
        <f t="shared" si="191"/>
        <v/>
      </c>
      <c r="C316" s="125"/>
      <c r="D316" s="126"/>
      <c r="E316" s="126"/>
      <c r="F316" s="122" t="str">
        <f t="shared" si="179"/>
        <v/>
      </c>
      <c r="G316" s="186"/>
      <c r="H316" s="124"/>
      <c r="I316" s="239"/>
      <c r="J316" s="80" t="str">
        <f t="shared" si="182"/>
        <v/>
      </c>
      <c r="K316" s="177">
        <f t="shared" si="197"/>
        <v>0</v>
      </c>
      <c r="L316" s="160"/>
      <c r="M316" s="161"/>
      <c r="N316" s="162"/>
      <c r="O316" s="162"/>
      <c r="P316" s="163"/>
      <c r="Q316" s="202"/>
      <c r="R316" s="204"/>
      <c r="S316" s="211"/>
      <c r="T316" s="211"/>
      <c r="U316" s="211"/>
      <c r="V316" s="211"/>
      <c r="W316" s="211"/>
      <c r="X316" s="154"/>
      <c r="Y316" s="173" t="str">
        <f t="shared" si="194"/>
        <v/>
      </c>
      <c r="Z316" s="83" t="str">
        <f t="shared" si="183"/>
        <v/>
      </c>
      <c r="AA316" s="84" t="str">
        <f t="shared" si="192"/>
        <v/>
      </c>
      <c r="AB316" s="84" t="str">
        <f t="shared" si="193"/>
        <v/>
      </c>
      <c r="AC316" s="84" t="str">
        <f t="shared" si="184"/>
        <v/>
      </c>
      <c r="AD316" s="84"/>
      <c r="AE316" s="84" t="str">
        <f t="shared" si="188"/>
        <v/>
      </c>
      <c r="AF316" s="84">
        <f t="shared" si="195"/>
        <v>0</v>
      </c>
      <c r="AG316" s="94" t="str">
        <f t="shared" si="189"/>
        <v/>
      </c>
      <c r="AH316" s="85" t="str">
        <f>IFERROR(VLOOKUP(A316,CUSTOMERS!$A:$E,4),"")</f>
        <v/>
      </c>
      <c r="AI316" s="86" t="str">
        <f t="shared" si="198"/>
        <v/>
      </c>
      <c r="AJ316" s="87" t="str">
        <f>IFERROR(VLOOKUP(A316,CUSTOMERS!$A:$F,5),"")</f>
        <v/>
      </c>
      <c r="AK316" s="98"/>
      <c r="AL316" s="98">
        <v>0</v>
      </c>
      <c r="AM316" s="99">
        <v>0</v>
      </c>
      <c r="AN316" s="99"/>
      <c r="AO316" s="99">
        <v>0</v>
      </c>
      <c r="AP316" s="103">
        <f t="shared" si="185"/>
        <v>0</v>
      </c>
      <c r="AQ316" s="103" t="str">
        <f t="shared" si="196"/>
        <v/>
      </c>
      <c r="AR316" s="68" t="str">
        <f>IFERROR(VLOOKUP(A316,CUSTOMERS!$A:$B,2),"")</f>
        <v/>
      </c>
      <c r="AS316" s="68" t="str">
        <f>IFERROR(VLOOKUP(A316,CUSTOMERS!$A:$D,3),"")</f>
        <v/>
      </c>
      <c r="AT316" s="68" t="str">
        <f>IFERROR(VLOOKUP(A316,CUSTOMERS!$A:$F,6),"")</f>
        <v/>
      </c>
      <c r="AU316" s="69" t="str">
        <f>IFERROR(VLOOKUP(A316,CUSTOMERS!$A:$E,4),"")</f>
        <v/>
      </c>
      <c r="AV316" s="68" t="str">
        <f t="shared" si="190"/>
        <v/>
      </c>
      <c r="AX316" s="71" t="str">
        <f t="shared" si="187"/>
        <v>reason316</v>
      </c>
    </row>
    <row r="317" spans="1:50" thickTop="1" thickBot="1">
      <c r="A317" s="188"/>
      <c r="B317" s="125" t="str">
        <f t="shared" si="191"/>
        <v/>
      </c>
      <c r="C317" s="125"/>
      <c r="D317" s="126"/>
      <c r="E317" s="126"/>
      <c r="F317" s="122" t="str">
        <f t="shared" si="179"/>
        <v/>
      </c>
      <c r="G317" s="186"/>
      <c r="H317" s="124"/>
      <c r="I317" s="239"/>
      <c r="J317" s="80" t="str">
        <f t="shared" si="182"/>
        <v/>
      </c>
      <c r="K317" s="177">
        <f t="shared" si="197"/>
        <v>0</v>
      </c>
      <c r="L317" s="160"/>
      <c r="M317" s="161"/>
      <c r="N317" s="162"/>
      <c r="O317" s="162"/>
      <c r="P317" s="163"/>
      <c r="Q317" s="202"/>
      <c r="R317" s="204"/>
      <c r="S317" s="211"/>
      <c r="T317" s="211"/>
      <c r="U317" s="211"/>
      <c r="V317" s="211"/>
      <c r="W317" s="211"/>
      <c r="X317" s="164"/>
      <c r="Y317" s="173" t="str">
        <f t="shared" si="194"/>
        <v/>
      </c>
      <c r="Z317" s="83" t="str">
        <f t="shared" si="183"/>
        <v/>
      </c>
      <c r="AA317" s="84" t="str">
        <f t="shared" si="192"/>
        <v/>
      </c>
      <c r="AB317" s="84" t="str">
        <f t="shared" si="193"/>
        <v/>
      </c>
      <c r="AC317" s="84" t="str">
        <f t="shared" si="184"/>
        <v/>
      </c>
      <c r="AD317" s="84"/>
      <c r="AE317" s="84" t="str">
        <f t="shared" si="188"/>
        <v/>
      </c>
      <c r="AF317" s="84">
        <f t="shared" si="195"/>
        <v>0</v>
      </c>
      <c r="AG317" s="94" t="str">
        <f t="shared" si="189"/>
        <v/>
      </c>
      <c r="AH317" s="85" t="str">
        <f>IFERROR(VLOOKUP(A317,CUSTOMERS!$A:$E,4),"")</f>
        <v/>
      </c>
      <c r="AI317" s="86" t="str">
        <f t="shared" si="198"/>
        <v/>
      </c>
      <c r="AJ317" s="87" t="str">
        <f>IFERROR(VLOOKUP(A317,CUSTOMERS!$A:$F,5),"")</f>
        <v/>
      </c>
      <c r="AK317" s="98"/>
      <c r="AL317" s="98">
        <v>0</v>
      </c>
      <c r="AM317" s="99">
        <v>0</v>
      </c>
      <c r="AN317" s="99"/>
      <c r="AO317" s="99">
        <v>0</v>
      </c>
      <c r="AP317" s="103">
        <f t="shared" si="185"/>
        <v>0</v>
      </c>
      <c r="AQ317" s="103" t="str">
        <f t="shared" si="196"/>
        <v/>
      </c>
      <c r="AR317" s="68" t="str">
        <f>IFERROR(VLOOKUP(A317,CUSTOMERS!$A:$B,2),"")</f>
        <v/>
      </c>
      <c r="AS317" s="68" t="str">
        <f>IFERROR(VLOOKUP(A317,CUSTOMERS!$A:$D,3),"")</f>
        <v/>
      </c>
      <c r="AT317" s="68" t="str">
        <f>IFERROR(VLOOKUP(A317,CUSTOMERS!$A:$F,6),"")</f>
        <v/>
      </c>
      <c r="AU317" s="69" t="str">
        <f>IFERROR(VLOOKUP(A317,CUSTOMERS!$A:$E,4),"")</f>
        <v/>
      </c>
      <c r="AV317" s="68" t="str">
        <f t="shared" si="190"/>
        <v/>
      </c>
      <c r="AX317" s="71" t="str">
        <f t="shared" si="187"/>
        <v>reason317</v>
      </c>
    </row>
    <row r="318" spans="1:50" ht="8.25" customHeight="1" thickTop="1" thickBot="1">
      <c r="A318" s="188"/>
      <c r="B318" s="125" t="str">
        <f t="shared" si="191"/>
        <v/>
      </c>
      <c r="C318" s="125"/>
      <c r="D318" s="126"/>
      <c r="E318" s="126"/>
      <c r="F318" s="122" t="str">
        <f t="shared" si="179"/>
        <v/>
      </c>
      <c r="G318" s="186"/>
      <c r="H318" s="124"/>
      <c r="I318" s="239"/>
      <c r="J318" s="80" t="str">
        <f t="shared" si="182"/>
        <v/>
      </c>
      <c r="K318" s="177">
        <f t="shared" si="197"/>
        <v>0</v>
      </c>
      <c r="L318" s="160"/>
      <c r="M318" s="161"/>
      <c r="N318" s="162"/>
      <c r="O318" s="162"/>
      <c r="P318" s="163"/>
      <c r="Q318" s="202"/>
      <c r="R318" s="204"/>
      <c r="S318" s="211"/>
      <c r="T318" s="211"/>
      <c r="U318" s="211"/>
      <c r="V318" s="211"/>
      <c r="W318" s="211"/>
      <c r="X318" s="164"/>
      <c r="Y318" s="173" t="str">
        <f t="shared" si="194"/>
        <v/>
      </c>
      <c r="Z318" s="83" t="str">
        <f t="shared" si="183"/>
        <v/>
      </c>
      <c r="AA318" s="84" t="str">
        <f t="shared" si="192"/>
        <v/>
      </c>
      <c r="AB318" s="84" t="str">
        <f t="shared" si="193"/>
        <v/>
      </c>
      <c r="AC318" s="84" t="str">
        <f t="shared" si="184"/>
        <v/>
      </c>
      <c r="AD318" s="84"/>
      <c r="AE318" s="84" t="str">
        <f t="shared" si="188"/>
        <v/>
      </c>
      <c r="AF318" s="84">
        <f t="shared" si="195"/>
        <v>0</v>
      </c>
      <c r="AG318" s="94" t="str">
        <f t="shared" si="189"/>
        <v/>
      </c>
      <c r="AH318" s="85" t="str">
        <f>IFERROR(VLOOKUP(A318,CUSTOMERS!$A:$E,4),"")</f>
        <v/>
      </c>
      <c r="AI318" s="86" t="str">
        <f t="shared" si="198"/>
        <v/>
      </c>
      <c r="AJ318" s="87" t="str">
        <f>IFERROR(VLOOKUP(A318,CUSTOMERS!$A:$F,5),"")</f>
        <v/>
      </c>
      <c r="AK318" s="98"/>
      <c r="AL318" s="98">
        <v>0</v>
      </c>
      <c r="AM318" s="99">
        <v>0</v>
      </c>
      <c r="AN318" s="99"/>
      <c r="AO318" s="99">
        <v>0</v>
      </c>
      <c r="AP318" s="103">
        <f t="shared" si="185"/>
        <v>0</v>
      </c>
      <c r="AQ318" s="103" t="str">
        <f t="shared" si="196"/>
        <v/>
      </c>
      <c r="AR318" s="68" t="str">
        <f>IFERROR(VLOOKUP(A318,CUSTOMERS!$A:$B,2),"")</f>
        <v/>
      </c>
      <c r="AS318" s="68" t="str">
        <f>IFERROR(VLOOKUP(A318,CUSTOMERS!$A:$D,3),"")</f>
        <v/>
      </c>
      <c r="AT318" s="68" t="str">
        <f>IFERROR(VLOOKUP(A318,CUSTOMERS!$A:$F,6),"")</f>
        <v/>
      </c>
      <c r="AU318" s="69" t="str">
        <f>IFERROR(VLOOKUP(A318,CUSTOMERS!$A:$E,4),"")</f>
        <v/>
      </c>
      <c r="AV318" s="68" t="str">
        <f t="shared" si="190"/>
        <v/>
      </c>
      <c r="AX318" s="71" t="str">
        <f t="shared" si="187"/>
        <v>reason318</v>
      </c>
    </row>
    <row r="319" spans="1:50" ht="40.5" customHeight="1" thickTop="1" thickBot="1">
      <c r="X319" s="170" t="s">
        <v>661</v>
      </c>
    </row>
    <row r="320" spans="1:50" ht="40.5" customHeight="1" thickTop="1" thickBot="1"/>
    <row r="321" ht="40.5" customHeight="1" thickTop="1" thickBot="1"/>
    <row r="322" ht="40.5" customHeight="1"/>
    <row r="323" ht="40.5" customHeight="1"/>
    <row r="324" ht="40.5" customHeight="1"/>
    <row r="325" ht="40.5" customHeight="1"/>
    <row r="326" ht="40.5" customHeight="1"/>
    <row r="327" ht="40.5" customHeight="1"/>
    <row r="328" ht="40.5" customHeight="1"/>
    <row r="329" ht="40.5" customHeight="1"/>
    <row r="330" ht="40.5" customHeight="1"/>
    <row r="331" ht="40.5" customHeight="1"/>
    <row r="332" ht="40.5" customHeight="1"/>
    <row r="333" ht="40.5" customHeight="1"/>
    <row r="334" ht="40.5" customHeight="1"/>
    <row r="335" ht="40.5" customHeight="1"/>
    <row r="336" ht="40.5" customHeight="1"/>
    <row r="337" ht="40.5" customHeight="1"/>
    <row r="338" ht="40.5" customHeight="1"/>
    <row r="339" ht="40.5" customHeight="1"/>
    <row r="340" ht="40.5" customHeight="1"/>
    <row r="341" ht="40.5" customHeight="1"/>
    <row r="342" ht="40.5" customHeight="1"/>
    <row r="343" ht="40.5" customHeight="1"/>
    <row r="344" ht="40.5" customHeight="1"/>
    <row r="345" ht="40.5" customHeight="1"/>
    <row r="346" ht="40.5" customHeight="1"/>
    <row r="347" ht="40.5" customHeight="1"/>
    <row r="348" ht="40.5" customHeight="1"/>
    <row r="349" ht="40.5" customHeight="1"/>
    <row r="350" ht="40.5" customHeight="1"/>
    <row r="351" ht="40.5" customHeight="1"/>
    <row r="352" ht="40.5" customHeight="1"/>
    <row r="353" ht="40.5" customHeight="1"/>
    <row r="354" ht="40.5" customHeight="1"/>
    <row r="355" ht="40.5" customHeight="1"/>
    <row r="356" ht="40.5" customHeight="1"/>
    <row r="357" ht="40.5" customHeight="1"/>
    <row r="358" ht="40.5" customHeight="1"/>
    <row r="359" ht="40.5" customHeight="1"/>
    <row r="360" ht="40.5" customHeight="1"/>
    <row r="361" ht="40.5" customHeight="1"/>
    <row r="362" ht="40.5" customHeight="1"/>
    <row r="363" ht="40.5" customHeight="1"/>
    <row r="364" ht="40.5" customHeight="1"/>
    <row r="365" ht="40.5" customHeight="1"/>
    <row r="366" ht="40.5" customHeight="1"/>
    <row r="367" ht="40.5" customHeight="1"/>
    <row r="368" ht="40.5" customHeight="1"/>
    <row r="369" ht="40.5" customHeight="1"/>
    <row r="370" ht="40.5" customHeight="1"/>
    <row r="371" ht="40.5" customHeight="1"/>
    <row r="372" ht="40.5" customHeight="1"/>
    <row r="373" ht="40.5" customHeight="1"/>
    <row r="374" ht="40.5" customHeight="1"/>
    <row r="375" ht="40.5" customHeight="1"/>
    <row r="376" ht="40.5" customHeight="1"/>
    <row r="377" ht="40.5" customHeight="1"/>
    <row r="378" ht="40.5" customHeight="1"/>
    <row r="379" ht="40.5" customHeight="1"/>
    <row r="380" ht="40.5" customHeight="1"/>
    <row r="381" ht="40.5" customHeight="1"/>
    <row r="382" ht="40.5" customHeight="1"/>
    <row r="383" ht="40.5" customHeight="1"/>
    <row r="384" ht="40.5" customHeight="1"/>
    <row r="385" ht="40.5" customHeight="1"/>
    <row r="386" ht="40.5" customHeight="1"/>
    <row r="387" ht="40.5" customHeight="1"/>
    <row r="388" ht="40.5" customHeight="1"/>
    <row r="389" ht="40.5" customHeight="1"/>
    <row r="390" ht="40.5" customHeight="1"/>
    <row r="391" ht="40.5" customHeight="1"/>
    <row r="392" ht="40.5" customHeight="1"/>
    <row r="393" ht="40.5" customHeight="1"/>
    <row r="394" ht="40.5" customHeight="1"/>
    <row r="395" ht="40.5" customHeight="1"/>
    <row r="396" ht="40.5" customHeight="1"/>
    <row r="397" ht="40.5" customHeight="1"/>
    <row r="398" ht="40.5" customHeight="1"/>
    <row r="399" ht="40.5" customHeight="1"/>
    <row r="400" ht="40.5" customHeight="1"/>
    <row r="401" ht="40.5" customHeight="1"/>
    <row r="402" ht="40.5" customHeight="1"/>
    <row r="403" ht="40.5" customHeight="1"/>
    <row r="404" ht="40.5" customHeight="1"/>
    <row r="405" ht="40.5" customHeight="1"/>
    <row r="406" ht="40.5" customHeight="1"/>
    <row r="407" ht="40.5" customHeight="1"/>
    <row r="408" ht="40.5" customHeight="1"/>
    <row r="409" ht="40.5" customHeight="1"/>
    <row r="410" ht="40.5" customHeight="1"/>
    <row r="411" ht="40.5" customHeight="1"/>
    <row r="412" ht="40.5" customHeight="1"/>
    <row r="413" ht="40.5" customHeight="1"/>
    <row r="414" ht="40.5" customHeight="1"/>
    <row r="415" ht="40.5" customHeight="1"/>
    <row r="416" ht="40.5" customHeight="1"/>
    <row r="417" ht="40.5" customHeight="1"/>
    <row r="418" ht="40.5" customHeight="1"/>
    <row r="419" ht="40.5" customHeight="1"/>
    <row r="420" ht="40.5" customHeight="1"/>
    <row r="421" ht="40.5" customHeight="1"/>
    <row r="422" ht="40.5" customHeight="1"/>
    <row r="423" ht="40.5" customHeight="1"/>
    <row r="424" ht="40.5" customHeight="1"/>
    <row r="425" ht="40.5" customHeight="1"/>
    <row r="426" ht="40.5" customHeight="1"/>
    <row r="427" ht="40.5" customHeight="1"/>
    <row r="428" ht="40.5" customHeight="1"/>
    <row r="429" ht="40.5" customHeight="1"/>
    <row r="430" ht="40.5" customHeight="1"/>
    <row r="431" ht="40.5" customHeight="1"/>
    <row r="432" ht="40.5" customHeight="1"/>
    <row r="433" ht="40.5" customHeight="1"/>
    <row r="434" ht="40.5" customHeight="1"/>
    <row r="435" ht="40.5" customHeight="1"/>
    <row r="436" ht="40.5" customHeight="1"/>
    <row r="437" ht="40.5" customHeight="1"/>
    <row r="438" ht="40.5" customHeight="1"/>
    <row r="439" ht="40.5" customHeight="1"/>
    <row r="440" ht="40.5" customHeight="1"/>
    <row r="441" ht="40.5" customHeight="1"/>
    <row r="442" ht="40.5" customHeight="1"/>
    <row r="443" ht="40.5" customHeight="1"/>
    <row r="444" ht="40.5" customHeight="1"/>
    <row r="445" ht="40.5" customHeight="1"/>
    <row r="446" ht="40.5" customHeight="1"/>
    <row r="447" ht="40.5" customHeight="1"/>
    <row r="448" ht="40.5" customHeight="1"/>
    <row r="449" ht="40.5" customHeight="1"/>
    <row r="450" ht="40.5" customHeight="1"/>
    <row r="451" ht="40.5" customHeight="1"/>
    <row r="452" ht="40.5" customHeight="1"/>
    <row r="453" ht="40.5" customHeight="1"/>
    <row r="454" ht="40.5" customHeight="1"/>
    <row r="455" ht="40.5" customHeight="1"/>
    <row r="456" ht="40.5" customHeight="1"/>
    <row r="457" ht="40.5" customHeight="1"/>
    <row r="458" ht="40.5" customHeight="1"/>
    <row r="459" ht="40.5" customHeight="1"/>
    <row r="460" ht="40.5" customHeight="1"/>
    <row r="461" ht="40.5" customHeight="1"/>
    <row r="462" ht="40.5" customHeight="1"/>
    <row r="463" ht="40.5" customHeight="1"/>
    <row r="464" ht="40.5" customHeight="1"/>
    <row r="465" ht="40.5" customHeight="1"/>
    <row r="466" ht="40.5" customHeight="1"/>
    <row r="467" ht="40.5" customHeight="1"/>
    <row r="468" ht="40.5" customHeight="1"/>
    <row r="469" ht="40.5" customHeight="1"/>
    <row r="470" ht="40.5" customHeight="1"/>
    <row r="471" ht="40.5" customHeight="1"/>
    <row r="472" ht="40.5" customHeight="1"/>
    <row r="473" ht="40.5" customHeight="1"/>
    <row r="474" ht="21"/>
  </sheetData>
  <sheetProtection algorithmName="SHA-512" hashValue="CtNHZbzgwU7yIjoCiuH5LNeV+gVlS6Rz0MFllNRqQhwl8fFAAtUMUMhsWMP+JZKrYqL0EWqTOM96+Fyk+fcBsg==" saltValue="q53L6y3+fezhDGX+5vNyQw==" spinCount="100000" sheet="1" insertRows="0" sort="0" autoFilter="0"/>
  <autoFilter ref="A2:AX319" xr:uid="{95ED83B0-1B28-4FEE-AE76-E7B2FEF8CF28}"/>
  <mergeCells count="6">
    <mergeCell ref="AR1:AV1"/>
    <mergeCell ref="A1:K1"/>
    <mergeCell ref="Y1:AG1"/>
    <mergeCell ref="AK1:AQ1"/>
    <mergeCell ref="AH1:AJ1"/>
    <mergeCell ref="Q1:W1"/>
  </mergeCells>
  <phoneticPr fontId="3" type="noConversion"/>
  <conditionalFormatting sqref="Y93:AG128 Y131:AG135 Y146:AE146 Y148:AF149 Y3:AG24 Y138:AG144 Y55:AG90 Y54:AE54 Y136:AE137 Y52:AG53 Y26:AG26 Y153:AG1048576 Y29:AG39 Y40">
    <cfRule type="cellIs" dxfId="339" priority="412" operator="lessThan">
      <formula>0</formula>
    </cfRule>
  </conditionalFormatting>
  <conditionalFormatting sqref="H3:H24 H93:H128 H131:H144 H146 H148:H149 H52:H90 H26:H40 H153:H194 H196:H209 H212:H1048576">
    <cfRule type="cellIs" dxfId="338" priority="411" operator="lessThan">
      <formula>0</formula>
    </cfRule>
  </conditionalFormatting>
  <conditionalFormatting sqref="AH1:AI1 AI93:AI128 AH3:AI24 AH131:AI144 AH146:AI146 AI148:AI149 AH52:AH128 AI52:AI90 AH26:AI26 AH153:AI1048576 AH29:AI39">
    <cfRule type="expression" dxfId="337" priority="404">
      <formula>$AV$3</formula>
    </cfRule>
  </conditionalFormatting>
  <conditionalFormatting sqref="X2">
    <cfRule type="cellIs" dxfId="336" priority="400" operator="lessThan">
      <formula>0</formula>
    </cfRule>
  </conditionalFormatting>
  <conditionalFormatting sqref="X1">
    <cfRule type="cellIs" dxfId="335" priority="399" operator="lessThan">
      <formula>0</formula>
    </cfRule>
  </conditionalFormatting>
  <conditionalFormatting sqref="F1:F24 F93:F128 F131:F144 F149 F146 F52:F90 F26:F39 F153:F1048576">
    <cfRule type="containsText" dxfId="334" priority="389" operator="containsText" text="With Product">
      <formula>NOT(ISERROR(SEARCH("With Product",F1)))</formula>
    </cfRule>
    <cfRule type="containsText" dxfId="333" priority="390" operator="containsText" text="Rejected">
      <formula>NOT(ISERROR(SEARCH("Rejected",F1)))</formula>
    </cfRule>
    <cfRule type="beginsWith" dxfId="332" priority="391" operator="beginsWith" text="Live">
      <formula>LEFT(F1,LEN("Live"))="Live"</formula>
    </cfRule>
    <cfRule type="containsText" dxfId="331" priority="392" operator="containsText" text="Delivered">
      <formula>NOT(ISERROR(SEARCH("Delivered",F1)))</formula>
    </cfRule>
    <cfRule type="containsText" dxfId="330" priority="393" operator="containsText" text="Ref Product">
      <formula>NOT(ISERROR(SEARCH("Ref Product",F1)))</formula>
    </cfRule>
    <cfRule type="containsText" dxfId="329" priority="394" operator="containsText" text="Approved">
      <formula>NOT(ISERROR(SEARCH("Approved",F1)))</formula>
    </cfRule>
    <cfRule type="containsText" dxfId="328" priority="395" operator="containsText" text="With Client">
      <formula>NOT(ISERROR(SEARCH("With Client",F1)))</formula>
    </cfRule>
    <cfRule type="containsText" dxfId="327" priority="396" operator="containsText" text="With Mgt">
      <formula>NOT(ISERROR(SEARCH("With Mgt",F1)))</formula>
    </cfRule>
    <cfRule type="containsText" dxfId="326" priority="397" operator="containsText" text="Writing">
      <formula>NOT(ISERROR(SEARCH("Writing",F1)))</formula>
    </cfRule>
    <cfRule type="containsText" dxfId="325" priority="398" operator="containsText" text="Pre-RSC">
      <formula>NOT(ISERROR(SEARCH("Pre-RSC",F1)))</formula>
    </cfRule>
  </conditionalFormatting>
  <conditionalFormatting sqref="Y91:AG91">
    <cfRule type="cellIs" dxfId="324" priority="388" operator="lessThan">
      <formula>0</formula>
    </cfRule>
  </conditionalFormatting>
  <conditionalFormatting sqref="H91">
    <cfRule type="cellIs" dxfId="323" priority="387" operator="lessThan">
      <formula>0</formula>
    </cfRule>
  </conditionalFormatting>
  <conditionalFormatting sqref="AI91">
    <cfRule type="expression" dxfId="322" priority="386">
      <formula>$AV$3</formula>
    </cfRule>
  </conditionalFormatting>
  <conditionalFormatting sqref="F91">
    <cfRule type="containsText" dxfId="321" priority="375" operator="containsText" text="With Product">
      <formula>NOT(ISERROR(SEARCH("With Product",F91)))</formula>
    </cfRule>
    <cfRule type="containsText" dxfId="320" priority="376" operator="containsText" text="Rejected">
      <formula>NOT(ISERROR(SEARCH("Rejected",F91)))</formula>
    </cfRule>
    <cfRule type="beginsWith" dxfId="319" priority="377" operator="beginsWith" text="Live">
      <formula>LEFT(F91,LEN("Live"))="Live"</formula>
    </cfRule>
    <cfRule type="containsText" dxfId="318" priority="378" operator="containsText" text="Delivered">
      <formula>NOT(ISERROR(SEARCH("Delivered",F91)))</formula>
    </cfRule>
    <cfRule type="containsText" dxfId="317" priority="379" operator="containsText" text="Ref Product">
      <formula>NOT(ISERROR(SEARCH("Ref Product",F91)))</formula>
    </cfRule>
    <cfRule type="containsText" dxfId="316" priority="380" operator="containsText" text="Approved">
      <formula>NOT(ISERROR(SEARCH("Approved",F91)))</formula>
    </cfRule>
    <cfRule type="containsText" dxfId="315" priority="381" operator="containsText" text="With Client">
      <formula>NOT(ISERROR(SEARCH("With Client",F91)))</formula>
    </cfRule>
    <cfRule type="containsText" dxfId="314" priority="382" operator="containsText" text="With Mgt">
      <formula>NOT(ISERROR(SEARCH("With Mgt",F91)))</formula>
    </cfRule>
    <cfRule type="containsText" dxfId="313" priority="383" operator="containsText" text="Writing">
      <formula>NOT(ISERROR(SEARCH("Writing",F91)))</formula>
    </cfRule>
    <cfRule type="containsText" dxfId="312" priority="384" operator="containsText" text="Pre-RSC">
      <formula>NOT(ISERROR(SEARCH("Pre-RSC",F91)))</formula>
    </cfRule>
  </conditionalFormatting>
  <conditionalFormatting sqref="Y92:AG92">
    <cfRule type="cellIs" dxfId="311" priority="374" operator="lessThan">
      <formula>0</formula>
    </cfRule>
  </conditionalFormatting>
  <conditionalFormatting sqref="H92">
    <cfRule type="cellIs" dxfId="310" priority="373" operator="lessThan">
      <formula>0</formula>
    </cfRule>
  </conditionalFormatting>
  <conditionalFormatting sqref="AI92">
    <cfRule type="expression" dxfId="309" priority="372">
      <formula>$AV$3</formula>
    </cfRule>
  </conditionalFormatting>
  <conditionalFormatting sqref="F92">
    <cfRule type="containsText" dxfId="308" priority="361" operator="containsText" text="With Product">
      <formula>NOT(ISERROR(SEARCH("With Product",F92)))</formula>
    </cfRule>
    <cfRule type="containsText" dxfId="307" priority="362" operator="containsText" text="Rejected">
      <formula>NOT(ISERROR(SEARCH("Rejected",F92)))</formula>
    </cfRule>
    <cfRule type="beginsWith" dxfId="306" priority="363" operator="beginsWith" text="Live">
      <formula>LEFT(F92,LEN("Live"))="Live"</formula>
    </cfRule>
    <cfRule type="containsText" dxfId="305" priority="364" operator="containsText" text="Delivered">
      <formula>NOT(ISERROR(SEARCH("Delivered",F92)))</formula>
    </cfRule>
    <cfRule type="containsText" dxfId="304" priority="365" operator="containsText" text="Ref Product">
      <formula>NOT(ISERROR(SEARCH("Ref Product",F92)))</formula>
    </cfRule>
    <cfRule type="containsText" dxfId="303" priority="366" operator="containsText" text="Approved">
      <formula>NOT(ISERROR(SEARCH("Approved",F92)))</formula>
    </cfRule>
    <cfRule type="containsText" dxfId="302" priority="367" operator="containsText" text="With Client">
      <formula>NOT(ISERROR(SEARCH("With Client",F92)))</formula>
    </cfRule>
    <cfRule type="containsText" dxfId="301" priority="368" operator="containsText" text="With Mgt">
      <formula>NOT(ISERROR(SEARCH("With Mgt",F92)))</formula>
    </cfRule>
    <cfRule type="containsText" dxfId="300" priority="369" operator="containsText" text="Writing">
      <formula>NOT(ISERROR(SEARCH("Writing",F92)))</formula>
    </cfRule>
    <cfRule type="containsText" dxfId="299" priority="370" operator="containsText" text="Pre-RSC">
      <formula>NOT(ISERROR(SEARCH("Pre-RSC",F92)))</formula>
    </cfRule>
  </conditionalFormatting>
  <conditionalFormatting sqref="G2">
    <cfRule type="containsText" dxfId="298" priority="351" operator="containsText" text="With Product">
      <formula>NOT(ISERROR(SEARCH("With Product",G2)))</formula>
    </cfRule>
    <cfRule type="containsText" dxfId="297" priority="352" operator="containsText" text="Rejected">
      <formula>NOT(ISERROR(SEARCH("Rejected",G2)))</formula>
    </cfRule>
    <cfRule type="beginsWith" dxfId="296" priority="353" operator="beginsWith" text="Live">
      <formula>LEFT(G2,LEN("Live"))="Live"</formula>
    </cfRule>
    <cfRule type="containsText" dxfId="295" priority="354" operator="containsText" text="Delivered">
      <formula>NOT(ISERROR(SEARCH("Delivered",G2)))</formula>
    </cfRule>
    <cfRule type="containsText" dxfId="294" priority="355" operator="containsText" text="Ref Product">
      <formula>NOT(ISERROR(SEARCH("Ref Product",G2)))</formula>
    </cfRule>
    <cfRule type="containsText" dxfId="293" priority="356" operator="containsText" text="Approved">
      <formula>NOT(ISERROR(SEARCH("Approved",G2)))</formula>
    </cfRule>
    <cfRule type="containsText" dxfId="292" priority="357" operator="containsText" text="With Client">
      <formula>NOT(ISERROR(SEARCH("With Client",G2)))</formula>
    </cfRule>
    <cfRule type="containsText" dxfId="291" priority="358" operator="containsText" text="With Mgt">
      <formula>NOT(ISERROR(SEARCH("With Mgt",G2)))</formula>
    </cfRule>
    <cfRule type="containsText" dxfId="290" priority="359" operator="containsText" text="Writing">
      <formula>NOT(ISERROR(SEARCH("Writing",G2)))</formula>
    </cfRule>
    <cfRule type="containsText" dxfId="289" priority="360" operator="containsText" text="Pre-RSC">
      <formula>NOT(ISERROR(SEARCH("Pre-RSC",G2)))</formula>
    </cfRule>
  </conditionalFormatting>
  <conditionalFormatting sqref="D2:E2">
    <cfRule type="containsText" dxfId="288" priority="341" operator="containsText" text="With Product">
      <formula>NOT(ISERROR(SEARCH("With Product",D2)))</formula>
    </cfRule>
    <cfRule type="containsText" dxfId="287" priority="342" operator="containsText" text="Rejected">
      <formula>NOT(ISERROR(SEARCH("Rejected",D2)))</formula>
    </cfRule>
    <cfRule type="beginsWith" dxfId="286" priority="343" operator="beginsWith" text="Live">
      <formula>LEFT(D2,LEN("Live"))="Live"</formula>
    </cfRule>
    <cfRule type="containsText" dxfId="285" priority="344" operator="containsText" text="Delivered">
      <formula>NOT(ISERROR(SEARCH("Delivered",D2)))</formula>
    </cfRule>
    <cfRule type="containsText" dxfId="284" priority="345" operator="containsText" text="Ref Product">
      <formula>NOT(ISERROR(SEARCH("Ref Product",D2)))</formula>
    </cfRule>
    <cfRule type="containsText" dxfId="283" priority="346" operator="containsText" text="Approved">
      <formula>NOT(ISERROR(SEARCH("Approved",D2)))</formula>
    </cfRule>
    <cfRule type="containsText" dxfId="282" priority="347" operator="containsText" text="With Client">
      <formula>NOT(ISERROR(SEARCH("With Client",D2)))</formula>
    </cfRule>
    <cfRule type="containsText" dxfId="281" priority="348" operator="containsText" text="With Mgt">
      <formula>NOT(ISERROR(SEARCH("With Mgt",D2)))</formula>
    </cfRule>
    <cfRule type="containsText" dxfId="280" priority="349" operator="containsText" text="Writing">
      <formula>NOT(ISERROR(SEARCH("Writing",D2)))</formula>
    </cfRule>
    <cfRule type="containsText" dxfId="279" priority="350" operator="containsText" text="Pre-RSC">
      <formula>NOT(ISERROR(SEARCH("Pre-RSC",D2)))</formula>
    </cfRule>
  </conditionalFormatting>
  <conditionalFormatting sqref="Y2:AJ2">
    <cfRule type="containsText" dxfId="278" priority="331" operator="containsText" text="With Product">
      <formula>NOT(ISERROR(SEARCH("With Product",Y2)))</formula>
    </cfRule>
    <cfRule type="containsText" dxfId="277" priority="332" operator="containsText" text="Rejected">
      <formula>NOT(ISERROR(SEARCH("Rejected",Y2)))</formula>
    </cfRule>
    <cfRule type="beginsWith" dxfId="276" priority="333" operator="beginsWith" text="Live">
      <formula>LEFT(Y2,LEN("Live"))="Live"</formula>
    </cfRule>
    <cfRule type="containsText" dxfId="275" priority="334" operator="containsText" text="Delivered">
      <formula>NOT(ISERROR(SEARCH("Delivered",Y2)))</formula>
    </cfRule>
    <cfRule type="containsText" dxfId="274" priority="335" operator="containsText" text="Ref Product">
      <formula>NOT(ISERROR(SEARCH("Ref Product",Y2)))</formula>
    </cfRule>
    <cfRule type="containsText" dxfId="273" priority="336" operator="containsText" text="Approved">
      <formula>NOT(ISERROR(SEARCH("Approved",Y2)))</formula>
    </cfRule>
    <cfRule type="containsText" dxfId="272" priority="337" operator="containsText" text="With Client">
      <formula>NOT(ISERROR(SEARCH("With Client",Y2)))</formula>
    </cfRule>
    <cfRule type="containsText" dxfId="271" priority="338" operator="containsText" text="With Mgt">
      <formula>NOT(ISERROR(SEARCH("With Mgt",Y2)))</formula>
    </cfRule>
    <cfRule type="containsText" dxfId="270" priority="339" operator="containsText" text="Writing">
      <formula>NOT(ISERROR(SEARCH("Writing",Y2)))</formula>
    </cfRule>
    <cfRule type="containsText" dxfId="269" priority="340" operator="containsText" text="Pre-RSC">
      <formula>NOT(ISERROR(SEARCH("Pre-RSC",Y2)))</formula>
    </cfRule>
  </conditionalFormatting>
  <conditionalFormatting sqref="Y129:AG129">
    <cfRule type="cellIs" dxfId="268" priority="330" operator="lessThan">
      <formula>0</formula>
    </cfRule>
  </conditionalFormatting>
  <conditionalFormatting sqref="H129">
    <cfRule type="cellIs" dxfId="267" priority="329" operator="lessThan">
      <formula>0</formula>
    </cfRule>
  </conditionalFormatting>
  <conditionalFormatting sqref="AH129:AI129">
    <cfRule type="expression" dxfId="266" priority="328">
      <formula>$AV$3</formula>
    </cfRule>
  </conditionalFormatting>
  <conditionalFormatting sqref="F129">
    <cfRule type="containsText" dxfId="265" priority="317" operator="containsText" text="With Product">
      <formula>NOT(ISERROR(SEARCH("With Product",F129)))</formula>
    </cfRule>
    <cfRule type="containsText" dxfId="264" priority="318" operator="containsText" text="Rejected">
      <formula>NOT(ISERROR(SEARCH("Rejected",F129)))</formula>
    </cfRule>
    <cfRule type="beginsWith" dxfId="263" priority="319" operator="beginsWith" text="Live">
      <formula>LEFT(F129,LEN("Live"))="Live"</formula>
    </cfRule>
    <cfRule type="containsText" dxfId="262" priority="320" operator="containsText" text="Delivered">
      <formula>NOT(ISERROR(SEARCH("Delivered",F129)))</formula>
    </cfRule>
    <cfRule type="containsText" dxfId="261" priority="321" operator="containsText" text="Ref Product">
      <formula>NOT(ISERROR(SEARCH("Ref Product",F129)))</formula>
    </cfRule>
    <cfRule type="containsText" dxfId="260" priority="322" operator="containsText" text="Approved">
      <formula>NOT(ISERROR(SEARCH("Approved",F129)))</formula>
    </cfRule>
    <cfRule type="containsText" dxfId="259" priority="323" operator="containsText" text="With Client">
      <formula>NOT(ISERROR(SEARCH("With Client",F129)))</formula>
    </cfRule>
    <cfRule type="containsText" dxfId="258" priority="324" operator="containsText" text="With Mgt">
      <formula>NOT(ISERROR(SEARCH("With Mgt",F129)))</formula>
    </cfRule>
    <cfRule type="containsText" dxfId="257" priority="325" operator="containsText" text="Writing">
      <formula>NOT(ISERROR(SEARCH("Writing",F129)))</formula>
    </cfRule>
    <cfRule type="containsText" dxfId="256" priority="326" operator="containsText" text="Pre-RSC">
      <formula>NOT(ISERROR(SEARCH("Pre-RSC",F129)))</formula>
    </cfRule>
  </conditionalFormatting>
  <conditionalFormatting sqref="Y130:AG130">
    <cfRule type="cellIs" dxfId="255" priority="316" operator="lessThan">
      <formula>0</formula>
    </cfRule>
  </conditionalFormatting>
  <conditionalFormatting sqref="H130">
    <cfRule type="cellIs" dxfId="254" priority="315" operator="lessThan">
      <formula>0</formula>
    </cfRule>
  </conditionalFormatting>
  <conditionalFormatting sqref="AH130:AI130">
    <cfRule type="expression" dxfId="253" priority="314">
      <formula>$AV$3</formula>
    </cfRule>
  </conditionalFormatting>
  <conditionalFormatting sqref="F130">
    <cfRule type="containsText" dxfId="252" priority="303" operator="containsText" text="With Product">
      <formula>NOT(ISERROR(SEARCH("With Product",F130)))</formula>
    </cfRule>
    <cfRule type="containsText" dxfId="251" priority="304" operator="containsText" text="Rejected">
      <formula>NOT(ISERROR(SEARCH("Rejected",F130)))</formula>
    </cfRule>
    <cfRule type="beginsWith" dxfId="250" priority="305" operator="beginsWith" text="Live">
      <formula>LEFT(F130,LEN("Live"))="Live"</formula>
    </cfRule>
    <cfRule type="containsText" dxfId="249" priority="306" operator="containsText" text="Delivered">
      <formula>NOT(ISERROR(SEARCH("Delivered",F130)))</formula>
    </cfRule>
    <cfRule type="containsText" dxfId="248" priority="307" operator="containsText" text="Ref Product">
      <formula>NOT(ISERROR(SEARCH("Ref Product",F130)))</formula>
    </cfRule>
    <cfRule type="containsText" dxfId="247" priority="308" operator="containsText" text="Approved">
      <formula>NOT(ISERROR(SEARCH("Approved",F130)))</formula>
    </cfRule>
    <cfRule type="containsText" dxfId="246" priority="309" operator="containsText" text="With Client">
      <formula>NOT(ISERROR(SEARCH("With Client",F130)))</formula>
    </cfRule>
    <cfRule type="containsText" dxfId="245" priority="310" operator="containsText" text="With Mgt">
      <formula>NOT(ISERROR(SEARCH("With Mgt",F130)))</formula>
    </cfRule>
    <cfRule type="containsText" dxfId="244" priority="311" operator="containsText" text="Writing">
      <formula>NOT(ISERROR(SEARCH("Writing",F130)))</formula>
    </cfRule>
    <cfRule type="containsText" dxfId="243" priority="312" operator="containsText" text="Pre-RSC">
      <formula>NOT(ISERROR(SEARCH("Pre-RSC",F130)))</formula>
    </cfRule>
  </conditionalFormatting>
  <conditionalFormatting sqref="Y145:AE145">
    <cfRule type="cellIs" dxfId="242" priority="302" operator="lessThan">
      <formula>0</formula>
    </cfRule>
  </conditionalFormatting>
  <conditionalFormatting sqref="H145">
    <cfRule type="cellIs" dxfId="241" priority="301" operator="lessThan">
      <formula>0</formula>
    </cfRule>
  </conditionalFormatting>
  <conditionalFormatting sqref="AH145:AI145">
    <cfRule type="expression" dxfId="240" priority="300">
      <formula>$AV$3</formula>
    </cfRule>
  </conditionalFormatting>
  <conditionalFormatting sqref="F145">
    <cfRule type="containsText" dxfId="239" priority="289" operator="containsText" text="With Product">
      <formula>NOT(ISERROR(SEARCH("With Product",F145)))</formula>
    </cfRule>
    <cfRule type="containsText" dxfId="238" priority="290" operator="containsText" text="Rejected">
      <formula>NOT(ISERROR(SEARCH("Rejected",F145)))</formula>
    </cfRule>
    <cfRule type="beginsWith" dxfId="237" priority="291" operator="beginsWith" text="Live">
      <formula>LEFT(F145,LEN("Live"))="Live"</formula>
    </cfRule>
    <cfRule type="containsText" dxfId="236" priority="292" operator="containsText" text="Delivered">
      <formula>NOT(ISERROR(SEARCH("Delivered",F145)))</formula>
    </cfRule>
    <cfRule type="containsText" dxfId="235" priority="293" operator="containsText" text="Ref Product">
      <formula>NOT(ISERROR(SEARCH("Ref Product",F145)))</formula>
    </cfRule>
    <cfRule type="containsText" dxfId="234" priority="294" operator="containsText" text="Approved">
      <formula>NOT(ISERROR(SEARCH("Approved",F145)))</formula>
    </cfRule>
    <cfRule type="containsText" dxfId="233" priority="295" operator="containsText" text="With Client">
      <formula>NOT(ISERROR(SEARCH("With Client",F145)))</formula>
    </cfRule>
    <cfRule type="containsText" dxfId="232" priority="296" operator="containsText" text="With Mgt">
      <formula>NOT(ISERROR(SEARCH("With Mgt",F145)))</formula>
    </cfRule>
    <cfRule type="containsText" dxfId="231" priority="297" operator="containsText" text="Writing">
      <formula>NOT(ISERROR(SEARCH("Writing",F145)))</formula>
    </cfRule>
    <cfRule type="containsText" dxfId="230" priority="298" operator="containsText" text="Pre-RSC">
      <formula>NOT(ISERROR(SEARCH("Pre-RSC",F145)))</formula>
    </cfRule>
  </conditionalFormatting>
  <conditionalFormatting sqref="F148">
    <cfRule type="containsText" dxfId="229" priority="279" operator="containsText" text="With Product">
      <formula>NOT(ISERROR(SEARCH("With Product",F148)))</formula>
    </cfRule>
    <cfRule type="containsText" dxfId="228" priority="280" operator="containsText" text="Rejected">
      <formula>NOT(ISERROR(SEARCH("Rejected",F148)))</formula>
    </cfRule>
    <cfRule type="beginsWith" dxfId="227" priority="281" operator="beginsWith" text="Live">
      <formula>LEFT(F148,LEN("Live"))="Live"</formula>
    </cfRule>
    <cfRule type="containsText" dxfId="226" priority="282" operator="containsText" text="Delivered">
      <formula>NOT(ISERROR(SEARCH("Delivered",F148)))</formula>
    </cfRule>
    <cfRule type="containsText" dxfId="225" priority="283" operator="containsText" text="Ref Product">
      <formula>NOT(ISERROR(SEARCH("Ref Product",F148)))</formula>
    </cfRule>
    <cfRule type="containsText" dxfId="224" priority="284" operator="containsText" text="Approved">
      <formula>NOT(ISERROR(SEARCH("Approved",F148)))</formula>
    </cfRule>
    <cfRule type="containsText" dxfId="223" priority="285" operator="containsText" text="With Client">
      <formula>NOT(ISERROR(SEARCH("With Client",F148)))</formula>
    </cfRule>
    <cfRule type="containsText" dxfId="222" priority="286" operator="containsText" text="With Mgt">
      <formula>NOT(ISERROR(SEARCH("With Mgt",F148)))</formula>
    </cfRule>
    <cfRule type="containsText" dxfId="221" priority="287" operator="containsText" text="Writing">
      <formula>NOT(ISERROR(SEARCH("Writing",F148)))</formula>
    </cfRule>
    <cfRule type="containsText" dxfId="220" priority="288" operator="containsText" text="Pre-RSC">
      <formula>NOT(ISERROR(SEARCH("Pre-RSC",F148)))</formula>
    </cfRule>
  </conditionalFormatting>
  <conditionalFormatting sqref="Y150:AG150">
    <cfRule type="cellIs" dxfId="219" priority="278" operator="lessThan">
      <formula>0</formula>
    </cfRule>
  </conditionalFormatting>
  <conditionalFormatting sqref="H150">
    <cfRule type="cellIs" dxfId="218" priority="277" operator="lessThan">
      <formula>0</formula>
    </cfRule>
  </conditionalFormatting>
  <conditionalFormatting sqref="AH150:AI150">
    <cfRule type="expression" dxfId="217" priority="276">
      <formula>$AV$3</formula>
    </cfRule>
  </conditionalFormatting>
  <conditionalFormatting sqref="F150">
    <cfRule type="containsText" dxfId="216" priority="265" operator="containsText" text="With Product">
      <formula>NOT(ISERROR(SEARCH("With Product",F150)))</formula>
    </cfRule>
    <cfRule type="containsText" dxfId="215" priority="266" operator="containsText" text="Rejected">
      <formula>NOT(ISERROR(SEARCH("Rejected",F150)))</formula>
    </cfRule>
    <cfRule type="beginsWith" dxfId="214" priority="267" operator="beginsWith" text="Live">
      <formula>LEFT(F150,LEN("Live"))="Live"</formula>
    </cfRule>
    <cfRule type="containsText" dxfId="213" priority="268" operator="containsText" text="Delivered">
      <formula>NOT(ISERROR(SEARCH("Delivered",F150)))</formula>
    </cfRule>
    <cfRule type="containsText" dxfId="212" priority="269" operator="containsText" text="Ref Product">
      <formula>NOT(ISERROR(SEARCH("Ref Product",F150)))</formula>
    </cfRule>
    <cfRule type="containsText" dxfId="211" priority="270" operator="containsText" text="Approved">
      <formula>NOT(ISERROR(SEARCH("Approved",F150)))</formula>
    </cfRule>
    <cfRule type="containsText" dxfId="210" priority="271" operator="containsText" text="With Client">
      <formula>NOT(ISERROR(SEARCH("With Client",F150)))</formula>
    </cfRule>
    <cfRule type="containsText" dxfId="209" priority="272" operator="containsText" text="With Mgt">
      <formula>NOT(ISERROR(SEARCH("With Mgt",F150)))</formula>
    </cfRule>
    <cfRule type="containsText" dxfId="208" priority="273" operator="containsText" text="Writing">
      <formula>NOT(ISERROR(SEARCH("Writing",F150)))</formula>
    </cfRule>
    <cfRule type="containsText" dxfId="207" priority="274" operator="containsText" text="Pre-RSC">
      <formula>NOT(ISERROR(SEARCH("Pre-RSC",F150)))</formula>
    </cfRule>
  </conditionalFormatting>
  <conditionalFormatting sqref="Y151:AG151">
    <cfRule type="cellIs" dxfId="206" priority="264" operator="lessThan">
      <formula>0</formula>
    </cfRule>
  </conditionalFormatting>
  <conditionalFormatting sqref="H151">
    <cfRule type="cellIs" dxfId="205" priority="263" operator="lessThan">
      <formula>0</formula>
    </cfRule>
  </conditionalFormatting>
  <conditionalFormatting sqref="AH151:AI151">
    <cfRule type="expression" dxfId="204" priority="262">
      <formula>$AV$3</formula>
    </cfRule>
  </conditionalFormatting>
  <conditionalFormatting sqref="F151">
    <cfRule type="containsText" dxfId="203" priority="251" operator="containsText" text="With Product">
      <formula>NOT(ISERROR(SEARCH("With Product",F151)))</formula>
    </cfRule>
    <cfRule type="containsText" dxfId="202" priority="252" operator="containsText" text="Rejected">
      <formula>NOT(ISERROR(SEARCH("Rejected",F151)))</formula>
    </cfRule>
    <cfRule type="beginsWith" dxfId="201" priority="253" operator="beginsWith" text="Live">
      <formula>LEFT(F151,LEN("Live"))="Live"</formula>
    </cfRule>
    <cfRule type="containsText" dxfId="200" priority="254" operator="containsText" text="Delivered">
      <formula>NOT(ISERROR(SEARCH("Delivered",F151)))</formula>
    </cfRule>
    <cfRule type="containsText" dxfId="199" priority="255" operator="containsText" text="Ref Product">
      <formula>NOT(ISERROR(SEARCH("Ref Product",F151)))</formula>
    </cfRule>
    <cfRule type="containsText" dxfId="198" priority="256" operator="containsText" text="Approved">
      <formula>NOT(ISERROR(SEARCH("Approved",F151)))</formula>
    </cfRule>
    <cfRule type="containsText" dxfId="197" priority="257" operator="containsText" text="With Client">
      <formula>NOT(ISERROR(SEARCH("With Client",F151)))</formula>
    </cfRule>
    <cfRule type="containsText" dxfId="196" priority="258" operator="containsText" text="With Mgt">
      <formula>NOT(ISERROR(SEARCH("With Mgt",F151)))</formula>
    </cfRule>
    <cfRule type="containsText" dxfId="195" priority="259" operator="containsText" text="Writing">
      <formula>NOT(ISERROR(SEARCH("Writing",F151)))</formula>
    </cfRule>
    <cfRule type="containsText" dxfId="194" priority="260" operator="containsText" text="Pre-RSC">
      <formula>NOT(ISERROR(SEARCH("Pre-RSC",F151)))</formula>
    </cfRule>
  </conditionalFormatting>
  <conditionalFormatting sqref="Y152:AG152">
    <cfRule type="cellIs" dxfId="193" priority="250" operator="lessThan">
      <formula>0</formula>
    </cfRule>
  </conditionalFormatting>
  <conditionalFormatting sqref="H152">
    <cfRule type="cellIs" dxfId="192" priority="249" operator="lessThan">
      <formula>0</formula>
    </cfRule>
  </conditionalFormatting>
  <conditionalFormatting sqref="AH152:AI152">
    <cfRule type="expression" dxfId="191" priority="248">
      <formula>$AV$3</formula>
    </cfRule>
  </conditionalFormatting>
  <conditionalFormatting sqref="F152">
    <cfRule type="containsText" dxfId="190" priority="237" operator="containsText" text="With Product">
      <formula>NOT(ISERROR(SEARCH("With Product",F152)))</formula>
    </cfRule>
    <cfRule type="containsText" dxfId="189" priority="238" operator="containsText" text="Rejected">
      <formula>NOT(ISERROR(SEARCH("Rejected",F152)))</formula>
    </cfRule>
    <cfRule type="beginsWith" dxfId="188" priority="239" operator="beginsWith" text="Live">
      <formula>LEFT(F152,LEN("Live"))="Live"</formula>
    </cfRule>
    <cfRule type="containsText" dxfId="187" priority="240" operator="containsText" text="Delivered">
      <formula>NOT(ISERROR(SEARCH("Delivered",F152)))</formula>
    </cfRule>
    <cfRule type="containsText" dxfId="186" priority="241" operator="containsText" text="Ref Product">
      <formula>NOT(ISERROR(SEARCH("Ref Product",F152)))</formula>
    </cfRule>
    <cfRule type="containsText" dxfId="185" priority="242" operator="containsText" text="Approved">
      <formula>NOT(ISERROR(SEARCH("Approved",F152)))</formula>
    </cfRule>
    <cfRule type="containsText" dxfId="184" priority="243" operator="containsText" text="With Client">
      <formula>NOT(ISERROR(SEARCH("With Client",F152)))</formula>
    </cfRule>
    <cfRule type="containsText" dxfId="183" priority="244" operator="containsText" text="With Mgt">
      <formula>NOT(ISERROR(SEARCH("With Mgt",F152)))</formula>
    </cfRule>
    <cfRule type="containsText" dxfId="182" priority="245" operator="containsText" text="Writing">
      <formula>NOT(ISERROR(SEARCH("Writing",F152)))</formula>
    </cfRule>
    <cfRule type="containsText" dxfId="181" priority="246" operator="containsText" text="Pre-RSC">
      <formula>NOT(ISERROR(SEARCH("Pre-RSC",F152)))</formula>
    </cfRule>
  </conditionalFormatting>
  <conditionalFormatting sqref="Y147:AE147">
    <cfRule type="cellIs" dxfId="180" priority="236" operator="lessThan">
      <formula>0</formula>
    </cfRule>
  </conditionalFormatting>
  <conditionalFormatting sqref="H147">
    <cfRule type="cellIs" dxfId="179" priority="235" operator="lessThan">
      <formula>0</formula>
    </cfRule>
  </conditionalFormatting>
  <conditionalFormatting sqref="AI147">
    <cfRule type="expression" dxfId="178" priority="234">
      <formula>$AV$3</formula>
    </cfRule>
  </conditionalFormatting>
  <conditionalFormatting sqref="F147">
    <cfRule type="containsText" dxfId="177" priority="223" operator="containsText" text="With Product">
      <formula>NOT(ISERROR(SEARCH("With Product",F147)))</formula>
    </cfRule>
    <cfRule type="containsText" dxfId="176" priority="224" operator="containsText" text="Rejected">
      <formula>NOT(ISERROR(SEARCH("Rejected",F147)))</formula>
    </cfRule>
    <cfRule type="beginsWith" dxfId="175" priority="225" operator="beginsWith" text="Live">
      <formula>LEFT(F147,LEN("Live"))="Live"</formula>
    </cfRule>
    <cfRule type="containsText" dxfId="174" priority="226" operator="containsText" text="Delivered">
      <formula>NOT(ISERROR(SEARCH("Delivered",F147)))</formula>
    </cfRule>
    <cfRule type="containsText" dxfId="173" priority="227" operator="containsText" text="Ref Product">
      <formula>NOT(ISERROR(SEARCH("Ref Product",F147)))</formula>
    </cfRule>
    <cfRule type="containsText" dxfId="172" priority="228" operator="containsText" text="Approved">
      <formula>NOT(ISERROR(SEARCH("Approved",F147)))</formula>
    </cfRule>
    <cfRule type="containsText" dxfId="171" priority="229" operator="containsText" text="With Client">
      <formula>NOT(ISERROR(SEARCH("With Client",F147)))</formula>
    </cfRule>
    <cfRule type="containsText" dxfId="170" priority="230" operator="containsText" text="With Mgt">
      <formula>NOT(ISERROR(SEARCH("With Mgt",F147)))</formula>
    </cfRule>
    <cfRule type="containsText" dxfId="169" priority="231" operator="containsText" text="Writing">
      <formula>NOT(ISERROR(SEARCH("Writing",F147)))</formula>
    </cfRule>
    <cfRule type="containsText" dxfId="168" priority="232" operator="containsText" text="Pre-RSC">
      <formula>NOT(ISERROR(SEARCH("Pre-RSC",F147)))</formula>
    </cfRule>
  </conditionalFormatting>
  <conditionalFormatting sqref="Q2:W2 Q1">
    <cfRule type="cellIs" dxfId="167" priority="222" operator="lessThan">
      <formula>0</formula>
    </cfRule>
  </conditionalFormatting>
  <conditionalFormatting sqref="Q1">
    <cfRule type="cellIs" dxfId="166" priority="221" operator="lessThan">
      <formula>0</formula>
    </cfRule>
  </conditionalFormatting>
  <conditionalFormatting sqref="AF147">
    <cfRule type="cellIs" dxfId="165" priority="220" operator="lessThan">
      <formula>0</formula>
    </cfRule>
  </conditionalFormatting>
  <conditionalFormatting sqref="AF145:AG146">
    <cfRule type="cellIs" dxfId="164" priority="219" operator="lessThan">
      <formula>0</formula>
    </cfRule>
  </conditionalFormatting>
  <conditionalFormatting sqref="AG147:AH149">
    <cfRule type="cellIs" dxfId="163" priority="218" operator="lessThan">
      <formula>0</formula>
    </cfRule>
  </conditionalFormatting>
  <conditionalFormatting sqref="AF136:AG137 AF54:AG54">
    <cfRule type="cellIs" dxfId="162" priority="217" operator="lessThan">
      <formula>0</formula>
    </cfRule>
  </conditionalFormatting>
  <conditionalFormatting sqref="Y41:AG41">
    <cfRule type="cellIs" dxfId="161" priority="216" operator="lessThan">
      <formula>0</formula>
    </cfRule>
  </conditionalFormatting>
  <conditionalFormatting sqref="H41">
    <cfRule type="cellIs" dxfId="160" priority="215" operator="lessThan">
      <formula>0</formula>
    </cfRule>
  </conditionalFormatting>
  <conditionalFormatting sqref="AH41:AI41">
    <cfRule type="expression" dxfId="159" priority="214">
      <formula>$AV$3</formula>
    </cfRule>
  </conditionalFormatting>
  <conditionalFormatting sqref="F41">
    <cfRule type="containsText" dxfId="158" priority="203" operator="containsText" text="With Product">
      <formula>NOT(ISERROR(SEARCH("With Product",F41)))</formula>
    </cfRule>
    <cfRule type="containsText" dxfId="157" priority="204" operator="containsText" text="Rejected">
      <formula>NOT(ISERROR(SEARCH("Rejected",F41)))</formula>
    </cfRule>
    <cfRule type="beginsWith" dxfId="156" priority="205" operator="beginsWith" text="Live">
      <formula>LEFT(F41,LEN("Live"))="Live"</formula>
    </cfRule>
    <cfRule type="containsText" dxfId="155" priority="206" operator="containsText" text="Delivered">
      <formula>NOT(ISERROR(SEARCH("Delivered",F41)))</formula>
    </cfRule>
    <cfRule type="containsText" dxfId="154" priority="207" operator="containsText" text="Ref Product">
      <formula>NOT(ISERROR(SEARCH("Ref Product",F41)))</formula>
    </cfRule>
    <cfRule type="containsText" dxfId="153" priority="208" operator="containsText" text="Approved">
      <formula>NOT(ISERROR(SEARCH("Approved",F41)))</formula>
    </cfRule>
    <cfRule type="containsText" dxfId="152" priority="209" operator="containsText" text="With Client">
      <formula>NOT(ISERROR(SEARCH("With Client",F41)))</formula>
    </cfRule>
    <cfRule type="containsText" dxfId="151" priority="210" operator="containsText" text="With Mgt">
      <formula>NOT(ISERROR(SEARCH("With Mgt",F41)))</formula>
    </cfRule>
    <cfRule type="containsText" dxfId="150" priority="211" operator="containsText" text="Writing">
      <formula>NOT(ISERROR(SEARCH("Writing",F41)))</formula>
    </cfRule>
    <cfRule type="containsText" dxfId="149" priority="212" operator="containsText" text="Pre-RSC">
      <formula>NOT(ISERROR(SEARCH("Pre-RSC",F41)))</formula>
    </cfRule>
  </conditionalFormatting>
  <conditionalFormatting sqref="Y42:AG42">
    <cfRule type="cellIs" dxfId="148" priority="202" operator="lessThan">
      <formula>0</formula>
    </cfRule>
  </conditionalFormatting>
  <conditionalFormatting sqref="H42">
    <cfRule type="cellIs" dxfId="147" priority="201" operator="lessThan">
      <formula>0</formula>
    </cfRule>
  </conditionalFormatting>
  <conditionalFormatting sqref="AH42:AI42">
    <cfRule type="expression" dxfId="146" priority="200">
      <formula>$AV$3</formula>
    </cfRule>
  </conditionalFormatting>
  <conditionalFormatting sqref="F42">
    <cfRule type="containsText" dxfId="145" priority="189" operator="containsText" text="With Product">
      <formula>NOT(ISERROR(SEARCH("With Product",F42)))</formula>
    </cfRule>
    <cfRule type="containsText" dxfId="144" priority="190" operator="containsText" text="Rejected">
      <formula>NOT(ISERROR(SEARCH("Rejected",F42)))</formula>
    </cfRule>
    <cfRule type="beginsWith" dxfId="143" priority="191" operator="beginsWith" text="Live">
      <formula>LEFT(F42,LEN("Live"))="Live"</formula>
    </cfRule>
    <cfRule type="containsText" dxfId="142" priority="192" operator="containsText" text="Delivered">
      <formula>NOT(ISERROR(SEARCH("Delivered",F42)))</formula>
    </cfRule>
    <cfRule type="containsText" dxfId="141" priority="193" operator="containsText" text="Ref Product">
      <formula>NOT(ISERROR(SEARCH("Ref Product",F42)))</formula>
    </cfRule>
    <cfRule type="containsText" dxfId="140" priority="194" operator="containsText" text="Approved">
      <formula>NOT(ISERROR(SEARCH("Approved",F42)))</formula>
    </cfRule>
    <cfRule type="containsText" dxfId="139" priority="195" operator="containsText" text="With Client">
      <formula>NOT(ISERROR(SEARCH("With Client",F42)))</formula>
    </cfRule>
    <cfRule type="containsText" dxfId="138" priority="196" operator="containsText" text="With Mgt">
      <formula>NOT(ISERROR(SEARCH("With Mgt",F42)))</formula>
    </cfRule>
    <cfRule type="containsText" dxfId="137" priority="197" operator="containsText" text="Writing">
      <formula>NOT(ISERROR(SEARCH("Writing",F42)))</formula>
    </cfRule>
    <cfRule type="containsText" dxfId="136" priority="198" operator="containsText" text="Pre-RSC">
      <formula>NOT(ISERROR(SEARCH("Pre-RSC",F42)))</formula>
    </cfRule>
  </conditionalFormatting>
  <conditionalFormatting sqref="Y43:AG43">
    <cfRule type="cellIs" dxfId="135" priority="188" operator="lessThan">
      <formula>0</formula>
    </cfRule>
  </conditionalFormatting>
  <conditionalFormatting sqref="H43">
    <cfRule type="cellIs" dxfId="134" priority="187" operator="lessThan">
      <formula>0</formula>
    </cfRule>
  </conditionalFormatting>
  <conditionalFormatting sqref="AH43:AI43">
    <cfRule type="expression" dxfId="133" priority="186">
      <formula>$AV$3</formula>
    </cfRule>
  </conditionalFormatting>
  <conditionalFormatting sqref="F43">
    <cfRule type="containsText" dxfId="132" priority="175" operator="containsText" text="With Product">
      <formula>NOT(ISERROR(SEARCH("With Product",F43)))</formula>
    </cfRule>
    <cfRule type="containsText" dxfId="131" priority="176" operator="containsText" text="Rejected">
      <formula>NOT(ISERROR(SEARCH("Rejected",F43)))</formula>
    </cfRule>
    <cfRule type="beginsWith" dxfId="130" priority="177" operator="beginsWith" text="Live">
      <formula>LEFT(F43,LEN("Live"))="Live"</formula>
    </cfRule>
    <cfRule type="containsText" dxfId="129" priority="178" operator="containsText" text="Delivered">
      <formula>NOT(ISERROR(SEARCH("Delivered",F43)))</formula>
    </cfRule>
    <cfRule type="containsText" dxfId="128" priority="179" operator="containsText" text="Ref Product">
      <formula>NOT(ISERROR(SEARCH("Ref Product",F43)))</formula>
    </cfRule>
    <cfRule type="containsText" dxfId="127" priority="180" operator="containsText" text="Approved">
      <formula>NOT(ISERROR(SEARCH("Approved",F43)))</formula>
    </cfRule>
    <cfRule type="containsText" dxfId="126" priority="181" operator="containsText" text="With Client">
      <formula>NOT(ISERROR(SEARCH("With Client",F43)))</formula>
    </cfRule>
    <cfRule type="containsText" dxfId="125" priority="182" operator="containsText" text="With Mgt">
      <formula>NOT(ISERROR(SEARCH("With Mgt",F43)))</formula>
    </cfRule>
    <cfRule type="containsText" dxfId="124" priority="183" operator="containsText" text="Writing">
      <formula>NOT(ISERROR(SEARCH("Writing",F43)))</formula>
    </cfRule>
    <cfRule type="containsText" dxfId="123" priority="184" operator="containsText" text="Pre-RSC">
      <formula>NOT(ISERROR(SEARCH("Pre-RSC",F43)))</formula>
    </cfRule>
  </conditionalFormatting>
  <conditionalFormatting sqref="Y44:AG44">
    <cfRule type="cellIs" dxfId="122" priority="174" operator="lessThan">
      <formula>0</formula>
    </cfRule>
  </conditionalFormatting>
  <conditionalFormatting sqref="H44">
    <cfRule type="cellIs" dxfId="121" priority="173" operator="lessThan">
      <formula>0</formula>
    </cfRule>
  </conditionalFormatting>
  <conditionalFormatting sqref="AH44:AI44">
    <cfRule type="expression" dxfId="120" priority="172">
      <formula>$AV$3</formula>
    </cfRule>
  </conditionalFormatting>
  <conditionalFormatting sqref="F44">
    <cfRule type="containsText" dxfId="119" priority="161" operator="containsText" text="With Product">
      <formula>NOT(ISERROR(SEARCH("With Product",F44)))</formula>
    </cfRule>
    <cfRule type="containsText" dxfId="118" priority="162" operator="containsText" text="Rejected">
      <formula>NOT(ISERROR(SEARCH("Rejected",F44)))</formula>
    </cfRule>
    <cfRule type="beginsWith" dxfId="117" priority="163" operator="beginsWith" text="Live">
      <formula>LEFT(F44,LEN("Live"))="Live"</formula>
    </cfRule>
    <cfRule type="containsText" dxfId="116" priority="164" operator="containsText" text="Delivered">
      <formula>NOT(ISERROR(SEARCH("Delivered",F44)))</formula>
    </cfRule>
    <cfRule type="containsText" dxfId="115" priority="165" operator="containsText" text="Ref Product">
      <formula>NOT(ISERROR(SEARCH("Ref Product",F44)))</formula>
    </cfRule>
    <cfRule type="containsText" dxfId="114" priority="166" operator="containsText" text="Approved">
      <formula>NOT(ISERROR(SEARCH("Approved",F44)))</formula>
    </cfRule>
    <cfRule type="containsText" dxfId="113" priority="167" operator="containsText" text="With Client">
      <formula>NOT(ISERROR(SEARCH("With Client",F44)))</formula>
    </cfRule>
    <cfRule type="containsText" dxfId="112" priority="168" operator="containsText" text="With Mgt">
      <formula>NOT(ISERROR(SEARCH("With Mgt",F44)))</formula>
    </cfRule>
    <cfRule type="containsText" dxfId="111" priority="169" operator="containsText" text="Writing">
      <formula>NOT(ISERROR(SEARCH("Writing",F44)))</formula>
    </cfRule>
    <cfRule type="containsText" dxfId="110" priority="170" operator="containsText" text="Pre-RSC">
      <formula>NOT(ISERROR(SEARCH("Pre-RSC",F44)))</formula>
    </cfRule>
  </conditionalFormatting>
  <conditionalFormatting sqref="Y45:AG45">
    <cfRule type="cellIs" dxfId="109" priority="160" operator="lessThan">
      <formula>0</formula>
    </cfRule>
  </conditionalFormatting>
  <conditionalFormatting sqref="H45">
    <cfRule type="cellIs" dxfId="108" priority="159" operator="lessThan">
      <formula>0</formula>
    </cfRule>
  </conditionalFormatting>
  <conditionalFormatting sqref="AH45:AI45">
    <cfRule type="expression" dxfId="107" priority="158">
      <formula>$AV$3</formula>
    </cfRule>
  </conditionalFormatting>
  <conditionalFormatting sqref="F45">
    <cfRule type="containsText" dxfId="106" priority="147" operator="containsText" text="With Product">
      <formula>NOT(ISERROR(SEARCH("With Product",F45)))</formula>
    </cfRule>
    <cfRule type="containsText" dxfId="105" priority="148" operator="containsText" text="Rejected">
      <formula>NOT(ISERROR(SEARCH("Rejected",F45)))</formula>
    </cfRule>
    <cfRule type="beginsWith" dxfId="104" priority="149" operator="beginsWith" text="Live">
      <formula>LEFT(F45,LEN("Live"))="Live"</formula>
    </cfRule>
    <cfRule type="containsText" dxfId="103" priority="150" operator="containsText" text="Delivered">
      <formula>NOT(ISERROR(SEARCH("Delivered",F45)))</formula>
    </cfRule>
    <cfRule type="containsText" dxfId="102" priority="151" operator="containsText" text="Ref Product">
      <formula>NOT(ISERROR(SEARCH("Ref Product",F45)))</formula>
    </cfRule>
    <cfRule type="containsText" dxfId="101" priority="152" operator="containsText" text="Approved">
      <formula>NOT(ISERROR(SEARCH("Approved",F45)))</formula>
    </cfRule>
    <cfRule type="containsText" dxfId="100" priority="153" operator="containsText" text="With Client">
      <formula>NOT(ISERROR(SEARCH("With Client",F45)))</formula>
    </cfRule>
    <cfRule type="containsText" dxfId="99" priority="154" operator="containsText" text="With Mgt">
      <formula>NOT(ISERROR(SEARCH("With Mgt",F45)))</formula>
    </cfRule>
    <cfRule type="containsText" dxfId="98" priority="155" operator="containsText" text="Writing">
      <formula>NOT(ISERROR(SEARCH("Writing",F45)))</formula>
    </cfRule>
    <cfRule type="containsText" dxfId="97" priority="156" operator="containsText" text="Pre-RSC">
      <formula>NOT(ISERROR(SEARCH("Pre-RSC",F45)))</formula>
    </cfRule>
  </conditionalFormatting>
  <conditionalFormatting sqref="Y46:AG46">
    <cfRule type="cellIs" dxfId="96" priority="146" operator="lessThan">
      <formula>0</formula>
    </cfRule>
  </conditionalFormatting>
  <conditionalFormatting sqref="H46">
    <cfRule type="cellIs" dxfId="95" priority="145" operator="lessThan">
      <formula>0</formula>
    </cfRule>
  </conditionalFormatting>
  <conditionalFormatting sqref="AH46:AI46">
    <cfRule type="expression" dxfId="94" priority="144">
      <formula>$AV$3</formula>
    </cfRule>
  </conditionalFormatting>
  <conditionalFormatting sqref="F46">
    <cfRule type="containsText" dxfId="93" priority="133" operator="containsText" text="With Product">
      <formula>NOT(ISERROR(SEARCH("With Product",F46)))</formula>
    </cfRule>
    <cfRule type="containsText" dxfId="92" priority="134" operator="containsText" text="Rejected">
      <formula>NOT(ISERROR(SEARCH("Rejected",F46)))</formula>
    </cfRule>
    <cfRule type="beginsWith" dxfId="91" priority="135" operator="beginsWith" text="Live">
      <formula>LEFT(F46,LEN("Live"))="Live"</formula>
    </cfRule>
    <cfRule type="containsText" dxfId="90" priority="136" operator="containsText" text="Delivered">
      <formula>NOT(ISERROR(SEARCH("Delivered",F46)))</formula>
    </cfRule>
    <cfRule type="containsText" dxfId="89" priority="137" operator="containsText" text="Ref Product">
      <formula>NOT(ISERROR(SEARCH("Ref Product",F46)))</formula>
    </cfRule>
    <cfRule type="containsText" dxfId="88" priority="138" operator="containsText" text="Approved">
      <formula>NOT(ISERROR(SEARCH("Approved",F46)))</formula>
    </cfRule>
    <cfRule type="containsText" dxfId="87" priority="139" operator="containsText" text="With Client">
      <formula>NOT(ISERROR(SEARCH("With Client",F46)))</formula>
    </cfRule>
    <cfRule type="containsText" dxfId="86" priority="140" operator="containsText" text="With Mgt">
      <formula>NOT(ISERROR(SEARCH("With Mgt",F46)))</formula>
    </cfRule>
    <cfRule type="containsText" dxfId="85" priority="141" operator="containsText" text="Writing">
      <formula>NOT(ISERROR(SEARCH("Writing",F46)))</formula>
    </cfRule>
    <cfRule type="containsText" dxfId="84" priority="142" operator="containsText" text="Pre-RSC">
      <formula>NOT(ISERROR(SEARCH("Pre-RSC",F46)))</formula>
    </cfRule>
  </conditionalFormatting>
  <conditionalFormatting sqref="Y47:AG47">
    <cfRule type="cellIs" dxfId="83" priority="132" operator="lessThan">
      <formula>0</formula>
    </cfRule>
  </conditionalFormatting>
  <conditionalFormatting sqref="H47">
    <cfRule type="cellIs" dxfId="82" priority="131" operator="lessThan">
      <formula>0</formula>
    </cfRule>
  </conditionalFormatting>
  <conditionalFormatting sqref="AH47:AI47">
    <cfRule type="expression" dxfId="81" priority="130">
      <formula>$AV$3</formula>
    </cfRule>
  </conditionalFormatting>
  <conditionalFormatting sqref="F47">
    <cfRule type="containsText" dxfId="80" priority="119" operator="containsText" text="With Product">
      <formula>NOT(ISERROR(SEARCH("With Product",F47)))</formula>
    </cfRule>
    <cfRule type="containsText" dxfId="79" priority="120" operator="containsText" text="Rejected">
      <formula>NOT(ISERROR(SEARCH("Rejected",F47)))</formula>
    </cfRule>
    <cfRule type="beginsWith" dxfId="78" priority="121" operator="beginsWith" text="Live">
      <formula>LEFT(F47,LEN("Live"))="Live"</formula>
    </cfRule>
    <cfRule type="containsText" dxfId="77" priority="122" operator="containsText" text="Delivered">
      <formula>NOT(ISERROR(SEARCH("Delivered",F47)))</formula>
    </cfRule>
    <cfRule type="containsText" dxfId="76" priority="123" operator="containsText" text="Ref Product">
      <formula>NOT(ISERROR(SEARCH("Ref Product",F47)))</formula>
    </cfRule>
    <cfRule type="containsText" dxfId="75" priority="124" operator="containsText" text="Approved">
      <formula>NOT(ISERROR(SEARCH("Approved",F47)))</formula>
    </cfRule>
    <cfRule type="containsText" dxfId="74" priority="125" operator="containsText" text="With Client">
      <formula>NOT(ISERROR(SEARCH("With Client",F47)))</formula>
    </cfRule>
    <cfRule type="containsText" dxfId="73" priority="126" operator="containsText" text="With Mgt">
      <formula>NOT(ISERROR(SEARCH("With Mgt",F47)))</formula>
    </cfRule>
    <cfRule type="containsText" dxfId="72" priority="127" operator="containsText" text="Writing">
      <formula>NOT(ISERROR(SEARCH("Writing",F47)))</formula>
    </cfRule>
    <cfRule type="containsText" dxfId="71" priority="128" operator="containsText" text="Pre-RSC">
      <formula>NOT(ISERROR(SEARCH("Pre-RSC",F47)))</formula>
    </cfRule>
  </conditionalFormatting>
  <conditionalFormatting sqref="Y51:AG51">
    <cfRule type="cellIs" dxfId="70" priority="98" operator="lessThan">
      <formula>0</formula>
    </cfRule>
  </conditionalFormatting>
  <conditionalFormatting sqref="H51">
    <cfRule type="cellIs" dxfId="69" priority="97" operator="lessThan">
      <formula>0</formula>
    </cfRule>
  </conditionalFormatting>
  <conditionalFormatting sqref="AH51:AI51">
    <cfRule type="expression" dxfId="68" priority="96">
      <formula>$AV$3</formula>
    </cfRule>
  </conditionalFormatting>
  <conditionalFormatting sqref="F51">
    <cfRule type="containsText" dxfId="67" priority="85" operator="containsText" text="With Product">
      <formula>NOT(ISERROR(SEARCH("With Product",F51)))</formula>
    </cfRule>
    <cfRule type="containsText" dxfId="66" priority="86" operator="containsText" text="Rejected">
      <formula>NOT(ISERROR(SEARCH("Rejected",F51)))</formula>
    </cfRule>
    <cfRule type="beginsWith" dxfId="65" priority="87" operator="beginsWith" text="Live">
      <formula>LEFT(F51,LEN("Live"))="Live"</formula>
    </cfRule>
    <cfRule type="containsText" dxfId="64" priority="88" operator="containsText" text="Delivered">
      <formula>NOT(ISERROR(SEARCH("Delivered",F51)))</formula>
    </cfRule>
    <cfRule type="containsText" dxfId="63" priority="89" operator="containsText" text="Ref Product">
      <formula>NOT(ISERROR(SEARCH("Ref Product",F51)))</formula>
    </cfRule>
    <cfRule type="containsText" dxfId="62" priority="90" operator="containsText" text="Approved">
      <formula>NOT(ISERROR(SEARCH("Approved",F51)))</formula>
    </cfRule>
    <cfRule type="containsText" dxfId="61" priority="91" operator="containsText" text="With Client">
      <formula>NOT(ISERROR(SEARCH("With Client",F51)))</formula>
    </cfRule>
    <cfRule type="containsText" dxfId="60" priority="92" operator="containsText" text="With Mgt">
      <formula>NOT(ISERROR(SEARCH("With Mgt",F51)))</formula>
    </cfRule>
    <cfRule type="containsText" dxfId="59" priority="93" operator="containsText" text="Writing">
      <formula>NOT(ISERROR(SEARCH("Writing",F51)))</formula>
    </cfRule>
    <cfRule type="containsText" dxfId="58" priority="94" operator="containsText" text="Pre-RSC">
      <formula>NOT(ISERROR(SEARCH("Pre-RSC",F51)))</formula>
    </cfRule>
  </conditionalFormatting>
  <conditionalFormatting sqref="Y48:AG48">
    <cfRule type="cellIs" dxfId="57" priority="84" operator="lessThan">
      <formula>0</formula>
    </cfRule>
  </conditionalFormatting>
  <conditionalFormatting sqref="H48">
    <cfRule type="cellIs" dxfId="56" priority="83" operator="lessThan">
      <formula>0</formula>
    </cfRule>
  </conditionalFormatting>
  <conditionalFormatting sqref="AH48:AI48">
    <cfRule type="expression" dxfId="55" priority="82">
      <formula>$AV$3</formula>
    </cfRule>
  </conditionalFormatting>
  <conditionalFormatting sqref="F48">
    <cfRule type="containsText" dxfId="54" priority="71" operator="containsText" text="With Product">
      <formula>NOT(ISERROR(SEARCH("With Product",F48)))</formula>
    </cfRule>
    <cfRule type="containsText" dxfId="53" priority="72" operator="containsText" text="Rejected">
      <formula>NOT(ISERROR(SEARCH("Rejected",F48)))</formula>
    </cfRule>
    <cfRule type="beginsWith" dxfId="52" priority="73" operator="beginsWith" text="Live">
      <formula>LEFT(F48,LEN("Live"))="Live"</formula>
    </cfRule>
    <cfRule type="containsText" dxfId="51" priority="74" operator="containsText" text="Delivered">
      <formula>NOT(ISERROR(SEARCH("Delivered",F48)))</formula>
    </cfRule>
    <cfRule type="containsText" dxfId="50" priority="75" operator="containsText" text="Ref Product">
      <formula>NOT(ISERROR(SEARCH("Ref Product",F48)))</formula>
    </cfRule>
    <cfRule type="containsText" dxfId="49" priority="76" operator="containsText" text="Approved">
      <formula>NOT(ISERROR(SEARCH("Approved",F48)))</formula>
    </cfRule>
    <cfRule type="containsText" dxfId="48" priority="77" operator="containsText" text="With Client">
      <formula>NOT(ISERROR(SEARCH("With Client",F48)))</formula>
    </cfRule>
    <cfRule type="containsText" dxfId="47" priority="78" operator="containsText" text="With Mgt">
      <formula>NOT(ISERROR(SEARCH("With Mgt",F48)))</formula>
    </cfRule>
    <cfRule type="containsText" dxfId="46" priority="79" operator="containsText" text="Writing">
      <formula>NOT(ISERROR(SEARCH("Writing",F48)))</formula>
    </cfRule>
    <cfRule type="containsText" dxfId="45" priority="80" operator="containsText" text="Pre-RSC">
      <formula>NOT(ISERROR(SEARCH("Pre-RSC",F48)))</formula>
    </cfRule>
  </conditionalFormatting>
  <conditionalFormatting sqref="Y49:AG50">
    <cfRule type="cellIs" dxfId="44" priority="70" operator="lessThan">
      <formula>0</formula>
    </cfRule>
  </conditionalFormatting>
  <conditionalFormatting sqref="H49:H50">
    <cfRule type="cellIs" dxfId="43" priority="69" operator="lessThan">
      <formula>0</formula>
    </cfRule>
  </conditionalFormatting>
  <conditionalFormatting sqref="AH49:AI50">
    <cfRule type="expression" dxfId="42" priority="68">
      <formula>$AV$3</formula>
    </cfRule>
  </conditionalFormatting>
  <conditionalFormatting sqref="F49:F50">
    <cfRule type="containsText" dxfId="41" priority="57" operator="containsText" text="With Product">
      <formula>NOT(ISERROR(SEARCH("With Product",F49)))</formula>
    </cfRule>
    <cfRule type="containsText" dxfId="40" priority="58" operator="containsText" text="Rejected">
      <formula>NOT(ISERROR(SEARCH("Rejected",F49)))</formula>
    </cfRule>
    <cfRule type="beginsWith" dxfId="39" priority="59" operator="beginsWith" text="Live">
      <formula>LEFT(F49,LEN("Live"))="Live"</formula>
    </cfRule>
    <cfRule type="containsText" dxfId="38" priority="60" operator="containsText" text="Delivered">
      <formula>NOT(ISERROR(SEARCH("Delivered",F49)))</formula>
    </cfRule>
    <cfRule type="containsText" dxfId="37" priority="61" operator="containsText" text="Ref Product">
      <formula>NOT(ISERROR(SEARCH("Ref Product",F49)))</formula>
    </cfRule>
    <cfRule type="containsText" dxfId="36" priority="62" operator="containsText" text="Approved">
      <formula>NOT(ISERROR(SEARCH("Approved",F49)))</formula>
    </cfRule>
    <cfRule type="containsText" dxfId="35" priority="63" operator="containsText" text="With Client">
      <formula>NOT(ISERROR(SEARCH("With Client",F49)))</formula>
    </cfRule>
    <cfRule type="containsText" dxfId="34" priority="64" operator="containsText" text="With Mgt">
      <formula>NOT(ISERROR(SEARCH("With Mgt",F49)))</formula>
    </cfRule>
    <cfRule type="containsText" dxfId="33" priority="65" operator="containsText" text="Writing">
      <formula>NOT(ISERROR(SEARCH("Writing",F49)))</formula>
    </cfRule>
    <cfRule type="containsText" dxfId="32" priority="66" operator="containsText" text="Pre-RSC">
      <formula>NOT(ISERROR(SEARCH("Pre-RSC",F49)))</formula>
    </cfRule>
  </conditionalFormatting>
  <conditionalFormatting sqref="F40">
    <cfRule type="containsText" dxfId="31" priority="27" operator="containsText" text="With Product">
      <formula>NOT(ISERROR(SEARCH("With Product",F40)))</formula>
    </cfRule>
    <cfRule type="containsText" dxfId="30" priority="28" operator="containsText" text="Rejected">
      <formula>NOT(ISERROR(SEARCH("Rejected",F40)))</formula>
    </cfRule>
    <cfRule type="beginsWith" dxfId="29" priority="29" operator="beginsWith" text="Live">
      <formula>LEFT(F40,LEN("Live"))="Live"</formula>
    </cfRule>
    <cfRule type="containsText" dxfId="28" priority="30" operator="containsText" text="Delivered">
      <formula>NOT(ISERROR(SEARCH("Delivered",F40)))</formula>
    </cfRule>
    <cfRule type="containsText" dxfId="27" priority="31" operator="containsText" text="Ref Product">
      <formula>NOT(ISERROR(SEARCH("Ref Product",F40)))</formula>
    </cfRule>
    <cfRule type="containsText" dxfId="26" priority="32" operator="containsText" text="Approved">
      <formula>NOT(ISERROR(SEARCH("Approved",F40)))</formula>
    </cfRule>
    <cfRule type="containsText" dxfId="25" priority="33" operator="containsText" text="With Client">
      <formula>NOT(ISERROR(SEARCH("With Client",F40)))</formula>
    </cfRule>
    <cfRule type="containsText" dxfId="24" priority="34" operator="containsText" text="With Mgt">
      <formula>NOT(ISERROR(SEARCH("With Mgt",F40)))</formula>
    </cfRule>
    <cfRule type="containsText" dxfId="23" priority="35" operator="containsText" text="Writing">
      <formula>NOT(ISERROR(SEARCH("Writing",F40)))</formula>
    </cfRule>
    <cfRule type="containsText" dxfId="22" priority="36" operator="containsText" text="Pre-RSC">
      <formula>NOT(ISERROR(SEARCH("Pre-RSC",F40)))</formula>
    </cfRule>
  </conditionalFormatting>
  <conditionalFormatting sqref="Y25:AG25">
    <cfRule type="cellIs" dxfId="21" priority="26" operator="lessThan">
      <formula>0</formula>
    </cfRule>
  </conditionalFormatting>
  <conditionalFormatting sqref="H25">
    <cfRule type="cellIs" dxfId="20" priority="25" operator="lessThan">
      <formula>0</formula>
    </cfRule>
  </conditionalFormatting>
  <conditionalFormatting sqref="AH25:AI25">
    <cfRule type="expression" dxfId="19" priority="24">
      <formula>$AV$3</formula>
    </cfRule>
  </conditionalFormatting>
  <conditionalFormatting sqref="F25">
    <cfRule type="containsText" dxfId="18" priority="13" operator="containsText" text="With Product">
      <formula>NOT(ISERROR(SEARCH("With Product",F25)))</formula>
    </cfRule>
    <cfRule type="containsText" dxfId="17" priority="14" operator="containsText" text="Rejected">
      <formula>NOT(ISERROR(SEARCH("Rejected",F25)))</formula>
    </cfRule>
    <cfRule type="beginsWith" dxfId="16" priority="15" operator="beginsWith" text="Live">
      <formula>LEFT(F25,LEN("Live"))="Live"</formula>
    </cfRule>
    <cfRule type="containsText" dxfId="15" priority="16" operator="containsText" text="Delivered">
      <formula>NOT(ISERROR(SEARCH("Delivered",F25)))</formula>
    </cfRule>
    <cfRule type="containsText" dxfId="14" priority="17" operator="containsText" text="Ref Product">
      <formula>NOT(ISERROR(SEARCH("Ref Product",F25)))</formula>
    </cfRule>
    <cfRule type="containsText" dxfId="13" priority="18" operator="containsText" text="Approved">
      <formula>NOT(ISERROR(SEARCH("Approved",F25)))</formula>
    </cfRule>
    <cfRule type="containsText" dxfId="12" priority="19" operator="containsText" text="With Client">
      <formula>NOT(ISERROR(SEARCH("With Client",F25)))</formula>
    </cfRule>
    <cfRule type="containsText" dxfId="11" priority="20" operator="containsText" text="With Mgt">
      <formula>NOT(ISERROR(SEARCH("With Mgt",F25)))</formula>
    </cfRule>
    <cfRule type="containsText" dxfId="10" priority="21" operator="containsText" text="Writing">
      <formula>NOT(ISERROR(SEARCH("Writing",F25)))</formula>
    </cfRule>
    <cfRule type="containsText" dxfId="9" priority="22" operator="containsText" text="Pre-RSC">
      <formula>NOT(ISERROR(SEARCH("Pre-RSC",F25)))</formula>
    </cfRule>
  </conditionalFormatting>
  <conditionalFormatting sqref="Y28:AG28">
    <cfRule type="cellIs" dxfId="8" priority="12" operator="lessThan">
      <formula>0</formula>
    </cfRule>
  </conditionalFormatting>
  <conditionalFormatting sqref="AH28:AI28">
    <cfRule type="expression" dxfId="7" priority="11">
      <formula>$AV$3</formula>
    </cfRule>
  </conditionalFormatting>
  <conditionalFormatting sqref="Y27:AG27">
    <cfRule type="cellIs" dxfId="6" priority="10" operator="lessThan">
      <formula>0</formula>
    </cfRule>
  </conditionalFormatting>
  <conditionalFormatting sqref="AH27:AI27">
    <cfRule type="expression" dxfId="5" priority="9">
      <formula>$AV$3</formula>
    </cfRule>
  </conditionalFormatting>
  <conditionalFormatting sqref="H195">
    <cfRule type="cellIs" dxfId="4" priority="8" operator="lessThan">
      <formula>0</formula>
    </cfRule>
  </conditionalFormatting>
  <conditionalFormatting sqref="H210">
    <cfRule type="cellIs" dxfId="3" priority="6" operator="lessThan">
      <formula>0</formula>
    </cfRule>
  </conditionalFormatting>
  <conditionalFormatting sqref="H211">
    <cfRule type="cellIs" dxfId="2" priority="4" operator="lessThan">
      <formula>0</formula>
    </cfRule>
  </conditionalFormatting>
  <conditionalFormatting sqref="Z40:AG40">
    <cfRule type="cellIs" dxfId="1" priority="2" operator="lessThan">
      <formula>0</formula>
    </cfRule>
  </conditionalFormatting>
  <conditionalFormatting sqref="AH40:AI40">
    <cfRule type="expression" dxfId="0" priority="1">
      <formula>$AV$3</formula>
    </cfRule>
  </conditionalFormatting>
  <dataValidations count="2">
    <dataValidation type="date" operator="greaterThanOrEqual" allowBlank="1" showInputMessage="1" showErrorMessage="1" sqref="L38:L52" xr:uid="{00000000-0002-0000-0000-000000000000}">
      <formula1>29221</formula1>
    </dataValidation>
    <dataValidation showDropDown="1" showInputMessage="1" showErrorMessage="1" sqref="C214:C1048576 C1:C212 B1:B1048576" xr:uid="{00000000-0002-0000-0000-000001000000}"/>
  </dataValidations>
  <hyperlinks>
    <hyperlink ref="X87" r:id="rId1" xr:uid="{D0367F5A-3134-784C-BF46-997B2FA92A29}"/>
  </hyperlinks>
  <pageMargins left="0.7" right="0.7" top="0.75" bottom="0.75" header="0.3" footer="0.3"/>
  <pageSetup paperSize="9" scale="10" orientation="portrait" verticalDpi="300" r:id="rId2"/>
  <rowBreaks count="1" manualBreakCount="1">
    <brk id="33" max="16383" man="1"/>
  </rowBreaks>
  <extLst>
    <ext xmlns:x14="http://schemas.microsoft.com/office/spreadsheetml/2009/9/main" uri="{78C0D931-6437-407d-A8EE-F0AAD7539E65}">
      <x14:conditionalFormattings>
        <x14:conditionalFormatting xmlns:xm="http://schemas.microsoft.com/office/excel/2006/main">
          <x14:cfRule type="iconSet" priority="402" id="{05B5EA27-D762-43D2-AAF6-4A146D37DC6F}">
            <x14:iconSet custom="1">
              <x14:cfvo type="percent">
                <xm:f>0</xm:f>
              </x14:cfvo>
              <x14:cfvo type="num">
                <xm:f>0</xm:f>
              </x14:cfvo>
              <x14:cfvo type="num">
                <xm:f>20000</xm:f>
              </x14:cfvo>
              <x14:cfIcon iconSet="NoIcons" iconId="0"/>
              <x14:cfIcon iconSet="3Flags" iconId="2"/>
              <x14:cfIcon iconSet="3Flags" iconId="1"/>
            </x14:iconSet>
          </x14:cfRule>
          <xm:sqref>H131:H144 H3:H24 H93:H128 H146 H148:H149 H52:H90 H26:H40 H153:H194 H196:H209 H212:H1048576</xm:sqref>
        </x14:conditionalFormatting>
        <x14:conditionalFormatting xmlns:xm="http://schemas.microsoft.com/office/excel/2006/main">
          <x14:cfRule type="iconSet" priority="385" id="{1653C2D8-80C5-4110-899F-52E1EDCB4B43}">
            <x14:iconSet custom="1">
              <x14:cfvo type="percent">
                <xm:f>0</xm:f>
              </x14:cfvo>
              <x14:cfvo type="num">
                <xm:f>0</xm:f>
              </x14:cfvo>
              <x14:cfvo type="num">
                <xm:f>20000</xm:f>
              </x14:cfvo>
              <x14:cfIcon iconSet="NoIcons" iconId="0"/>
              <x14:cfIcon iconSet="3Flags" iconId="2"/>
              <x14:cfIcon iconSet="3Flags" iconId="1"/>
            </x14:iconSet>
          </x14:cfRule>
          <xm:sqref>H91</xm:sqref>
        </x14:conditionalFormatting>
        <x14:conditionalFormatting xmlns:xm="http://schemas.microsoft.com/office/excel/2006/main">
          <x14:cfRule type="iconSet" priority="371" id="{70BD2733-DE82-4CA3-A22C-8FE6AF78DEFB}">
            <x14:iconSet custom="1">
              <x14:cfvo type="percent">
                <xm:f>0</xm:f>
              </x14:cfvo>
              <x14:cfvo type="num">
                <xm:f>0</xm:f>
              </x14:cfvo>
              <x14:cfvo type="num">
                <xm:f>20000</xm:f>
              </x14:cfvo>
              <x14:cfIcon iconSet="NoIcons" iconId="0"/>
              <x14:cfIcon iconSet="3Flags" iconId="2"/>
              <x14:cfIcon iconSet="3Flags" iconId="1"/>
            </x14:iconSet>
          </x14:cfRule>
          <xm:sqref>H92</xm:sqref>
        </x14:conditionalFormatting>
        <x14:conditionalFormatting xmlns:xm="http://schemas.microsoft.com/office/excel/2006/main">
          <x14:cfRule type="iconSet" priority="327" id="{0858E5A9-E171-4E70-B604-5064AE67F698}">
            <x14:iconSet custom="1">
              <x14:cfvo type="percent">
                <xm:f>0</xm:f>
              </x14:cfvo>
              <x14:cfvo type="num">
                <xm:f>0</xm:f>
              </x14:cfvo>
              <x14:cfvo type="num">
                <xm:f>20000</xm:f>
              </x14:cfvo>
              <x14:cfIcon iconSet="NoIcons" iconId="0"/>
              <x14:cfIcon iconSet="3Flags" iconId="2"/>
              <x14:cfIcon iconSet="3Flags" iconId="1"/>
            </x14:iconSet>
          </x14:cfRule>
          <xm:sqref>H129</xm:sqref>
        </x14:conditionalFormatting>
        <x14:conditionalFormatting xmlns:xm="http://schemas.microsoft.com/office/excel/2006/main">
          <x14:cfRule type="iconSet" priority="313" id="{327DDE1C-A616-4A39-B810-53EF652BDDAC}">
            <x14:iconSet custom="1">
              <x14:cfvo type="percent">
                <xm:f>0</xm:f>
              </x14:cfvo>
              <x14:cfvo type="num">
                <xm:f>0</xm:f>
              </x14:cfvo>
              <x14:cfvo type="num">
                <xm:f>20000</xm:f>
              </x14:cfvo>
              <x14:cfIcon iconSet="NoIcons" iconId="0"/>
              <x14:cfIcon iconSet="3Flags" iconId="2"/>
              <x14:cfIcon iconSet="3Flags" iconId="1"/>
            </x14:iconSet>
          </x14:cfRule>
          <xm:sqref>H130</xm:sqref>
        </x14:conditionalFormatting>
        <x14:conditionalFormatting xmlns:xm="http://schemas.microsoft.com/office/excel/2006/main">
          <x14:cfRule type="iconSet" priority="299" id="{FC914D99-D534-4293-B613-D08B7A25A344}">
            <x14:iconSet custom="1">
              <x14:cfvo type="percent">
                <xm:f>0</xm:f>
              </x14:cfvo>
              <x14:cfvo type="num">
                <xm:f>0</xm:f>
              </x14:cfvo>
              <x14:cfvo type="num">
                <xm:f>20000</xm:f>
              </x14:cfvo>
              <x14:cfIcon iconSet="NoIcons" iconId="0"/>
              <x14:cfIcon iconSet="3Flags" iconId="2"/>
              <x14:cfIcon iconSet="3Flags" iconId="1"/>
            </x14:iconSet>
          </x14:cfRule>
          <xm:sqref>H145</xm:sqref>
        </x14:conditionalFormatting>
        <x14:conditionalFormatting xmlns:xm="http://schemas.microsoft.com/office/excel/2006/main">
          <x14:cfRule type="iconSet" priority="275" id="{694903BD-760A-4E48-904E-8096722B5268}">
            <x14:iconSet custom="1">
              <x14:cfvo type="percent">
                <xm:f>0</xm:f>
              </x14:cfvo>
              <x14:cfvo type="num">
                <xm:f>0</xm:f>
              </x14:cfvo>
              <x14:cfvo type="num">
                <xm:f>20000</xm:f>
              </x14:cfvo>
              <x14:cfIcon iconSet="NoIcons" iconId="0"/>
              <x14:cfIcon iconSet="3Flags" iconId="2"/>
              <x14:cfIcon iconSet="3Flags" iconId="1"/>
            </x14:iconSet>
          </x14:cfRule>
          <xm:sqref>H150</xm:sqref>
        </x14:conditionalFormatting>
        <x14:conditionalFormatting xmlns:xm="http://schemas.microsoft.com/office/excel/2006/main">
          <x14:cfRule type="iconSet" priority="261" id="{C605CC4B-0615-42C3-BFD3-C2D3D97AC682}">
            <x14:iconSet custom="1">
              <x14:cfvo type="percent">
                <xm:f>0</xm:f>
              </x14:cfvo>
              <x14:cfvo type="num">
                <xm:f>0</xm:f>
              </x14:cfvo>
              <x14:cfvo type="num">
                <xm:f>20000</xm:f>
              </x14:cfvo>
              <x14:cfIcon iconSet="NoIcons" iconId="0"/>
              <x14:cfIcon iconSet="3Flags" iconId="2"/>
              <x14:cfIcon iconSet="3Flags" iconId="1"/>
            </x14:iconSet>
          </x14:cfRule>
          <xm:sqref>H151</xm:sqref>
        </x14:conditionalFormatting>
        <x14:conditionalFormatting xmlns:xm="http://schemas.microsoft.com/office/excel/2006/main">
          <x14:cfRule type="iconSet" priority="247" id="{2A316003-254C-4E4F-95CB-6BD0E0901043}">
            <x14:iconSet custom="1">
              <x14:cfvo type="percent">
                <xm:f>0</xm:f>
              </x14:cfvo>
              <x14:cfvo type="num">
                <xm:f>0</xm:f>
              </x14:cfvo>
              <x14:cfvo type="num">
                <xm:f>20000</xm:f>
              </x14:cfvo>
              <x14:cfIcon iconSet="NoIcons" iconId="0"/>
              <x14:cfIcon iconSet="3Flags" iconId="2"/>
              <x14:cfIcon iconSet="3Flags" iconId="1"/>
            </x14:iconSet>
          </x14:cfRule>
          <xm:sqref>H152</xm:sqref>
        </x14:conditionalFormatting>
        <x14:conditionalFormatting xmlns:xm="http://schemas.microsoft.com/office/excel/2006/main">
          <x14:cfRule type="iconSet" priority="233" id="{FC86FA45-F530-4A64-8D8F-8CB68983FB24}">
            <x14:iconSet custom="1">
              <x14:cfvo type="percent">
                <xm:f>0</xm:f>
              </x14:cfvo>
              <x14:cfvo type="num">
                <xm:f>0</xm:f>
              </x14:cfvo>
              <x14:cfvo type="num">
                <xm:f>20000</xm:f>
              </x14:cfvo>
              <x14:cfIcon iconSet="NoIcons" iconId="0"/>
              <x14:cfIcon iconSet="3Flags" iconId="2"/>
              <x14:cfIcon iconSet="3Flags" iconId="1"/>
            </x14:iconSet>
          </x14:cfRule>
          <xm:sqref>H147</xm:sqref>
        </x14:conditionalFormatting>
        <x14:conditionalFormatting xmlns:xm="http://schemas.microsoft.com/office/excel/2006/main">
          <x14:cfRule type="iconSet" priority="213" id="{461EB134-6E72-4541-9A10-73E7CE083D46}">
            <x14:iconSet custom="1">
              <x14:cfvo type="percent">
                <xm:f>0</xm:f>
              </x14:cfvo>
              <x14:cfvo type="num">
                <xm:f>0</xm:f>
              </x14:cfvo>
              <x14:cfvo type="num">
                <xm:f>20000</xm:f>
              </x14:cfvo>
              <x14:cfIcon iconSet="NoIcons" iconId="0"/>
              <x14:cfIcon iconSet="3Flags" iconId="2"/>
              <x14:cfIcon iconSet="3Flags" iconId="1"/>
            </x14:iconSet>
          </x14:cfRule>
          <xm:sqref>H41</xm:sqref>
        </x14:conditionalFormatting>
        <x14:conditionalFormatting xmlns:xm="http://schemas.microsoft.com/office/excel/2006/main">
          <x14:cfRule type="iconSet" priority="199" id="{EB9B34B8-8E09-4A3A-B8F2-89F9DA3B02AA}">
            <x14:iconSet custom="1">
              <x14:cfvo type="percent">
                <xm:f>0</xm:f>
              </x14:cfvo>
              <x14:cfvo type="num">
                <xm:f>0</xm:f>
              </x14:cfvo>
              <x14:cfvo type="num">
                <xm:f>20000</xm:f>
              </x14:cfvo>
              <x14:cfIcon iconSet="NoIcons" iconId="0"/>
              <x14:cfIcon iconSet="3Flags" iconId="2"/>
              <x14:cfIcon iconSet="3Flags" iconId="1"/>
            </x14:iconSet>
          </x14:cfRule>
          <xm:sqref>H42</xm:sqref>
        </x14:conditionalFormatting>
        <x14:conditionalFormatting xmlns:xm="http://schemas.microsoft.com/office/excel/2006/main">
          <x14:cfRule type="iconSet" priority="185" id="{B6E13800-7C9D-4DCA-ABC6-F349DA5B7960}">
            <x14:iconSet custom="1">
              <x14:cfvo type="percent">
                <xm:f>0</xm:f>
              </x14:cfvo>
              <x14:cfvo type="num">
                <xm:f>0</xm:f>
              </x14:cfvo>
              <x14:cfvo type="num">
                <xm:f>20000</xm:f>
              </x14:cfvo>
              <x14:cfIcon iconSet="NoIcons" iconId="0"/>
              <x14:cfIcon iconSet="3Flags" iconId="2"/>
              <x14:cfIcon iconSet="3Flags" iconId="1"/>
            </x14:iconSet>
          </x14:cfRule>
          <xm:sqref>H43</xm:sqref>
        </x14:conditionalFormatting>
        <x14:conditionalFormatting xmlns:xm="http://schemas.microsoft.com/office/excel/2006/main">
          <x14:cfRule type="iconSet" priority="171" id="{CC4DAD58-C5BE-4C78-838B-3DFB4534A062}">
            <x14:iconSet custom="1">
              <x14:cfvo type="percent">
                <xm:f>0</xm:f>
              </x14:cfvo>
              <x14:cfvo type="num">
                <xm:f>0</xm:f>
              </x14:cfvo>
              <x14:cfvo type="num">
                <xm:f>20000</xm:f>
              </x14:cfvo>
              <x14:cfIcon iconSet="NoIcons" iconId="0"/>
              <x14:cfIcon iconSet="3Flags" iconId="2"/>
              <x14:cfIcon iconSet="3Flags" iconId="1"/>
            </x14:iconSet>
          </x14:cfRule>
          <xm:sqref>H44</xm:sqref>
        </x14:conditionalFormatting>
        <x14:conditionalFormatting xmlns:xm="http://schemas.microsoft.com/office/excel/2006/main">
          <x14:cfRule type="iconSet" priority="157" id="{7409B384-576D-4734-87ED-D1C4131C740B}">
            <x14:iconSet custom="1">
              <x14:cfvo type="percent">
                <xm:f>0</xm:f>
              </x14:cfvo>
              <x14:cfvo type="num">
                <xm:f>0</xm:f>
              </x14:cfvo>
              <x14:cfvo type="num">
                <xm:f>20000</xm:f>
              </x14:cfvo>
              <x14:cfIcon iconSet="NoIcons" iconId="0"/>
              <x14:cfIcon iconSet="3Flags" iconId="2"/>
              <x14:cfIcon iconSet="3Flags" iconId="1"/>
            </x14:iconSet>
          </x14:cfRule>
          <xm:sqref>H45</xm:sqref>
        </x14:conditionalFormatting>
        <x14:conditionalFormatting xmlns:xm="http://schemas.microsoft.com/office/excel/2006/main">
          <x14:cfRule type="iconSet" priority="143" id="{B654C2F3-DC95-4D99-8711-6BF06A744CB0}">
            <x14:iconSet custom="1">
              <x14:cfvo type="percent">
                <xm:f>0</xm:f>
              </x14:cfvo>
              <x14:cfvo type="num">
                <xm:f>0</xm:f>
              </x14:cfvo>
              <x14:cfvo type="num">
                <xm:f>20000</xm:f>
              </x14:cfvo>
              <x14:cfIcon iconSet="NoIcons" iconId="0"/>
              <x14:cfIcon iconSet="3Flags" iconId="2"/>
              <x14:cfIcon iconSet="3Flags" iconId="1"/>
            </x14:iconSet>
          </x14:cfRule>
          <xm:sqref>H46</xm:sqref>
        </x14:conditionalFormatting>
        <x14:conditionalFormatting xmlns:xm="http://schemas.microsoft.com/office/excel/2006/main">
          <x14:cfRule type="iconSet" priority="129" id="{6944E1BC-E071-4BB1-97F1-E80854F33A88}">
            <x14:iconSet custom="1">
              <x14:cfvo type="percent">
                <xm:f>0</xm:f>
              </x14:cfvo>
              <x14:cfvo type="num">
                <xm:f>0</xm:f>
              </x14:cfvo>
              <x14:cfvo type="num">
                <xm:f>20000</xm:f>
              </x14:cfvo>
              <x14:cfIcon iconSet="NoIcons" iconId="0"/>
              <x14:cfIcon iconSet="3Flags" iconId="2"/>
              <x14:cfIcon iconSet="3Flags" iconId="1"/>
            </x14:iconSet>
          </x14:cfRule>
          <xm:sqref>H47</xm:sqref>
        </x14:conditionalFormatting>
        <x14:conditionalFormatting xmlns:xm="http://schemas.microsoft.com/office/excel/2006/main">
          <x14:cfRule type="iconSet" priority="95" id="{495F3CCF-0069-4E27-A69E-66B36BFF6D3B}">
            <x14:iconSet custom="1">
              <x14:cfvo type="percent">
                <xm:f>0</xm:f>
              </x14:cfvo>
              <x14:cfvo type="num">
                <xm:f>0</xm:f>
              </x14:cfvo>
              <x14:cfvo type="num">
                <xm:f>20000</xm:f>
              </x14:cfvo>
              <x14:cfIcon iconSet="NoIcons" iconId="0"/>
              <x14:cfIcon iconSet="3Flags" iconId="2"/>
              <x14:cfIcon iconSet="3Flags" iconId="1"/>
            </x14:iconSet>
          </x14:cfRule>
          <xm:sqref>H51</xm:sqref>
        </x14:conditionalFormatting>
        <x14:conditionalFormatting xmlns:xm="http://schemas.microsoft.com/office/excel/2006/main">
          <x14:cfRule type="iconSet" priority="81" id="{36C5CA09-05A9-4DE7-820E-E4D4D7B00153}">
            <x14:iconSet custom="1">
              <x14:cfvo type="percent">
                <xm:f>0</xm:f>
              </x14:cfvo>
              <x14:cfvo type="num">
                <xm:f>0</xm:f>
              </x14:cfvo>
              <x14:cfvo type="num">
                <xm:f>20000</xm:f>
              </x14:cfvo>
              <x14:cfIcon iconSet="NoIcons" iconId="0"/>
              <x14:cfIcon iconSet="3Flags" iconId="2"/>
              <x14:cfIcon iconSet="3Flags" iconId="1"/>
            </x14:iconSet>
          </x14:cfRule>
          <xm:sqref>H48</xm:sqref>
        </x14:conditionalFormatting>
        <x14:conditionalFormatting xmlns:xm="http://schemas.microsoft.com/office/excel/2006/main">
          <x14:cfRule type="iconSet" priority="67" id="{954602C4-4E62-4667-927E-39C716278DED}">
            <x14:iconSet custom="1">
              <x14:cfvo type="percent">
                <xm:f>0</xm:f>
              </x14:cfvo>
              <x14:cfvo type="num">
                <xm:f>0</xm:f>
              </x14:cfvo>
              <x14:cfvo type="num">
                <xm:f>20000</xm:f>
              </x14:cfvo>
              <x14:cfIcon iconSet="NoIcons" iconId="0"/>
              <x14:cfIcon iconSet="3Flags" iconId="2"/>
              <x14:cfIcon iconSet="3Flags" iconId="1"/>
            </x14:iconSet>
          </x14:cfRule>
          <xm:sqref>H49:H50</xm:sqref>
        </x14:conditionalFormatting>
        <x14:conditionalFormatting xmlns:xm="http://schemas.microsoft.com/office/excel/2006/main">
          <x14:cfRule type="iconSet" priority="23" id="{58BCCA37-DBB0-40D7-A0C9-FB6C42E33562}">
            <x14:iconSet custom="1">
              <x14:cfvo type="percent">
                <xm:f>0</xm:f>
              </x14:cfvo>
              <x14:cfvo type="num">
                <xm:f>0</xm:f>
              </x14:cfvo>
              <x14:cfvo type="num">
                <xm:f>20000</xm:f>
              </x14:cfvo>
              <x14:cfIcon iconSet="NoIcons" iconId="0"/>
              <x14:cfIcon iconSet="3Flags" iconId="2"/>
              <x14:cfIcon iconSet="3Flags" iconId="1"/>
            </x14:iconSet>
          </x14:cfRule>
          <xm:sqref>H25</xm:sqref>
        </x14:conditionalFormatting>
        <x14:conditionalFormatting xmlns:xm="http://schemas.microsoft.com/office/excel/2006/main">
          <x14:cfRule type="iconSet" priority="7" id="{2CF43EA9-A3EB-C44C-967C-AA5BB71F6030}">
            <x14:iconSet custom="1">
              <x14:cfvo type="percent">
                <xm:f>0</xm:f>
              </x14:cfvo>
              <x14:cfvo type="num">
                <xm:f>0</xm:f>
              </x14:cfvo>
              <x14:cfvo type="num">
                <xm:f>20000</xm:f>
              </x14:cfvo>
              <x14:cfIcon iconSet="NoIcons" iconId="0"/>
              <x14:cfIcon iconSet="3Flags" iconId="2"/>
              <x14:cfIcon iconSet="3Flags" iconId="1"/>
            </x14:iconSet>
          </x14:cfRule>
          <xm:sqref>H195</xm:sqref>
        </x14:conditionalFormatting>
        <x14:conditionalFormatting xmlns:xm="http://schemas.microsoft.com/office/excel/2006/main">
          <x14:cfRule type="iconSet" priority="5" id="{C19F4917-3F15-498B-9494-4DD6052F0900}">
            <x14:iconSet custom="1">
              <x14:cfvo type="percent">
                <xm:f>0</xm:f>
              </x14:cfvo>
              <x14:cfvo type="num">
                <xm:f>0</xm:f>
              </x14:cfvo>
              <x14:cfvo type="num">
                <xm:f>20000</xm:f>
              </x14:cfvo>
              <x14:cfIcon iconSet="NoIcons" iconId="0"/>
              <x14:cfIcon iconSet="3Flags" iconId="2"/>
              <x14:cfIcon iconSet="3Flags" iconId="1"/>
            </x14:iconSet>
          </x14:cfRule>
          <xm:sqref>H210</xm:sqref>
        </x14:conditionalFormatting>
        <x14:conditionalFormatting xmlns:xm="http://schemas.microsoft.com/office/excel/2006/main">
          <x14:cfRule type="iconSet" priority="3" id="{9301F2A3-8FB3-42A8-93CD-E7F058DD7C13}">
            <x14:iconSet custom="1">
              <x14:cfvo type="percent">
                <xm:f>0</xm:f>
              </x14:cfvo>
              <x14:cfvo type="num">
                <xm:f>0</xm:f>
              </x14:cfvo>
              <x14:cfvo type="num">
                <xm:f>20000</xm:f>
              </x14:cfvo>
              <x14:cfIcon iconSet="NoIcons" iconId="0"/>
              <x14:cfIcon iconSet="3Flags" iconId="2"/>
              <x14:cfIcon iconSet="3Flags" iconId="1"/>
            </x14:iconSet>
          </x14:cfRule>
          <xm:sqref>H211</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8000000}">
          <x14:formula1>
            <xm:f>WORKFLOW!$H$26:$H$42</xm:f>
          </x14:formula1>
          <xm:sqref>G67:G69 G71 G74:G78 G82 G84 G116:G118 G87:G114 G124:G125 G127:G132 G134 G136:G153 G1:G5 G161:G1048576 G7:G64</xm:sqref>
        </x14:dataValidation>
        <x14:dataValidation type="list" allowBlank="1" showInputMessage="1" showErrorMessage="1" xr:uid="{F01DBE19-43C0-5646-A08E-6C01571AF483}">
          <x14:formula1>
            <xm:f>WORKFLOW!$J$2:$J$12</xm:f>
          </x14:formula1>
          <xm:sqref>S2:S1048576</xm:sqref>
        </x14:dataValidation>
        <x14:dataValidation type="list" allowBlank="1" showInputMessage="1" showErrorMessage="1" xr:uid="{00000000-0002-0000-0000-000004000000}">
          <x14:formula1>
            <xm:f>CUSTOMERS!$A$2:$A$51</xm:f>
          </x14:formula1>
          <xm:sqref>A3:A1048576</xm:sqref>
        </x14:dataValidation>
        <x14:dataValidation type="list" allowBlank="1" showInputMessage="1" showErrorMessage="1" xr:uid="{EDD8C0A2-4FA1-6049-B58A-62310AE20B69}">
          <x14:formula1>
            <xm:f>CUSTOMERS!$O$2:$O$17</xm:f>
          </x14:formula1>
          <xm:sqref>Q3:Q310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C8D870B42AFC54BA923418C604C6D0E" ma:contentTypeVersion="15" ma:contentTypeDescription="Create a new document." ma:contentTypeScope="" ma:versionID="fed4b08799b18bda6b1d602b4099fa43">
  <xsd:schema xmlns:xsd="http://www.w3.org/2001/XMLSchema" xmlns:xs="http://www.w3.org/2001/XMLSchema" xmlns:p="http://schemas.microsoft.com/office/2006/metadata/properties" xmlns:ns2="5903fcfc-bd2b-473b-9e0c-23494680a8bf" xmlns:ns3="a4186cfd-d25f-46a0-9377-de0b83fc173a" targetNamespace="http://schemas.microsoft.com/office/2006/metadata/properties" ma:root="true" ma:fieldsID="62f4fa10ca9fe909a912bdf315c6b546" ns2:_="" ns3:_="">
    <xsd:import namespace="5903fcfc-bd2b-473b-9e0c-23494680a8bf"/>
    <xsd:import namespace="a4186cfd-d25f-46a0-9377-de0b83fc173a"/>
    <xsd:element name="properties">
      <xsd:complexType>
        <xsd:sequence>
          <xsd:element name="documentManagement">
            <xsd:complexType>
              <xsd:all>
                <xsd:element ref="ns2:Progress" minOccurs="0"/>
                <xsd:element ref="ns2:Status" minOccurs="0"/>
                <xsd:element ref="ns2:MediaServiceMetadata" minOccurs="0"/>
                <xsd:element ref="ns2:MediaServiceFastMetadata"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903fcfc-bd2b-473b-9e0c-23494680a8bf" elementFormDefault="qualified">
    <xsd:import namespace="http://schemas.microsoft.com/office/2006/documentManagement/types"/>
    <xsd:import namespace="http://schemas.microsoft.com/office/infopath/2007/PartnerControls"/>
    <xsd:element name="Progress" ma:index="2" nillable="true" ma:displayName="Progress" ma:default="With Product" ma:format="Dropdown" ma:internalName="Progress" ma:readOnly="false">
      <xsd:simpleType>
        <xsd:restriction base="dms:Choice">
          <xsd:enumeration value="With Product"/>
          <xsd:enumeration value="With Ops"/>
          <xsd:enumeration value="With Client"/>
          <xsd:enumeration value="With Board"/>
          <xsd:enumeration value="Delivered"/>
        </xsd:restriction>
      </xsd:simpleType>
    </xsd:element>
    <xsd:element name="Status" ma:index="3" nillable="true" ma:displayName="Product Approval Status" ma:format="Dropdown" ma:internalName="Status" ma:readOnly="false">
      <xsd:simpleType>
        <xsd:restriction base="dms:Choice">
          <xsd:enumeration value="Approved"/>
          <xsd:enumeration value="Rejected"/>
          <xsd:enumeration value="Update Required"/>
          <xsd:enumeration value="In Review"/>
        </xsd:restriction>
      </xsd:simple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hidden="true"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hidden="true" ma:internalName="MediaServiceOCR" ma:readOnly="true">
      <xsd:simpleType>
        <xsd:restriction base="dms:Note"/>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hidden="true" ma:internalName="MediaServiceKeyPoint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4186cfd-d25f-46a0-9377-de0b83fc173a" elementFormDefault="qualified">
    <xsd:import namespace="http://schemas.microsoft.com/office/2006/documentManagement/types"/>
    <xsd:import namespace="http://schemas.microsoft.com/office/infopath/2007/PartnerControls"/>
    <xsd:element name="SharedWithUsers" ma:index="10"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hidden="true" ma:internalName="SharedWithDetail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tatus xmlns="5903fcfc-bd2b-473b-9e0c-23494680a8bf" xsi:nil="true"/>
    <SharedWithUsers xmlns="a4186cfd-d25f-46a0-9377-de0b83fc173a">
      <UserInfo>
        <DisplayName>SharingLinks.5c4fd8fa-c344-4fe4-af12-f634f079e6cf.OrganizationView.e4eb0da8-7584-47ef-ae5c-04e34a01ab56</DisplayName>
        <AccountId>53</AccountId>
        <AccountType/>
      </UserInfo>
      <UserInfo>
        <DisplayName>Ed Burney-Cumming</DisplayName>
        <AccountId>40</AccountId>
        <AccountType/>
      </UserInfo>
    </SharedWithUsers>
    <Progress xmlns="5903fcfc-bd2b-473b-9e0c-23494680a8bf" xsi:nil="true"/>
  </documentManagement>
</p:properties>
</file>

<file path=customXml/itemProps1.xml><?xml version="1.0" encoding="utf-8"?>
<ds:datastoreItem xmlns:ds="http://schemas.openxmlformats.org/officeDocument/2006/customXml" ds:itemID="{9DF47E16-CF0F-40EC-B52C-9B3DEFC4C156}">
  <ds:schemaRefs>
    <ds:schemaRef ds:uri="http://schemas.microsoft.com/sharepoint/v3/contenttype/forms"/>
  </ds:schemaRefs>
</ds:datastoreItem>
</file>

<file path=customXml/itemProps2.xml><?xml version="1.0" encoding="utf-8"?>
<ds:datastoreItem xmlns:ds="http://schemas.openxmlformats.org/officeDocument/2006/customXml" ds:itemID="{474196AA-3EC0-45D6-A6D9-36DA3EDFFA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903fcfc-bd2b-473b-9e0c-23494680a8bf"/>
    <ds:schemaRef ds:uri="a4186cfd-d25f-46a0-9377-de0b83fc173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C70850D-076E-43AD-BAC8-319C417DD17D}">
  <ds:schemaRefs>
    <ds:schemaRef ds:uri="http://schemas.microsoft.com/office/2006/metadata/properties"/>
    <ds:schemaRef ds:uri="http://schemas.microsoft.com/office/infopath/2007/PartnerControls"/>
    <ds:schemaRef ds:uri="5903fcfc-bd2b-473b-9e0c-23494680a8bf"/>
    <ds:schemaRef ds:uri="a4186cfd-d25f-46a0-9377-de0b83fc173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APPROVERS</vt:lpstr>
      <vt:lpstr>PRD</vt:lpstr>
      <vt:lpstr>Sheet3</vt:lpstr>
      <vt:lpstr>Sheet2</vt:lpstr>
      <vt:lpstr>TRACKER</vt:lpstr>
      <vt:lpstr>NEW RSC</vt:lpstr>
      <vt:lpstr>CUSTOMERS</vt:lpstr>
      <vt:lpstr>WORKFLOW</vt:lpstr>
      <vt:lpstr>RAWEXPORTDATA</vt:lpstr>
      <vt:lpstr>Backwards Estimate Calculator</vt:lpstr>
      <vt:lpstr>SLIDEWARE</vt:lpstr>
      <vt:lpstr>CALCULATOR</vt:lpstr>
      <vt:lpstr>TRACKER - ARCHIVED</vt:lpstr>
      <vt:lpstr>TRACKER - 20220622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Matt Townsend</cp:lastModifiedBy>
  <cp:revision/>
  <dcterms:created xsi:type="dcterms:W3CDTF">2020-04-28T13:28:07Z</dcterms:created>
  <dcterms:modified xsi:type="dcterms:W3CDTF">2022-12-02T14:51:42Z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0x0101001C8D870B42AFC54BA923418C604C6D0E</vt:lpwstr>
  </property>
</Properties>
</file>